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shboard" sheetId="2" r:id="rId2"/>
    <sheet name="Explorer" sheetId="3" r:id="rId3"/>
    <sheet name="Trends" sheetId="4" r:id="rId4"/>
    <sheet name="PADD" sheetId="5" r:id="rId5"/>
    <sheet name="Units &amp; Refineries" sheetId="6" r:id="rId6"/>
    <sheet name="Events &amp; TAs" sheetId="7" r:id="rId7"/>
    <sheet name="Model" sheetId="8" r:id="rId8"/>
    <sheet name="Data" sheetId="9" state="hidden" r:id="rId9"/>
  </sheets>
  <definedNames>
    <definedName name="_xlnm._FilterDatabase" localSheetId="6" hidden="1">'Units &amp; Refineries'!$B$43:$H$58</definedName>
    <definedName name="_xlnm.Print_Titles" localSheetId="2">Dashboard!$1:$3</definedName>
    <definedName name="_xlnm.Print_Titles" localSheetId="7">'Events &amp; TAs'!$1:$3</definedName>
    <definedName name="_xlnm.Print_Titles" localSheetId="3">Explorer!$1:$3</definedName>
    <definedName name="_xlnm.Print_Titles" localSheetId="8">Model!$1:$3</definedName>
    <definedName name="_xlnm.Print_Titles" localSheetId="5">PADD!$1:$3</definedName>
    <definedName name="_xlnm.Print_Titles" localSheetId="4">Trends!$1:$3</definedName>
    <definedName name="_xlnm.Print_Titles" localSheetId="6">'Units &amp; Refineries'!$1:$3</definedName>
  </definedNames>
  <calcPr calcId="124519" fullCalcOnLoad="1"/>
</workbook>
</file>

<file path=xl/comments1.xml><?xml version="1.0" encoding="utf-8"?>
<comments xmlns="http://schemas.openxmlformats.org/spreadsheetml/2006/main">
  <authors>
    <author>Model</author>
  </authors>
  <commentList>
    <comment ref="B5" authorId="0">
      <text>
        <r>
          <rPr>
            <sz val="9"/>
            <color indexed="81"/>
            <rFont val="Tahoma"/>
            <family val="2"/>
          </rPr>
          <t>Total capacity offline (planned + unplanned), thousand bbl/day, all units.</t>
        </r>
      </text>
    </comment>
    <comment ref="E5" authorId="0">
      <text>
        <r>
          <rPr>
            <sz val="9"/>
            <color indexed="81"/>
            <rFont val="Tahoma"/>
            <family val="2"/>
          </rPr>
          <t>Unplanned (incl. UNKNOWN) capacity offline - the surprise/risk piece.</t>
        </r>
      </text>
    </comment>
    <comment ref="H5" authorId="0">
      <text>
        <r>
          <rPr>
            <sz val="9"/>
            <color indexed="81"/>
            <rFont val="Tahoma"/>
            <family val="2"/>
          </rPr>
          <t>Unplanned as a share of total offline. ~50% in recent years.</t>
        </r>
      </text>
    </comment>
    <comment ref="K5" authorId="0">
      <text>
        <r>
          <rPr>
            <sz val="9"/>
            <color indexed="81"/>
            <rFont val="Tahoma"/>
            <family val="2"/>
          </rPr>
          <t>Count of distinct OUTAGE_IDs (one event can span many unit-months).</t>
        </r>
      </text>
    </comment>
    <comment ref="N5" authorId="0">
      <text>
        <r>
          <rPr>
            <sz val="9"/>
            <color indexed="81"/>
            <rFont val="Tahoma"/>
            <family val="2"/>
          </rPr>
          <t>PADD with the most unplanned offline this year. Click 'Jump to PADD' below.</t>
        </r>
      </text>
    </comment>
  </commentList>
</comments>
</file>

<file path=xl/comments2.xml><?xml version="1.0" encoding="utf-8"?>
<comments xmlns="http://schemas.openxmlformats.org/spreadsheetml/2006/main">
  <authors>
    <author>Model</author>
  </authors>
  <commentList>
    <comment ref="B7" authorId="0">
      <text>
        <r>
          <rPr>
            <sz val="9"/>
            <color indexed="81"/>
            <rFont val="Tahoma"/>
            <family val="2"/>
          </rPr>
          <t>Choose a PADD (or 'Total US' for the whole country) or a unit category (or 'All Units'). Everything below updates instantly.</t>
        </r>
      </text>
    </comment>
    <comment ref="H7" authorId="0">
      <text>
        <r>
          <rPr>
            <sz val="9"/>
            <color indexed="81"/>
            <rFont val="Tahoma"/>
            <family val="2"/>
          </rPr>
          <t>Capacity = total barrels/day offline. Mogas-eq = the gasoline-equivalent (capacity x each unit's mogas yield).</t>
        </r>
      </text>
    </comment>
    <comment ref="B57" authorId="0">
      <text>
        <r>
          <rPr>
            <sz val="9"/>
            <color indexed="81"/>
            <rFont val="Tahoma"/>
            <family val="2"/>
          </rPr>
          <t>Choose a PADD (or 'Total US' for the whole country) or a unit category (or 'All Units'). Everything below updates instantly.</t>
        </r>
      </text>
    </comment>
    <comment ref="H57" authorId="0">
      <text>
        <r>
          <rPr>
            <sz val="9"/>
            <color indexed="81"/>
            <rFont val="Tahoma"/>
            <family val="2"/>
          </rPr>
          <t>Capacity = total barrels/day offline. Mogas-eq = the gasoline-equivalent (capacity x each unit's mogas yield).</t>
        </r>
      </text>
    </comment>
  </commentList>
</comments>
</file>

<file path=xl/comments3.xml><?xml version="1.0" encoding="utf-8"?>
<comments xmlns="http://schemas.openxmlformats.org/spreadsheetml/2006/main">
  <authors>
    <author>Model</author>
  </authors>
  <commentList>
    <comment ref="B7" authorId="0">
      <text>
        <r>
          <rPr>
            <sz val="9"/>
            <color indexed="81"/>
            <rFont val="Tahoma"/>
            <family val="2"/>
          </rPr>
          <t>The years used to build the 2027 seasonal baseline - drives the whole cascade.</t>
        </r>
      </text>
    </comment>
    <comment ref="B8" authorId="0">
      <text>
        <r>
          <rPr>
            <sz val="9"/>
            <color indexed="81"/>
            <rFont val="Tahoma"/>
            <family val="2"/>
          </rPr>
          <t>Scales the baseline up/down for runs growth. Enter e.g. 5% as 0.05.</t>
        </r>
      </text>
    </comment>
    <comment ref="B9" authorId="0">
      <text>
        <r>
          <rPr>
            <sz val="9"/>
            <color indexed="81"/>
            <rFont val="Tahoma"/>
            <family val="2"/>
          </rPr>
          <t>The risk dial: 1.0 = normal, 1.3 = a heavier unplanned year, 0.7 = calmer.</t>
        </r>
      </text>
    </comment>
    <comment ref="B10" authorId="0">
      <text>
        <r>
          <rPr>
            <sz val="9"/>
            <color indexed="81"/>
            <rFont val="Tahoma"/>
            <family val="2"/>
          </rPr>
          <t>Add a discrete shock (kbd) to the stress month below - e.g. a hurricane.</t>
        </r>
      </text>
    </comment>
  </commentList>
</comments>
</file>

<file path=xl/sharedStrings.xml><?xml version="1.0" encoding="utf-8"?>
<sst xmlns="http://schemas.openxmlformats.org/spreadsheetml/2006/main" count="17078" uniqueCount="340">
  <si>
    <t>Total US</t>
  </si>
  <si>
    <t>All</t>
  </si>
  <si>
    <t>Planned</t>
  </si>
  <si>
    <t>Unplanned</t>
  </si>
  <si>
    <t>PADD 1</t>
  </si>
  <si>
    <t>PADD 2</t>
  </si>
  <si>
    <t>PADD 3</t>
  </si>
  <si>
    <t>PADD 4</t>
  </si>
  <si>
    <t>PADD 5</t>
  </si>
  <si>
    <t>year</t>
  </si>
  <si>
    <t>month</t>
  </si>
  <si>
    <t>key</t>
  </si>
  <si>
    <t>type</t>
  </si>
  <si>
    <t>kbd</t>
  </si>
  <si>
    <t>mogas</t>
  </si>
  <si>
    <t>All Units</t>
  </si>
  <si>
    <t>ATMOS DISTILLATION</t>
  </si>
  <si>
    <t>HYDROTREATING</t>
  </si>
  <si>
    <t>FLUID CAT CRACKING</t>
  </si>
  <si>
    <t>VACUUM DISTILLATION</t>
  </si>
  <si>
    <t>REFORMING</t>
  </si>
  <si>
    <t>COKING</t>
  </si>
  <si>
    <t>HYDROCRACKING</t>
  </si>
  <si>
    <t>ALKYLATION</t>
  </si>
  <si>
    <t>ISOMERIZATION</t>
  </si>
  <si>
    <t>OTHER</t>
  </si>
  <si>
    <t>RESID_HYDROCRACKING</t>
  </si>
  <si>
    <t>ASPHALT</t>
  </si>
  <si>
    <t>BTX</t>
  </si>
  <si>
    <t>AROMATICS</t>
  </si>
  <si>
    <t>MTBE</t>
  </si>
  <si>
    <t>THERM CRACKING, VISBREAKING</t>
  </si>
  <si>
    <t>GAS PROCESSING</t>
  </si>
  <si>
    <t>REFINERY OUTAGE ANALYTICS</t>
  </si>
  <si>
    <t>Capacity offline (kbd) - planned &amp; unplanned - interactive model &amp; 2027 scenario</t>
  </si>
  <si>
    <t>Primary metric</t>
  </si>
  <si>
    <t>CAP_OFFLINE_ADJUSTED_KBD - capacity offline, thousand bbl/day, all units.</t>
  </si>
  <si>
    <t>Data vintage</t>
  </si>
  <si>
    <t>46,456 rows | 2010-2038 | 19,934 distinct outages | PADD 100% resolved.</t>
  </si>
  <si>
    <t>Outage type</t>
  </si>
  <si>
    <t>Binary {PLANNED, UNPLANNED}; UNKNOWN folded into UNPLANNED (desk rule).</t>
  </si>
  <si>
    <t>Mogas overlay</t>
  </si>
  <si>
    <t>Mogas-equivalent = capacity x unit yield (secondary; on Units &amp; Refineries).</t>
  </si>
  <si>
    <t>This Week's Reads (auto-generated from the data)</t>
  </si>
  <si>
    <t>•  PADD 5 unplanned +181% YoY in 2025 (biggest riser); PADD 2 -49% (biggest faller).</t>
  </si>
  <si>
    <t>•  2025 unplanned peaked in Apr (2,621 kbd) - watch the Feb-freeze / autumn-turnaround windows.</t>
  </si>
  <si>
    <t>•  Naphtha/octane-complex offline 2,622 kbd in 2025 (-40% YoY) - direct octane/blending read.</t>
  </si>
  <si>
    <t>•  2027 implied total ~37,713 kbd (15,923 planned + ~21,790 modeled unplanned).</t>
  </si>
  <si>
    <t>Read-Before-Use Caveats</t>
  </si>
  <si>
    <t>•  2026 &amp; 2027 are PARTIAL / special - shown grey italic and never presented as final.</t>
  </si>
  <si>
    <t>•  2027 is PLANNED-ONLY; unplanned-2027 is a MODELED scenario, not an actual.</t>
  </si>
  <si>
    <t>•  Guardrail: any Plan+Unplanned / Unplanned comparison vs 2027 shows n/a; only Planned is valid.</t>
  </si>
  <si>
    <t>•  2020-2021 (COVID / Winter Storm Uri) are excluded from forecast baselines by default.</t>
  </si>
  <si>
    <t>Contents</t>
  </si>
  <si>
    <t>Dashboard</t>
  </si>
  <si>
    <t>KPIs and headline charts</t>
  </si>
  <si>
    <t>Explorer</t>
  </si>
  <si>
    <t>Interactive: dropdown PADD/unit/type -&gt; live monthly grid + YoY% + chart</t>
  </si>
  <si>
    <t>Trends</t>
  </si>
  <si>
    <t>Annual table, comparisons, monthly matrices + month-by-month YoY%</t>
  </si>
  <si>
    <t>PADD</t>
  </si>
  <si>
    <t>Per-PADD combo charts and PADD x year detail</t>
  </si>
  <si>
    <t>Units &amp; Refineries</t>
  </si>
  <si>
    <t>Unit categories (share/YoY%), top refineries, operators, scatter, mogas</t>
  </si>
  <si>
    <t>Events &amp; TAs</t>
  </si>
  <si>
    <t>Back-to-back FCC clusters and the 2026 turnaround schedule</t>
  </si>
  <si>
    <t>Model</t>
  </si>
  <si>
    <t>Live 2027 scenario (dropdowns) + sensitivity heatmap &amp; tornado</t>
  </si>
  <si>
    <t>Color Key</t>
  </si>
  <si>
    <t>Blue font</t>
  </si>
  <si>
    <t>Hard-coded input you change</t>
  </si>
  <si>
    <t>Black font</t>
  </si>
  <si>
    <t>Formula / calculation</t>
  </si>
  <si>
    <t>Green font</t>
  </si>
  <si>
    <t>Cross-sheet link</t>
  </si>
  <si>
    <t>Yellow fill</t>
  </si>
  <si>
    <t>Key assumption / dropdown</t>
  </si>
  <si>
    <t>Home</t>
  </si>
  <si>
    <t>Snowflake export  |  46,456 rows  |  2010-2038  |  primary metric kbd</t>
  </si>
  <si>
    <t>Outage Dashboard</t>
  </si>
  <si>
    <t>Headline metrics - latest full year 2025. Use Explorer to slice by PADD/unit.</t>
  </si>
  <si>
    <t>Total Offline</t>
  </si>
  <si>
    <t>FY2025</t>
  </si>
  <si>
    <t>Unplanned %</t>
  </si>
  <si>
    <t>of total</t>
  </si>
  <si>
    <t>Distinct Outages</t>
  </si>
  <si>
    <t>Top PADD</t>
  </si>
  <si>
    <t>by unplanned</t>
  </si>
  <si>
    <t>Jump to:</t>
  </si>
  <si>
    <t>Chart data (kbd)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</si>
  <si>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</si>
  <si>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</si>
  <si>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</si>
  <si>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</si>
  <si>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</si>
  <si>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</si>
  <si>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</si>
  <si>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</si>
  <si>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</si>
  <si>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</si>
  <si>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</si>
  <si>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</si>
  <si>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</si>
  <si>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</si>
  <si>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Explorer - Interactive Monthly View</t>
  </si>
  <si>
    <t>Pick a PADD or unit and a type from the yellow dropdowns - the grids, the month-by-month YoY% and the chart all recompute live.</t>
  </si>
  <si>
    <t>Quick start:  1) pick a Select  2) pick a Type  3) pick a Measure (Capacity or Mogas)  -&gt;  the grid, the YoY% arrows and the chart update. Hover any yellow cell for a tip.</t>
  </si>
  <si>
    <t>View by PADD</t>
  </si>
  <si>
    <t>Select</t>
  </si>
  <si>
    <t>Type</t>
  </si>
  <si>
    <t>Measure</t>
  </si>
  <si>
    <t>Capacity (kbd)</t>
  </si>
  <si>
    <t>Sel. 2025 total:</t>
  </si>
  <si>
    <t>Monthly (kbd) - live</t>
  </si>
  <si>
    <t>Total</t>
  </si>
  <si>
    <t>YoY % Change by Month - live (this month vs same month, prior year)</t>
  </si>
  <si>
    <t>-</t>
  </si>
  <si>
    <t>View by Unit Category</t>
  </si>
  <si>
    <t>Trends - Annual &amp; Monthly</t>
  </si>
  <si>
    <t>Annual summary, targeted comparisons, monthly matrices and month-by-month YoY%.</t>
  </si>
  <si>
    <t>Annual Capacity Offline (kbd)</t>
  </si>
  <si>
    <t>Events</t>
  </si>
  <si>
    <t>Unpl %</t>
  </si>
  <si>
    <t>YoY Δ</t>
  </si>
  <si>
    <t>YoY %</t>
  </si>
  <si>
    <t>Targeted Year Comparisons (Δ% vs base year; n/a vs 2027 unplanned)</t>
  </si>
  <si>
    <t>2025 → 2026</t>
  </si>
  <si>
    <t>2025</t>
  </si>
  <si>
    <t>2026</t>
  </si>
  <si>
    <t>Δ kbd</t>
  </si>
  <si>
    <t>Δ %</t>
  </si>
  <si>
    <t>Plan + Unplanned</t>
  </si>
  <si>
    <t>2025 → 2027</t>
  </si>
  <si>
    <t>2027</t>
  </si>
  <si>
    <t>n/a</t>
  </si>
  <si>
    <t>2026 → 2027</t>
  </si>
  <si>
    <t>Total Offline - Monthly (kbd)</t>
  </si>
  <si>
    <t>Trend</t>
  </si>
  <si>
    <t>Planned - Monthly (kbd)</t>
  </si>
  <si>
    <t>Unplanned - Monthly (kbd)</t>
  </si>
  <si>
    <t>Unplanned - YoY % Change by Month (this month vs same month, prior year)</t>
  </si>
  <si>
    <t>Total Offline - YoY % Change by Month (this month vs same month, prior year)</t>
  </si>
  <si>
    <t>PADD Detail &amp; Charts</t>
  </si>
  <si>
    <t>Per-PADD combo charts (2026 plan+unplanned bars vs prior-year totals &amp; 2027 plan) and PADD x year matrices.</t>
  </si>
  <si>
    <t>PADD 1 - 2026 plan+unplanned vs 2023-25 totals &amp; 2027 plan</t>
  </si>
  <si>
    <t>Series</t>
  </si>
  <si>
    <t>2026 Planned</t>
  </si>
  <si>
    <t>2026 Unplanned</t>
  </si>
  <si>
    <t>2025 Total</t>
  </si>
  <si>
    <t>2024 Total</t>
  </si>
  <si>
    <t>2023 Total</t>
  </si>
  <si>
    <t>2027 Planned</t>
  </si>
  <si>
    <t>PADD 2 - 2026 plan+unplanned vs 2023-25 totals &amp; 2027 plan</t>
  </si>
  <si>
    <t>PADD 3 - 2026 plan+unplanned vs 2023-25 totals &amp; 2027 plan</t>
  </si>
  <si>
    <t>PADD 4 - 2026 plan+unplanned vs 2023-25 totals &amp; 2027 plan</t>
  </si>
  <si>
    <t>PADD 5 - 2026 plan+unplanned vs 2023-25 totals &amp; 2027 plan</t>
  </si>
  <si>
    <t>Total Offline - PADD x Year (kbd)</t>
  </si>
  <si>
    <t>Unplanned - PADD x Year (kbd)</t>
  </si>
  <si>
    <t>Planned - PADD x Year (kbd)</t>
  </si>
  <si>
    <t>Unit-category mix (share &amp; YoY%), top refineries and operators, event scatter, and the mogas overlay.</t>
  </si>
  <si>
    <t>Capacity Offline by Unit Category (kbd) + share &amp; YoY%</t>
  </si>
  <si>
    <t>Unit Category</t>
  </si>
  <si>
    <t>% '25</t>
  </si>
  <si>
    <t>YoY%</t>
  </si>
  <si>
    <t>Atmos Distillation</t>
  </si>
  <si>
    <t>Hydrotreating</t>
  </si>
  <si>
    <t>Fluid Cat Cracking</t>
  </si>
  <si>
    <t>Vacuum Distillation</t>
  </si>
  <si>
    <t>Reforming</t>
  </si>
  <si>
    <t>Coking</t>
  </si>
  <si>
    <t>Hydrocracking</t>
  </si>
  <si>
    <t>Alkylation</t>
  </si>
  <si>
    <t>Isomerization</t>
  </si>
  <si>
    <t>Other</t>
  </si>
  <si>
    <t>Resid_Hydrocracking</t>
  </si>
  <si>
    <t>Asphalt</t>
  </si>
  <si>
    <t>Btx</t>
  </si>
  <si>
    <t>Aromatics</t>
  </si>
  <si>
    <t>Mtbe</t>
  </si>
  <si>
    <t>Therm Cracking, Visbreaking</t>
  </si>
  <si>
    <t>Gas Processing</t>
  </si>
  <si>
    <t>Naphtha / Octane Complex Offline (kbd) - reforming + isomerization + aromatics/BTX</t>
  </si>
  <si>
    <t>These naphtha-fed units set gasoline octane; offline here squeezes octane/blending even if crude runs hold - a read CDU-only trackers miss.</t>
  </si>
  <si>
    <t>PADD (2025)</t>
  </si>
  <si>
    <t>Top 15 Refineries by Capacity Offline (kbd)</t>
  </si>
  <si>
    <t>Refinery</t>
  </si>
  <si>
    <t>Operator</t>
  </si>
  <si>
    <t>Alliance Refinery</t>
  </si>
  <si>
    <t>Phillips 66</t>
  </si>
  <si>
    <t>Galveston Bay Refinery (GBR)</t>
  </si>
  <si>
    <t>Marathon</t>
  </si>
  <si>
    <t>Lake Charles Refinery (CITGO)</t>
  </si>
  <si>
    <t>Citgo</t>
  </si>
  <si>
    <t>Port Arthur Refinery (Motiva)</t>
  </si>
  <si>
    <t>Motiva Enterprises</t>
  </si>
  <si>
    <t>Whiting Refinery</t>
  </si>
  <si>
    <t>Bp</t>
  </si>
  <si>
    <t>Port Arthur Refinery (Valero)</t>
  </si>
  <si>
    <t>Valero</t>
  </si>
  <si>
    <t>Garyville Refinery</t>
  </si>
  <si>
    <t>Baytown Refinery</t>
  </si>
  <si>
    <t>Exxonmobil</t>
  </si>
  <si>
    <t>Beaumont Refinery</t>
  </si>
  <si>
    <t>Wood River Refinery</t>
  </si>
  <si>
    <t>Baton Rouge Refinery</t>
  </si>
  <si>
    <t>El Segundo Refinery</t>
  </si>
  <si>
    <t>Chevron</t>
  </si>
  <si>
    <t>Joliet Refinery</t>
  </si>
  <si>
    <t>Deer Park Refinery</t>
  </si>
  <si>
    <t>Deer Park</t>
  </si>
  <si>
    <t>Pascagoula Refinery</t>
  </si>
  <si>
    <t>Top 10 Operators x Year (kbd)</t>
  </si>
  <si>
    <t>Cenovus</t>
  </si>
  <si>
    <t>Shell Oil Us</t>
  </si>
  <si>
    <t>Unplanned Events: Capacity vs Duration (2023-25) | Mogas Overlay</t>
  </si>
  <si>
    <t>Duration (days)</t>
  </si>
  <si>
    <t>Bucket</t>
  </si>
  <si>
    <t>Factor</t>
  </si>
  <si>
    <t>Unit categories</t>
  </si>
  <si>
    <t>CDU</t>
  </si>
  <si>
    <t>Atmos Distillation, Vacuum Distillation</t>
  </si>
  <si>
    <t>FCC</t>
  </si>
  <si>
    <t>Ref</t>
  </si>
  <si>
    <t>HDC</t>
  </si>
  <si>
    <t>Hydrocracking, Resid_Hydrocracking</t>
  </si>
  <si>
    <t>Coker</t>
  </si>
  <si>
    <t>Coking, Therm Cracking, Visbreaking, Therm Cracking/Visbreaking</t>
  </si>
  <si>
    <t>Alkylation, Aromatics, Asphalt, Btx, Gas Processing, Hydrotreating, Isomerization, Mtbe, Other</t>
  </si>
  <si>
    <t>Mogas-Equivalent Offline by Year (kbd)</t>
  </si>
  <si>
    <t>Events &amp; Turnarounds</t>
  </si>
  <si>
    <t>Back-to-back FCC clusters external trackers miss, and the 2026 planned turnaround schedule by PADD.</t>
  </si>
  <si>
    <t>ExxonMobil FCC Offline (kbd) - Plant x Month, 2022-2026  (adjacent shaded cells = a run)</t>
  </si>
  <si>
    <t>Plant (Year)</t>
  </si>
  <si>
    <t>Baton Rouge 2022</t>
  </si>
  <si>
    <t>Baton Rouge 2023</t>
  </si>
  <si>
    <t>Baton Rouge 2024</t>
  </si>
  <si>
    <t>Baton Rouge 2025</t>
  </si>
  <si>
    <t>Baytown 2022</t>
  </si>
  <si>
    <t>Baytown 2023</t>
  </si>
  <si>
    <t>Baytown 2026</t>
  </si>
  <si>
    <t>Beaumont 2022</t>
  </si>
  <si>
    <t>Beaumont 2023</t>
  </si>
  <si>
    <t>Beaumont 2024</t>
  </si>
  <si>
    <t>Beaumont 2025</t>
  </si>
  <si>
    <t>Beaumont 2026</t>
  </si>
  <si>
    <t>Joliet 2022</t>
  </si>
  <si>
    <t>Joliet 2024</t>
  </si>
  <si>
    <t>Joliet 2025</t>
  </si>
  <si>
    <t>Joliet 2026</t>
  </si>
  <si>
    <t>ExxonMobil FCC Back-to-Back Runs (&gt;=3 months, ex-2020)</t>
  </si>
  <si>
    <t>Span</t>
  </si>
  <si>
    <t>Mo</t>
  </si>
  <si>
    <t>Unpl%</t>
  </si>
  <si>
    <t>Jan-Jun</t>
  </si>
  <si>
    <t>Mar-Aug</t>
  </si>
  <si>
    <t>Feb-Jun</t>
  </si>
  <si>
    <t>Jan-Apr</t>
  </si>
  <si>
    <t>Jul-Oct</t>
  </si>
  <si>
    <t>Aug-Nov</t>
  </si>
  <si>
    <t>Mar-Jun</t>
  </si>
  <si>
    <t>Apr-Jul</t>
  </si>
  <si>
    <t>Feb-May</t>
  </si>
  <si>
    <t>Jan-Mar</t>
  </si>
  <si>
    <t>Feb-Apr</t>
  </si>
  <si>
    <t>May-Jul</t>
  </si>
  <si>
    <t>Apr-Jun</t>
  </si>
  <si>
    <t>Sep-Nov</t>
  </si>
  <si>
    <t>PADD 3 - 2026 Planned TAs (top 12 by size)</t>
  </si>
  <si>
    <t>Unit</t>
  </si>
  <si>
    <t>Offline</t>
  </si>
  <si>
    <t>% PADD</t>
  </si>
  <si>
    <t>Start</t>
  </si>
  <si>
    <t>End</t>
  </si>
  <si>
    <t>El Paso North Refinery</t>
  </si>
  <si>
    <t>Meraux Refinery</t>
  </si>
  <si>
    <t>Borger Refinery</t>
  </si>
  <si>
    <t>Houston Refinery (Valero)</t>
  </si>
  <si>
    <t>Flint Hills Resour</t>
  </si>
  <si>
    <t>Corpus Christi Refinery - West (Flint Hills)</t>
  </si>
  <si>
    <t>Texas City Refinery</t>
  </si>
  <si>
    <t>PADD 2 - 2026 Planned TAs (top 12 by size)</t>
  </si>
  <si>
    <t>Catlettsburg</t>
  </si>
  <si>
    <t>Catlettsburg Refinery 2 - North</t>
  </si>
  <si>
    <t>Toledo Refinery (Cenovus)</t>
  </si>
  <si>
    <t>Lemont Refinery</t>
  </si>
  <si>
    <t>PADD 5 - 2026 Planned TAs (top 12 by size)</t>
  </si>
  <si>
    <t>Los Angeles Refinery - Carson (Marathon)</t>
  </si>
  <si>
    <t>Torrance</t>
  </si>
  <si>
    <t>Torrance Refinery</t>
  </si>
  <si>
    <t>Richmond Refinery</t>
  </si>
  <si>
    <t>San Joaquin</t>
  </si>
  <si>
    <t>Bakersfield Refinery (San Joaquin)</t>
  </si>
  <si>
    <t>Par Pacific Holdin</t>
  </si>
  <si>
    <t>Tacoma Refinery</t>
  </si>
  <si>
    <t>Benicia Refinery</t>
  </si>
  <si>
    <t>2027 Scenario &amp; Sensitivity (Live Model)</t>
  </si>
  <si>
    <t>Edit the yellow inputs - the forecast, per-PADD split, heatmap and tornado all recompute.</t>
  </si>
  <si>
    <t>Scenario Inputs</t>
  </si>
  <si>
    <t>Baseline window</t>
  </si>
  <si>
    <t>2022-2025</t>
  </si>
  <si>
    <t>Production growth %</t>
  </si>
  <si>
    <t>Unplanned multiplier</t>
  </si>
  <si>
    <t>One-off event (kbd)</t>
  </si>
  <si>
    <t>Stress month</t>
  </si>
  <si>
    <t>Lookup - Avg Unplanned Offline (kbd/month) by Window</t>
  </si>
  <si>
    <t>Window</t>
  </si>
  <si>
    <t>2023-2025</t>
  </si>
  <si>
    <t>2018-19 &amp; 22-25</t>
  </si>
  <si>
    <t>All ex-2020/21</t>
  </si>
  <si>
    <t>2027 Unplanned Forecast Cascade (live)</t>
  </si>
  <si>
    <t>Baseline (window)</t>
  </si>
  <si>
    <t>Forecast unplanned</t>
  </si>
  <si>
    <t>Scenario Outputs</t>
  </si>
  <si>
    <t>Baseline annual (pre-shock)</t>
  </si>
  <si>
    <t>2027 Unplanned forecast</t>
  </si>
  <si>
    <t>2027 Planned (booked)</t>
  </si>
  <si>
    <t>2027 Implied total</t>
  </si>
  <si>
    <t>Unplanned range (P25 / P50 / P90)</t>
  </si>
  <si>
    <t>Implied total (P50 / P90)</t>
  </si>
  <si>
    <t>2027 Scenario by PADD (each PADD's own seasonality, live)</t>
  </si>
  <si>
    <t>Baseline</t>
  </si>
  <si>
    <t>Scenario</t>
  </si>
  <si>
    <t>Share</t>
  </si>
  <si>
    <t>Forecast vs Actuals (chart data)</t>
  </si>
  <si>
    <t>2027 Scenario</t>
  </si>
  <si>
    <t>2025 Unplanned</t>
  </si>
  <si>
    <t>2024 Unplanned</t>
  </si>
  <si>
    <t>Sensitivity - 2027 Unplanned (kbd): Growth (rows) x Multiplier (cols)</t>
  </si>
  <si>
    <t>Growth \ Mult</t>
  </si>
  <si>
    <t>Tornado - 2027 Unplanned Sensitivity by Driver (kbd)</t>
  </si>
  <si>
    <t>Driver</t>
  </si>
  <si>
    <t>Low</t>
  </si>
  <si>
    <t>Base</t>
  </si>
  <si>
    <t>High</t>
  </si>
  <si>
    <t>Δ Low</t>
  </si>
  <si>
    <t>Δ High</t>
  </si>
  <si>
    <t>Unplanned rate multiplier (0.7x / 1.3x)</t>
  </si>
  <si>
    <t>Baseline window swing (+/-15%)</t>
  </si>
  <si>
    <t>Production growth (-10% / +10%)</t>
  </si>
  <si>
    <t>One-off event (+300 kbd)</t>
  </si>
</sst>
</file>

<file path=xl/styles.xml><?xml version="1.0" encoding="utf-8"?>
<styleSheet xmlns="http://schemas.openxmlformats.org/spreadsheetml/2006/main">
  <numFmts count="10">
    <numFmt numFmtId="164" formatCode="#,##0"/>
    <numFmt numFmtId="165" formatCode="0%"/>
    <numFmt numFmtId="166" formatCode="@"/>
    <numFmt numFmtId="167" formatCode="#,##0;(#,##0);&quot;-&quot;"/>
    <numFmt numFmtId="168" formatCode="+0.0%;-0.0%;0.0%"/>
    <numFmt numFmtId="169" formatCode="0.0%"/>
    <numFmt numFmtId="170" formatCode="0.000"/>
    <numFmt numFmtId="171" formatCode="#,##0;;&quot;&quot;"/>
    <numFmt numFmtId="172" formatCode="mm/dd/yy"/>
    <numFmt numFmtId="173" formatCode="0.0&quot;x&quot;"/>
  </numFmts>
  <fonts count="30">
    <font>
      <sz val="11"/>
      <color theme="1"/>
      <name val="Calibri"/>
      <family val="2"/>
      <scheme val="minor"/>
    </font>
    <font>
      <b/>
      <sz val="17"/>
      <color rgb="FF1F3864"/>
      <name val="Arial"/>
      <family val="2"/>
    </font>
    <font>
      <i/>
      <sz val="10"/>
      <color rgb="FF595959"/>
      <name val="Arial"/>
      <family val="2"/>
    </font>
    <font>
      <b/>
      <sz val="9.5"/>
      <color rgb="FF1F3864"/>
      <name val="Arial"/>
      <family val="2"/>
    </font>
    <font>
      <sz val="9.5"/>
      <color rgb="FF404040"/>
      <name val="Arial"/>
      <family val="2"/>
    </font>
    <font>
      <b/>
      <sz val="10.5"/>
      <color rgb="FFFFFFFF"/>
      <name val="Arial"/>
      <family val="2"/>
    </font>
    <font>
      <b/>
      <sz val="9.5"/>
      <color rgb="FFC00000"/>
      <name val="Arial"/>
      <family val="2"/>
    </font>
    <font>
      <b/>
      <u/>
      <sz val="10"/>
      <color rgb="FF2E5496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8000"/>
      <name val="Arial"/>
      <family val="2"/>
    </font>
    <font>
      <i/>
      <sz val="8"/>
      <color rgb="FF808080"/>
      <name val="Arial"/>
      <family val="2"/>
    </font>
    <font>
      <b/>
      <sz val="9.5"/>
      <color rgb="FFFFFFFF"/>
      <name val="Arial"/>
      <family val="2"/>
    </font>
    <font>
      <b/>
      <sz val="18"/>
      <color rgb="FF1F3864"/>
      <name val="Arial"/>
      <family val="2"/>
    </font>
    <font>
      <b/>
      <sz val="14"/>
      <color rgb="FF1F3864"/>
      <name val="Arial"/>
      <family val="2"/>
    </font>
    <font>
      <i/>
      <sz val="8"/>
      <color rgb="FF595959"/>
      <name val="Arial"/>
      <family val="2"/>
    </font>
    <font>
      <b/>
      <u/>
      <sz val="11"/>
      <color rgb="FF2E5496"/>
      <name val="Arial"/>
      <family val="2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b/>
      <sz val="9.5"/>
      <color rgb="FF7F600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1"/>
      <color rgb="FF1F3864"/>
      <name val="Arial"/>
      <family val="2"/>
    </font>
    <font>
      <b/>
      <sz val="9"/>
      <color rgb="FFD9D9D9"/>
      <name val="Arial"/>
      <family val="2"/>
    </font>
    <font>
      <i/>
      <sz val="10"/>
      <color rgb="FF808080"/>
      <name val="Arial"/>
      <family val="2"/>
    </font>
    <font>
      <sz val="11"/>
      <color theme="1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8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9C65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</fills>
  <borders count="8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5" fillId="4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8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9" fillId="6" borderId="0" xfId="0" applyFont="1" applyFill="1"/>
    <xf numFmtId="0" fontId="11" fillId="0" borderId="0" xfId="0" applyFont="1" applyAlignment="1">
      <alignment horizontal="right"/>
    </xf>
    <xf numFmtId="0" fontId="12" fillId="7" borderId="0" xfId="0" applyFont="1" applyFill="1" applyAlignment="1">
      <alignment horizontal="center" vertical="center" wrapText="1"/>
    </xf>
    <xf numFmtId="164" fontId="13" fillId="8" borderId="0" xfId="0" applyNumberFormat="1" applyFont="1" applyFill="1" applyAlignment="1">
      <alignment horizontal="center" vertical="center"/>
    </xf>
    <xf numFmtId="165" fontId="13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 vertical="center" indent="1"/>
    </xf>
    <xf numFmtId="0" fontId="17" fillId="4" borderId="2" xfId="0" applyFont="1" applyFill="1" applyBorder="1" applyAlignment="1">
      <alignment horizontal="center" vertical="center"/>
    </xf>
    <xf numFmtId="166" fontId="17" fillId="4" borderId="2" xfId="0" applyNumberFormat="1" applyFont="1" applyFill="1" applyBorder="1" applyAlignment="1">
      <alignment horizontal="center" vertical="center"/>
    </xf>
    <xf numFmtId="167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indent="1"/>
    </xf>
    <xf numFmtId="0" fontId="19" fillId="6" borderId="3" xfId="0" applyFont="1" applyFill="1" applyBorder="1" applyAlignment="1">
      <alignment horizontal="left" indent="1"/>
    </xf>
    <xf numFmtId="0" fontId="20" fillId="6" borderId="3" xfId="0" applyFont="1" applyFill="1" applyBorder="1" applyAlignment="1">
      <alignment horizontal="left" vertical="center" indent="1"/>
    </xf>
    <xf numFmtId="0" fontId="21" fillId="6" borderId="3" xfId="0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right"/>
    </xf>
    <xf numFmtId="0" fontId="22" fillId="8" borderId="0" xfId="0" applyFont="1" applyFill="1" applyAlignment="1">
      <alignment horizontal="left" indent="1"/>
    </xf>
    <xf numFmtId="1" fontId="17" fillId="4" borderId="2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right"/>
    </xf>
    <xf numFmtId="1" fontId="23" fillId="4" borderId="2" xfId="0" applyNumberFormat="1" applyFont="1" applyFill="1" applyBorder="1" applyAlignment="1">
      <alignment horizontal="center" vertical="center"/>
    </xf>
    <xf numFmtId="167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8" fontId="18" fillId="0" borderId="0" xfId="0" applyNumberFormat="1" applyFont="1" applyAlignment="1">
      <alignment horizontal="right"/>
    </xf>
    <xf numFmtId="169" fontId="24" fillId="0" borderId="0" xfId="0" applyNumberFormat="1" applyFont="1" applyAlignment="1">
      <alignment horizontal="right"/>
    </xf>
    <xf numFmtId="0" fontId="5" fillId="9" borderId="0" xfId="0" applyFont="1" applyFill="1" applyAlignment="1">
      <alignment horizontal="left" vertical="center" indent="1"/>
    </xf>
    <xf numFmtId="169" fontId="18" fillId="0" borderId="0" xfId="0" applyNumberFormat="1" applyFont="1" applyAlignment="1">
      <alignment horizontal="right"/>
    </xf>
    <xf numFmtId="166" fontId="23" fillId="4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167" fontId="18" fillId="10" borderId="0" xfId="0" applyNumberFormat="1" applyFont="1" applyFill="1" applyAlignment="1">
      <alignment horizontal="right"/>
    </xf>
    <xf numFmtId="167" fontId="24" fillId="10" borderId="0" xfId="0" applyNumberFormat="1" applyFont="1" applyFill="1" applyAlignment="1">
      <alignment horizontal="right"/>
    </xf>
    <xf numFmtId="0" fontId="5" fillId="11" borderId="0" xfId="0" applyFont="1" applyFill="1" applyAlignment="1">
      <alignment horizontal="left" vertical="center" indent="1"/>
    </xf>
    <xf numFmtId="170" fontId="25" fillId="0" borderId="0" xfId="0" applyNumberFormat="1" applyFont="1" applyAlignment="1">
      <alignment horizontal="center"/>
    </xf>
    <xf numFmtId="0" fontId="5" fillId="12" borderId="0" xfId="0" applyFont="1" applyFill="1" applyAlignment="1">
      <alignment horizontal="left" vertical="center" indent="1"/>
    </xf>
    <xf numFmtId="171" fontId="25" fillId="0" borderId="4" xfId="0" applyNumberFormat="1" applyFont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25" fillId="10" borderId="0" xfId="0" applyFont="1" applyFill="1" applyAlignment="1">
      <alignment horizontal="left" indent="1"/>
    </xf>
    <xf numFmtId="172" fontId="18" fillId="10" borderId="0" xfId="0" applyNumberFormat="1" applyFont="1" applyFill="1" applyAlignment="1">
      <alignment horizontal="center"/>
    </xf>
    <xf numFmtId="169" fontId="21" fillId="6" borderId="3" xfId="0" applyNumberFormat="1" applyFont="1" applyFill="1" applyBorder="1" applyAlignment="1">
      <alignment horizontal="center" vertical="center"/>
    </xf>
    <xf numFmtId="173" fontId="21" fillId="6" borderId="3" xfId="0" applyNumberFormat="1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right"/>
    </xf>
    <xf numFmtId="169" fontId="26" fillId="0" borderId="0" xfId="0" applyNumberFormat="1" applyFont="1" applyAlignment="1">
      <alignment horizontal="right"/>
    </xf>
    <xf numFmtId="0" fontId="27" fillId="4" borderId="5" xfId="0" applyFont="1" applyFill="1" applyBorder="1" applyAlignment="1">
      <alignment horizontal="center" vertical="center"/>
    </xf>
    <xf numFmtId="173" fontId="27" fillId="4" borderId="5" xfId="0" applyNumberFormat="1" applyFont="1" applyFill="1" applyBorder="1" applyAlignment="1">
      <alignment horizontal="center" vertical="center"/>
    </xf>
    <xf numFmtId="169" fontId="27" fillId="4" borderId="5" xfId="0" applyNumberFormat="1" applyFont="1" applyFill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0" fontId="2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Capacity Offline by Year (Planned + Unplanned)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Dashboard!$C$29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1F3864"/>
            </a:solidFill>
          </c:spPr>
          <c:cat>
            <c:numRef>
              <c:f>Dashboard!$B$30:$B$41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Dashboard!$C$30:$C$41</c:f>
              <c:numCache>
                <c:formatCode>General</c:formatCode>
                <c:ptCount val="12"/>
                <c:pt idx="0">
                  <c:v>18970.5414</c:v>
                </c:pt>
                <c:pt idx="1">
                  <c:v>19379.438</c:v>
                </c:pt>
                <c:pt idx="2">
                  <c:v>20666.8937</c:v>
                </c:pt>
                <c:pt idx="3">
                  <c:v>24322.1946</c:v>
                </c:pt>
                <c:pt idx="4">
                  <c:v>25471.7365</c:v>
                </c:pt>
                <c:pt idx="5">
                  <c:v>25740.7337</c:v>
                </c:pt>
                <c:pt idx="6">
                  <c:v>24430.7107</c:v>
                </c:pt>
                <c:pt idx="7">
                  <c:v>26140.2458</c:v>
                </c:pt>
                <c:pt idx="8">
                  <c:v>20382.4957</c:v>
                </c:pt>
                <c:pt idx="9">
                  <c:v>19416.5201</c:v>
                </c:pt>
                <c:pt idx="10">
                  <c:v>12029.062</c:v>
                </c:pt>
                <c:pt idx="11">
                  <c:v>15923.1696</c:v>
                </c:pt>
              </c:numCache>
            </c:numRef>
          </c:val>
        </c:ser>
        <c:ser>
          <c:idx val="1"/>
          <c:order val="1"/>
          <c:tx>
            <c:strRef>
              <c:f>Dashboard!$D$29</c:f>
              <c:strCache>
                <c:ptCount val="1"/>
                <c:pt idx="0">
                  <c:v>Unplanned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Dashboard!$B$30:$B$41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Dashboard!$D$30:$D$41</c:f>
              <c:numCache>
                <c:formatCode>General</c:formatCode>
                <c:ptCount val="12"/>
                <c:pt idx="0">
                  <c:v>10026.5576</c:v>
                </c:pt>
                <c:pt idx="1">
                  <c:v>17806.1563</c:v>
                </c:pt>
                <c:pt idx="2">
                  <c:v>11368.5909</c:v>
                </c:pt>
                <c:pt idx="3">
                  <c:v>18335.4043</c:v>
                </c:pt>
                <c:pt idx="4">
                  <c:v>124780.2455</c:v>
                </c:pt>
                <c:pt idx="5">
                  <c:v>67571.4237</c:v>
                </c:pt>
                <c:pt idx="6">
                  <c:v>22628.5092</c:v>
                </c:pt>
                <c:pt idx="7">
                  <c:v>23692.1589</c:v>
                </c:pt>
                <c:pt idx="8">
                  <c:v>21582.5668</c:v>
                </c:pt>
                <c:pt idx="9">
                  <c:v>19257.5535</c:v>
                </c:pt>
                <c:pt idx="10">
                  <c:v>8249.7958</c:v>
                </c:pt>
                <c:pt idx="11">
                  <c:v>0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Offline by PADD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Dashboard!$C$43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E5496"/>
            </a:solidFill>
          </c:spPr>
          <c:cat>
            <c:strRef>
              <c:f>Dashboard!$B$44:$B$48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Dashboard!$C$44:$C$48</c:f>
              <c:numCache>
                <c:formatCode>General</c:formatCode>
                <c:ptCount val="5"/>
                <c:pt idx="0">
                  <c:v>838.49</c:v>
                </c:pt>
                <c:pt idx="1">
                  <c:v>6764.0168</c:v>
                </c:pt>
                <c:pt idx="2">
                  <c:v>11315.8739</c:v>
                </c:pt>
                <c:pt idx="3">
                  <c:v>693.9537</c:v>
                </c:pt>
                <c:pt idx="4">
                  <c:v>3016.1748</c:v>
                </c:pt>
              </c:numCache>
            </c:numRef>
          </c:val>
        </c:ser>
        <c:ser>
          <c:idx val="1"/>
          <c:order val="1"/>
          <c:tx>
            <c:strRef>
              <c:f>Dashboard!$D$43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Dashboard!$B$44:$B$48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Dashboard!$D$44:$D$48</c:f>
              <c:numCache>
                <c:formatCode>General</c:formatCode>
                <c:ptCount val="5"/>
                <c:pt idx="0">
                  <c:v>879.2184999999999</c:v>
                </c:pt>
                <c:pt idx="1">
                  <c:v>6640.3387</c:v>
                </c:pt>
                <c:pt idx="2">
                  <c:v>11829.2618</c:v>
                </c:pt>
                <c:pt idx="3">
                  <c:v>1470.7124</c:v>
                </c:pt>
                <c:pt idx="4">
                  <c:v>2872.6275</c:v>
                </c:pt>
              </c:numCache>
            </c:numRef>
          </c:val>
        </c:ser>
        <c:ser>
          <c:idx val="2"/>
          <c:order val="2"/>
          <c:tx>
            <c:strRef>
              <c:f>Dashboard!$E$43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48235"/>
            </a:solidFill>
          </c:spPr>
          <c:cat>
            <c:strRef>
              <c:f>Dashboard!$B$44:$B$48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Dashboard!$E$44:$E$48</c:f>
              <c:numCache>
                <c:formatCode>General</c:formatCode>
                <c:ptCount val="5"/>
                <c:pt idx="0">
                  <c:v>758.0088</c:v>
                </c:pt>
                <c:pt idx="1">
                  <c:v>5602.5239</c:v>
                </c:pt>
                <c:pt idx="2">
                  <c:v>11810.3492</c:v>
                </c:pt>
                <c:pt idx="3">
                  <c:v>401.7754</c:v>
                </c:pt>
                <c:pt idx="4">
                  <c:v>3009.9095</c:v>
                </c:pt>
              </c:numCache>
            </c:numRef>
          </c:val>
        </c:ser>
        <c:ser>
          <c:idx val="3"/>
          <c:order val="3"/>
          <c:tx>
            <c:strRef>
              <c:f>Dashboard!$F$43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0000"/>
            </a:solidFill>
          </c:spPr>
          <c:cat>
            <c:strRef>
              <c:f>Dashboard!$B$44:$B$48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Dashboard!$F$44:$F$48</c:f>
              <c:numCache>
                <c:formatCode>General</c:formatCode>
                <c:ptCount val="5"/>
                <c:pt idx="0">
                  <c:v>1524.7432</c:v>
                </c:pt>
                <c:pt idx="1">
                  <c:v>2837.6686</c:v>
                </c:pt>
                <c:pt idx="2">
                  <c:v>6051.7432</c:v>
                </c:pt>
                <c:pt idx="3">
                  <c:v>381.1887</c:v>
                </c:pt>
                <c:pt idx="4">
                  <c:v>8462.209800000001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Share by PADD (2025)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Unplanned share 2025</c:v>
          </c:tx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5496"/>
              </a:solidFill>
            </c:spPr>
          </c:dPt>
          <c:dPt>
            <c:idx val="2"/>
            <c:spPr>
              <a:solidFill>
                <a:srgbClr val="BF9000"/>
              </a:solidFill>
            </c:spPr>
          </c:dPt>
          <c:dPt>
            <c:idx val="3"/>
            <c:spPr>
              <a:solidFill>
                <a:srgbClr val="548235"/>
              </a:solidFill>
            </c:spPr>
          </c:dPt>
          <c:dPt>
            <c:idx val="4"/>
            <c:spPr>
              <a:solidFill>
                <a:srgbClr val="ED7D31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Dashboard!$B$51:$B$55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Dashboard!$C$51:$C$55</c:f>
              <c:numCache>
                <c:formatCode>General</c:formatCode>
                <c:ptCount val="5"/>
                <c:pt idx="0">
                  <c:v>1524.7432</c:v>
                </c:pt>
                <c:pt idx="1">
                  <c:v>2837.6686</c:v>
                </c:pt>
                <c:pt idx="2">
                  <c:v>6051.7432</c:v>
                </c:pt>
                <c:pt idx="3">
                  <c:v>381.1887</c:v>
                </c:pt>
                <c:pt idx="4">
                  <c:v>8462.209800000001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Seasonality (kbd by month)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Dashboard!$I$52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Dashboard!$J$51:$U$51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Dashboard!$J$52:$U$52</c:f>
              <c:numCache>
                <c:formatCode>General</c:formatCode>
                <c:ptCount val="12"/>
                <c:pt idx="0">
                  <c:v>2433.6238</c:v>
                </c:pt>
                <c:pt idx="1">
                  <c:v>5025.1422</c:v>
                </c:pt>
                <c:pt idx="2">
                  <c:v>2051.1556</c:v>
                </c:pt>
                <c:pt idx="3">
                  <c:v>1881.5364</c:v>
                </c:pt>
                <c:pt idx="4">
                  <c:v>940.6905</c:v>
                </c:pt>
                <c:pt idx="5">
                  <c:v>1023.714</c:v>
                </c:pt>
                <c:pt idx="6">
                  <c:v>1472.8685</c:v>
                </c:pt>
                <c:pt idx="7">
                  <c:v>1211.9996</c:v>
                </c:pt>
                <c:pt idx="8">
                  <c:v>1844.9944</c:v>
                </c:pt>
                <c:pt idx="9">
                  <c:v>1940.158</c:v>
                </c:pt>
                <c:pt idx="10">
                  <c:v>1047.007</c:v>
                </c:pt>
                <c:pt idx="11">
                  <c:v>709.6768</c:v>
                </c:pt>
              </c:numCache>
            </c:numRef>
          </c:val>
        </c:ser>
        <c:ser>
          <c:idx val="1"/>
          <c:order val="1"/>
          <c:tx>
            <c:strRef>
              <c:f>Dashboard!$I$53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Dashboard!$J$51:$U$51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Dashboard!$J$53:$U$53</c:f>
              <c:numCache>
                <c:formatCode>General</c:formatCode>
                <c:ptCount val="12"/>
                <c:pt idx="0">
                  <c:v>1400.9949</c:v>
                </c:pt>
                <c:pt idx="1">
                  <c:v>2023.3805</c:v>
                </c:pt>
                <c:pt idx="2">
                  <c:v>2228.4465</c:v>
                </c:pt>
                <c:pt idx="3">
                  <c:v>2621.2351</c:v>
                </c:pt>
                <c:pt idx="4">
                  <c:v>1753.1826</c:v>
                </c:pt>
                <c:pt idx="5">
                  <c:v>1169.5851</c:v>
                </c:pt>
                <c:pt idx="6">
                  <c:v>939.4538</c:v>
                </c:pt>
                <c:pt idx="7">
                  <c:v>979.7175</c:v>
                </c:pt>
                <c:pt idx="8">
                  <c:v>1487.0255</c:v>
                </c:pt>
                <c:pt idx="9">
                  <c:v>2468.751</c:v>
                </c:pt>
                <c:pt idx="10">
                  <c:v>1324.048</c:v>
                </c:pt>
                <c:pt idx="11">
                  <c:v>861.7330000000001</c:v>
                </c:pt>
              </c:numCache>
            </c:numRef>
          </c:val>
        </c:ser>
        <c:ser>
          <c:idx val="2"/>
          <c:order val="2"/>
          <c:tx>
            <c:strRef>
              <c:f>Dashboard!$I$54</c:f>
              <c:strCache>
                <c:ptCount val="1"/>
                <c:pt idx="0">
                  <c:v>2026</c:v>
                </c:pt>
              </c:strCache>
            </c:strRef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Dashboard!$J$51:$U$51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Dashboard!$J$54:$U$54</c:f>
              <c:numCache>
                <c:formatCode>General</c:formatCode>
                <c:ptCount val="12"/>
                <c:pt idx="0">
                  <c:v>786.9865</c:v>
                </c:pt>
                <c:pt idx="1">
                  <c:v>1792.968</c:v>
                </c:pt>
                <c:pt idx="2">
                  <c:v>1118.4157</c:v>
                </c:pt>
                <c:pt idx="3">
                  <c:v>2043.992</c:v>
                </c:pt>
                <c:pt idx="4">
                  <c:v>1202.4129</c:v>
                </c:pt>
                <c:pt idx="5">
                  <c:v>979.7867</c:v>
                </c:pt>
                <c:pt idx="6">
                  <c:v>141.934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42.3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slice - monthly (kbd)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2022</c:v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Explorer!$C$10:$N$10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Explorer!$C$17:$N$17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2023</c:v>
          </c:tx>
          <c:spPr>
            <a:ln w="254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Explorer!$C$10:$N$10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Explorer!$C$18:$N$18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2024</c:v>
          </c:tx>
          <c:spPr>
            <a:ln w="254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Explorer!$C$10:$N$10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Explorer!$C$19:$N$19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2025</c:v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Explorer!$C$10:$N$10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Explorer!$C$20:$N$20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v>2026</c:v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Explorer!$C$10:$N$10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Explorer!$C$21:$N$21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slice - monthly (kbd)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2022</c:v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Explorer!$C$60:$N$60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Explorer!$C$67:$N$67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2023</c:v>
          </c:tx>
          <c:spPr>
            <a:ln w="254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Explorer!$C$60:$N$60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Explorer!$C$68:$N$68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2024</c:v>
          </c:tx>
          <c:spPr>
            <a:ln w="254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Explorer!$C$60:$N$60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Explorer!$C$69:$N$69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2025</c:v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Explorer!$C$60:$N$60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Explorer!$C$70:$N$70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v>2026</c:v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Explorer!$C$60:$N$60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Explorer!$C$71:$N$71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Offline Seasonality (kbd by month)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2022</c:v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Trends!$C$66:$N$66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Trends!$C$73:$N$73</c:f>
              <c:numCache>
                <c:formatCode>General</c:formatCode>
                <c:ptCount val="12"/>
                <c:pt idx="0">
                  <c:v>2136.4074</c:v>
                </c:pt>
                <c:pt idx="1">
                  <c:v>2560.138</c:v>
                </c:pt>
                <c:pt idx="2">
                  <c:v>1897.7965</c:v>
                </c:pt>
                <c:pt idx="3">
                  <c:v>2126.5569</c:v>
                </c:pt>
                <c:pt idx="4">
                  <c:v>1915.8068</c:v>
                </c:pt>
                <c:pt idx="5">
                  <c:v>1365.4118</c:v>
                </c:pt>
                <c:pt idx="6">
                  <c:v>1338.2962</c:v>
                </c:pt>
                <c:pt idx="7">
                  <c:v>1346.9824</c:v>
                </c:pt>
                <c:pt idx="8">
                  <c:v>1198.2113</c:v>
                </c:pt>
                <c:pt idx="9">
                  <c:v>1803.6182</c:v>
                </c:pt>
                <c:pt idx="10">
                  <c:v>1657.1564</c:v>
                </c:pt>
                <c:pt idx="11">
                  <c:v>3282.1273</c:v>
                </c:pt>
              </c:numCache>
            </c:numRef>
          </c:val>
        </c:ser>
        <c:ser>
          <c:idx val="1"/>
          <c:order val="1"/>
          <c:tx>
            <c:v>2023</c:v>
          </c:tx>
          <c:spPr>
            <a:ln w="254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Trends!$C$66:$N$66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Trends!$C$74:$N$74</c:f>
              <c:numCache>
                <c:formatCode>General</c:formatCode>
                <c:ptCount val="12"/>
                <c:pt idx="0">
                  <c:v>3159.4181</c:v>
                </c:pt>
                <c:pt idx="1">
                  <c:v>2679.4067</c:v>
                </c:pt>
                <c:pt idx="2">
                  <c:v>3076.538</c:v>
                </c:pt>
                <c:pt idx="3">
                  <c:v>2468.7029</c:v>
                </c:pt>
                <c:pt idx="4">
                  <c:v>1748.7276</c:v>
                </c:pt>
                <c:pt idx="5">
                  <c:v>1921.4961</c:v>
                </c:pt>
                <c:pt idx="6">
                  <c:v>1475.1268</c:v>
                </c:pt>
                <c:pt idx="7">
                  <c:v>1444.011</c:v>
                </c:pt>
                <c:pt idx="8">
                  <c:v>1531.522</c:v>
                </c:pt>
                <c:pt idx="9">
                  <c:v>1988.7435</c:v>
                </c:pt>
                <c:pt idx="10">
                  <c:v>1350.9239</c:v>
                </c:pt>
                <c:pt idx="11">
                  <c:v>847.5423</c:v>
                </c:pt>
              </c:numCache>
            </c:numRef>
          </c:val>
        </c:ser>
        <c:ser>
          <c:idx val="2"/>
          <c:order val="2"/>
          <c:tx>
            <c:v>2024</c:v>
          </c:tx>
          <c:spPr>
            <a:ln w="254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Trends!$C$66:$N$66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Trends!$C$75:$N$75</c:f>
              <c:numCache>
                <c:formatCode>General</c:formatCode>
                <c:ptCount val="12"/>
                <c:pt idx="0">
                  <c:v>2433.6238</c:v>
                </c:pt>
                <c:pt idx="1">
                  <c:v>5025.1422</c:v>
                </c:pt>
                <c:pt idx="2">
                  <c:v>2051.1556</c:v>
                </c:pt>
                <c:pt idx="3">
                  <c:v>1881.5364</c:v>
                </c:pt>
                <c:pt idx="4">
                  <c:v>940.6905</c:v>
                </c:pt>
                <c:pt idx="5">
                  <c:v>1023.714</c:v>
                </c:pt>
                <c:pt idx="6">
                  <c:v>1472.8685</c:v>
                </c:pt>
                <c:pt idx="7">
                  <c:v>1211.9996</c:v>
                </c:pt>
                <c:pt idx="8">
                  <c:v>1844.9944</c:v>
                </c:pt>
                <c:pt idx="9">
                  <c:v>1940.158</c:v>
                </c:pt>
                <c:pt idx="10">
                  <c:v>1047.007</c:v>
                </c:pt>
                <c:pt idx="11">
                  <c:v>709.6768</c:v>
                </c:pt>
              </c:numCache>
            </c:numRef>
          </c:val>
        </c:ser>
        <c:ser>
          <c:idx val="3"/>
          <c:order val="3"/>
          <c:tx>
            <c:v>2025</c:v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Trends!$C$66:$N$66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Trends!$C$76:$N$76</c:f>
              <c:numCache>
                <c:formatCode>General</c:formatCode>
                <c:ptCount val="12"/>
                <c:pt idx="0">
                  <c:v>1400.9949</c:v>
                </c:pt>
                <c:pt idx="1">
                  <c:v>2023.3805</c:v>
                </c:pt>
                <c:pt idx="2">
                  <c:v>2228.4465</c:v>
                </c:pt>
                <c:pt idx="3">
                  <c:v>2621.2351</c:v>
                </c:pt>
                <c:pt idx="4">
                  <c:v>1753.1826</c:v>
                </c:pt>
                <c:pt idx="5">
                  <c:v>1169.5851</c:v>
                </c:pt>
                <c:pt idx="6">
                  <c:v>939.4538</c:v>
                </c:pt>
                <c:pt idx="7">
                  <c:v>979.7175</c:v>
                </c:pt>
                <c:pt idx="8">
                  <c:v>1487.0255</c:v>
                </c:pt>
                <c:pt idx="9">
                  <c:v>2468.751</c:v>
                </c:pt>
                <c:pt idx="10">
                  <c:v>1324.048</c:v>
                </c:pt>
                <c:pt idx="11">
                  <c:v>861.7330000000001</c:v>
                </c:pt>
              </c:numCache>
            </c:numRef>
          </c:val>
        </c:ser>
        <c:ser>
          <c:idx val="4"/>
          <c:order val="4"/>
          <c:tx>
            <c:v>2026</c:v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Trends!$C$66:$N$66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Trends!$C$77:$N$77</c:f>
              <c:numCache>
                <c:formatCode>General</c:formatCode>
                <c:ptCount val="12"/>
                <c:pt idx="0">
                  <c:v>786.9865</c:v>
                </c:pt>
                <c:pt idx="1">
                  <c:v>1792.968</c:v>
                </c:pt>
                <c:pt idx="2">
                  <c:v>1118.4157</c:v>
                </c:pt>
                <c:pt idx="3">
                  <c:v>2043.992</c:v>
                </c:pt>
                <c:pt idx="4">
                  <c:v>1202.4129</c:v>
                </c:pt>
                <c:pt idx="5">
                  <c:v>979.7867</c:v>
                </c:pt>
                <c:pt idx="6">
                  <c:v>141.934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42.3</c:v>
                </c:pt>
                <c:pt idx="11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1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PADD!$B$8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PADD!$C$8:$N$8</c:f>
              <c:numCache>
                <c:formatCode>General</c:formatCode>
                <c:ptCount val="12"/>
                <c:pt idx="0">
                  <c:v>3.22</c:v>
                </c:pt>
                <c:pt idx="1">
                  <c:v>12.04</c:v>
                </c:pt>
                <c:pt idx="2">
                  <c:v>12.48</c:v>
                </c:pt>
                <c:pt idx="3">
                  <c:v>3.78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71.8939</c:v>
                </c:pt>
                <c:pt idx="9">
                  <c:v>82.5856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PADD!$B$9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PADD!$C$9:$N$9</c:f>
              <c:numCache>
                <c:formatCode>General</c:formatCode>
                <c:ptCount val="12"/>
                <c:pt idx="0">
                  <c:v>29.58</c:v>
                </c:pt>
                <c:pt idx="1">
                  <c:v>25.1</c:v>
                </c:pt>
                <c:pt idx="2">
                  <c:v>38.548</c:v>
                </c:pt>
                <c:pt idx="3">
                  <c:v>2.2</c:v>
                </c:pt>
                <c:pt idx="4">
                  <c:v>21.2</c:v>
                </c:pt>
                <c:pt idx="5">
                  <c:v>224.3867</c:v>
                </c:pt>
                <c:pt idx="6">
                  <c:v>0.704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80001"/>
        <c:axId val="50080002"/>
      </c:barChart>
      <c:lineChart>
        <c:grouping val="standard"/>
        <c:ser>
          <c:idx val="2"/>
          <c:order val="2"/>
          <c:tx>
            <c:strRef>
              <c:f>PADD!$B$10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PADD!$C$10:$N$10</c:f>
              <c:numCache>
                <c:formatCode>General</c:formatCode>
                <c:ptCount val="12"/>
                <c:pt idx="0">
                  <c:v>240.51</c:v>
                </c:pt>
                <c:pt idx="1">
                  <c:v>486.744</c:v>
                </c:pt>
                <c:pt idx="2">
                  <c:v>667.28</c:v>
                </c:pt>
                <c:pt idx="3">
                  <c:v>363.0836</c:v>
                </c:pt>
                <c:pt idx="4">
                  <c:v>265.68</c:v>
                </c:pt>
                <c:pt idx="5">
                  <c:v>191.7042</c:v>
                </c:pt>
                <c:pt idx="6">
                  <c:v>175.9952</c:v>
                </c:pt>
                <c:pt idx="7">
                  <c:v>4.58</c:v>
                </c:pt>
                <c:pt idx="8">
                  <c:v>7.8</c:v>
                </c:pt>
                <c:pt idx="9">
                  <c:v>10.24</c:v>
                </c:pt>
                <c:pt idx="10">
                  <c:v>2.04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PADD!$B$11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PADD!$C$11:$N$11</c:f>
              <c:numCache>
                <c:formatCode>General</c:formatCode>
                <c:ptCount val="12"/>
                <c:pt idx="0">
                  <c:v>99.0698</c:v>
                </c:pt>
                <c:pt idx="1">
                  <c:v>62.445</c:v>
                </c:pt>
                <c:pt idx="2">
                  <c:v>236.6964</c:v>
                </c:pt>
                <c:pt idx="3">
                  <c:v>214.8537</c:v>
                </c:pt>
                <c:pt idx="4">
                  <c:v>23.4</c:v>
                </c:pt>
                <c:pt idx="5">
                  <c:v>1.82</c:v>
                </c:pt>
                <c:pt idx="6">
                  <c:v>75.05</c:v>
                </c:pt>
                <c:pt idx="7">
                  <c:v>10.9</c:v>
                </c:pt>
                <c:pt idx="8">
                  <c:v>87.26389999999999</c:v>
                </c:pt>
                <c:pt idx="9">
                  <c:v>154.0685</c:v>
                </c:pt>
                <c:pt idx="10">
                  <c:v>159.3301</c:v>
                </c:pt>
                <c:pt idx="11">
                  <c:v>197.87</c:v>
                </c:pt>
              </c:numCache>
            </c:numRef>
          </c:val>
        </c:ser>
        <c:ser>
          <c:idx val="4"/>
          <c:order val="4"/>
          <c:tx>
            <c:strRef>
              <c:f>PADD!$B$12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PADD!$C$12:$N$12</c:f>
              <c:numCache>
                <c:formatCode>General</c:formatCode>
                <c:ptCount val="12"/>
                <c:pt idx="0">
                  <c:v>126.05</c:v>
                </c:pt>
                <c:pt idx="1">
                  <c:v>440</c:v>
                </c:pt>
                <c:pt idx="2">
                  <c:v>473.92</c:v>
                </c:pt>
                <c:pt idx="3">
                  <c:v>110.08</c:v>
                </c:pt>
                <c:pt idx="4">
                  <c:v>46.16</c:v>
                </c:pt>
                <c:pt idx="5">
                  <c:v>316.8375</c:v>
                </c:pt>
                <c:pt idx="6">
                  <c:v>283.35</c:v>
                </c:pt>
                <c:pt idx="7">
                  <c:v>2.6</c:v>
                </c:pt>
                <c:pt idx="8">
                  <c:v>391.5052</c:v>
                </c:pt>
                <c:pt idx="9">
                  <c:v>695.6900000000001</c:v>
                </c:pt>
                <c:pt idx="10">
                  <c:v>256.507</c:v>
                </c:pt>
                <c:pt idx="11">
                  <c:v>30.79</c:v>
                </c:pt>
              </c:numCache>
            </c:numRef>
          </c:val>
        </c:ser>
        <c:ser>
          <c:idx val="5"/>
          <c:order val="5"/>
          <c:tx>
            <c:strRef>
              <c:f>PADD!$B$13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PADD!$C$7:$N$7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PADD!$C$13:$N$13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236.8488</c:v>
                </c:pt>
                <c:pt idx="3">
                  <c:v>108.2632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38.7069</c:v>
                </c:pt>
                <c:pt idx="9">
                  <c:v>5.5959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2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PADD!$B$33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PADD!$C$33:$N$33</c:f>
              <c:numCache>
                <c:formatCode>General</c:formatCode>
                <c:ptCount val="12"/>
                <c:pt idx="0">
                  <c:v>0</c:v>
                </c:pt>
                <c:pt idx="1">
                  <c:v>152.32</c:v>
                </c:pt>
                <c:pt idx="2">
                  <c:v>1116.623</c:v>
                </c:pt>
                <c:pt idx="3">
                  <c:v>1226.99</c:v>
                </c:pt>
                <c:pt idx="4">
                  <c:v>454.127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572.9400000000001</c:v>
                </c:pt>
                <c:pt idx="9">
                  <c:v>705.146</c:v>
                </c:pt>
                <c:pt idx="10">
                  <c:v>397.5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PADD!$B$34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PADD!$C$34:$N$34</c:f>
              <c:numCache>
                <c:formatCode>General</c:formatCode>
                <c:ptCount val="12"/>
                <c:pt idx="0">
                  <c:v>161.3505</c:v>
                </c:pt>
                <c:pt idx="1">
                  <c:v>568.1735</c:v>
                </c:pt>
                <c:pt idx="2">
                  <c:v>119.4167</c:v>
                </c:pt>
                <c:pt idx="3">
                  <c:v>287.843</c:v>
                </c:pt>
                <c:pt idx="4">
                  <c:v>375.833</c:v>
                </c:pt>
                <c:pt idx="5">
                  <c:v>163.075</c:v>
                </c:pt>
                <c:pt idx="6">
                  <c:v>13.715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90001"/>
        <c:axId val="50090002"/>
      </c:barChart>
      <c:lineChart>
        <c:grouping val="standard"/>
        <c:ser>
          <c:idx val="2"/>
          <c:order val="2"/>
          <c:tx>
            <c:strRef>
              <c:f>PADD!$B$35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PADD!$C$35:$N$35</c:f>
              <c:numCache>
                <c:formatCode>General</c:formatCode>
                <c:ptCount val="12"/>
                <c:pt idx="0">
                  <c:v>194.6489</c:v>
                </c:pt>
                <c:pt idx="1">
                  <c:v>601.5409</c:v>
                </c:pt>
                <c:pt idx="2">
                  <c:v>1263.025</c:v>
                </c:pt>
                <c:pt idx="3">
                  <c:v>2161.4255</c:v>
                </c:pt>
                <c:pt idx="4">
                  <c:v>919.8905999999999</c:v>
                </c:pt>
                <c:pt idx="5">
                  <c:v>326.2495</c:v>
                </c:pt>
                <c:pt idx="6">
                  <c:v>260.566</c:v>
                </c:pt>
                <c:pt idx="7">
                  <c:v>603.6235</c:v>
                </c:pt>
                <c:pt idx="8">
                  <c:v>773.2645</c:v>
                </c:pt>
                <c:pt idx="9">
                  <c:v>1204.6989</c:v>
                </c:pt>
                <c:pt idx="10">
                  <c:v>328.8481</c:v>
                </c:pt>
                <c:pt idx="11">
                  <c:v>129.87</c:v>
                </c:pt>
              </c:numCache>
            </c:numRef>
          </c:val>
        </c:ser>
        <c:ser>
          <c:idx val="3"/>
          <c:order val="3"/>
          <c:tx>
            <c:strRef>
              <c:f>PADD!$B$36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PADD!$C$36:$N$36</c:f>
              <c:numCache>
                <c:formatCode>General</c:formatCode>
                <c:ptCount val="12"/>
                <c:pt idx="0">
                  <c:v>82.622</c:v>
                </c:pt>
                <c:pt idx="1">
                  <c:v>1893.1044</c:v>
                </c:pt>
                <c:pt idx="2">
                  <c:v>1347.1691</c:v>
                </c:pt>
                <c:pt idx="3">
                  <c:v>1456.5636</c:v>
                </c:pt>
                <c:pt idx="4">
                  <c:v>670.5625</c:v>
                </c:pt>
                <c:pt idx="5">
                  <c:v>364.397</c:v>
                </c:pt>
                <c:pt idx="6">
                  <c:v>802.508</c:v>
                </c:pt>
                <c:pt idx="7">
                  <c:v>516.3492</c:v>
                </c:pt>
                <c:pt idx="8">
                  <c:v>1029.2768</c:v>
                </c:pt>
                <c:pt idx="9">
                  <c:v>1512.466</c:v>
                </c:pt>
                <c:pt idx="10">
                  <c:v>525.778</c:v>
                </c:pt>
                <c:pt idx="11">
                  <c:v>41.1286</c:v>
                </c:pt>
              </c:numCache>
            </c:numRef>
          </c:val>
        </c:ser>
        <c:ser>
          <c:idx val="4"/>
          <c:order val="4"/>
          <c:tx>
            <c:strRef>
              <c:f>PADD!$B$37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PADD!$C$37:$N$37</c:f>
              <c:numCache>
                <c:formatCode>General</c:formatCode>
                <c:ptCount val="12"/>
                <c:pt idx="0">
                  <c:v>1256.5976</c:v>
                </c:pt>
                <c:pt idx="1">
                  <c:v>1088.065</c:v>
                </c:pt>
                <c:pt idx="2">
                  <c:v>1877.395</c:v>
                </c:pt>
                <c:pt idx="3">
                  <c:v>2007.8074</c:v>
                </c:pt>
                <c:pt idx="4">
                  <c:v>1042.2436</c:v>
                </c:pt>
                <c:pt idx="5">
                  <c:v>511.95</c:v>
                </c:pt>
                <c:pt idx="6">
                  <c:v>453.487</c:v>
                </c:pt>
                <c:pt idx="7">
                  <c:v>182.999</c:v>
                </c:pt>
                <c:pt idx="8">
                  <c:v>1481.1244</c:v>
                </c:pt>
                <c:pt idx="9">
                  <c:v>1816.5088</c:v>
                </c:pt>
                <c:pt idx="10">
                  <c:v>326.1729</c:v>
                </c:pt>
                <c:pt idx="11">
                  <c:v>60.5386</c:v>
                </c:pt>
              </c:numCache>
            </c:numRef>
          </c:val>
        </c:ser>
        <c:ser>
          <c:idx val="5"/>
          <c:order val="5"/>
          <c:tx>
            <c:strRef>
              <c:f>PADD!$B$38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PADD!$C$32:$N$32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PADD!$C$38:$N$38</c:f>
              <c:numCache>
                <c:formatCode>General</c:formatCode>
                <c:ptCount val="12"/>
                <c:pt idx="0">
                  <c:v>0</c:v>
                </c:pt>
                <c:pt idx="1">
                  <c:v>192.48</c:v>
                </c:pt>
                <c:pt idx="2">
                  <c:v>614.741</c:v>
                </c:pt>
                <c:pt idx="3">
                  <c:v>961.0699999999999</c:v>
                </c:pt>
                <c:pt idx="4">
                  <c:v>473.25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1168.516</c:v>
                </c:pt>
                <c:pt idx="9">
                  <c:v>583.63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3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PADD!$B$58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PADD!$C$58:$N$58</c:f>
              <c:numCache>
                <c:formatCode>General</c:formatCode>
                <c:ptCount val="12"/>
                <c:pt idx="0">
                  <c:v>879.5774</c:v>
                </c:pt>
                <c:pt idx="1">
                  <c:v>1498.1345</c:v>
                </c:pt>
                <c:pt idx="2">
                  <c:v>645.745</c:v>
                </c:pt>
                <c:pt idx="3">
                  <c:v>229.32</c:v>
                </c:pt>
                <c:pt idx="4">
                  <c:v>221.335</c:v>
                </c:pt>
                <c:pt idx="5">
                  <c:v>55.65</c:v>
                </c:pt>
                <c:pt idx="6">
                  <c:v>115.992</c:v>
                </c:pt>
                <c:pt idx="7">
                  <c:v>156.58</c:v>
                </c:pt>
                <c:pt idx="8">
                  <c:v>416.941</c:v>
                </c:pt>
                <c:pt idx="9">
                  <c:v>587.8024</c:v>
                </c:pt>
                <c:pt idx="10">
                  <c:v>121.48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PADD!$B$59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PADD!$C$59:$N$59</c:f>
              <c:numCache>
                <c:formatCode>General</c:formatCode>
                <c:ptCount val="12"/>
                <c:pt idx="0">
                  <c:v>275.676</c:v>
                </c:pt>
                <c:pt idx="1">
                  <c:v>807.2025</c:v>
                </c:pt>
                <c:pt idx="2">
                  <c:v>652.611</c:v>
                </c:pt>
                <c:pt idx="3">
                  <c:v>1045.263</c:v>
                </c:pt>
                <c:pt idx="4">
                  <c:v>531.2234999999999</c:v>
                </c:pt>
                <c:pt idx="5">
                  <c:v>582.155</c:v>
                </c:pt>
                <c:pt idx="6">
                  <c:v>122.685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42.3</c:v>
                </c:pt>
                <c:pt idx="11">
                  <c:v>0</c:v>
                </c:pt>
              </c:numCache>
            </c:numRef>
          </c:val>
        </c:ser>
        <c:overlap val="100"/>
        <c:axId val="50100001"/>
        <c:axId val="50100002"/>
      </c:barChart>
      <c:lineChart>
        <c:grouping val="standard"/>
        <c:ser>
          <c:idx val="2"/>
          <c:order val="2"/>
          <c:tx>
            <c:strRef>
              <c:f>PADD!$B$60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PADD!$C$60:$N$60</c:f>
              <c:numCache>
                <c:formatCode>General</c:formatCode>
                <c:ptCount val="12"/>
                <c:pt idx="0">
                  <c:v>2513.4756</c:v>
                </c:pt>
                <c:pt idx="1">
                  <c:v>2916.5111</c:v>
                </c:pt>
                <c:pt idx="2">
                  <c:v>1164.668</c:v>
                </c:pt>
                <c:pt idx="3">
                  <c:v>951.206</c:v>
                </c:pt>
                <c:pt idx="4">
                  <c:v>451.324</c:v>
                </c:pt>
                <c:pt idx="5">
                  <c:v>382.749</c:v>
                </c:pt>
                <c:pt idx="6">
                  <c:v>296.0898</c:v>
                </c:pt>
                <c:pt idx="7">
                  <c:v>608.524</c:v>
                </c:pt>
                <c:pt idx="8">
                  <c:v>2193.196</c:v>
                </c:pt>
                <c:pt idx="9">
                  <c:v>3093.4153</c:v>
                </c:pt>
                <c:pt idx="10">
                  <c:v>1683.7699</c:v>
                </c:pt>
                <c:pt idx="11">
                  <c:v>172.694</c:v>
                </c:pt>
              </c:numCache>
            </c:numRef>
          </c:val>
        </c:ser>
        <c:ser>
          <c:idx val="3"/>
          <c:order val="3"/>
          <c:tx>
            <c:strRef>
              <c:f>PADD!$B$61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PADD!$C$61:$N$61</c:f>
              <c:numCache>
                <c:formatCode>General</c:formatCode>
                <c:ptCount val="12"/>
                <c:pt idx="0">
                  <c:v>3897.7506</c:v>
                </c:pt>
                <c:pt idx="1">
                  <c:v>5540.9283</c:v>
                </c:pt>
                <c:pt idx="2">
                  <c:v>2248.1637</c:v>
                </c:pt>
                <c:pt idx="3">
                  <c:v>2012.658</c:v>
                </c:pt>
                <c:pt idx="4">
                  <c:v>1141.365</c:v>
                </c:pt>
                <c:pt idx="5">
                  <c:v>1180.7915</c:v>
                </c:pt>
                <c:pt idx="6">
                  <c:v>1019.787</c:v>
                </c:pt>
                <c:pt idx="7">
                  <c:v>1019.9182</c:v>
                </c:pt>
                <c:pt idx="8">
                  <c:v>1784.1745</c:v>
                </c:pt>
                <c:pt idx="9">
                  <c:v>2036.786</c:v>
                </c:pt>
                <c:pt idx="10">
                  <c:v>1212.9515</c:v>
                </c:pt>
                <c:pt idx="11">
                  <c:v>324.6714</c:v>
                </c:pt>
              </c:numCache>
            </c:numRef>
          </c:val>
        </c:ser>
        <c:ser>
          <c:idx val="4"/>
          <c:order val="4"/>
          <c:tx>
            <c:strRef>
              <c:f>PADD!$B$62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PADD!$C$62:$N$62</c:f>
              <c:numCache>
                <c:formatCode>General</c:formatCode>
                <c:ptCount val="12"/>
                <c:pt idx="0">
                  <c:v>3219.0812</c:v>
                </c:pt>
                <c:pt idx="1">
                  <c:v>3622.339</c:v>
                </c:pt>
                <c:pt idx="2">
                  <c:v>3305.26</c:v>
                </c:pt>
                <c:pt idx="3">
                  <c:v>2929.6089</c:v>
                </c:pt>
                <c:pt idx="4">
                  <c:v>2020.7778</c:v>
                </c:pt>
                <c:pt idx="5">
                  <c:v>1367.2069</c:v>
                </c:pt>
                <c:pt idx="6">
                  <c:v>772.8094</c:v>
                </c:pt>
                <c:pt idx="7">
                  <c:v>1367.907</c:v>
                </c:pt>
                <c:pt idx="8">
                  <c:v>1980.1739</c:v>
                </c:pt>
                <c:pt idx="9">
                  <c:v>3552.627</c:v>
                </c:pt>
                <c:pt idx="10">
                  <c:v>1809.522</c:v>
                </c:pt>
                <c:pt idx="11">
                  <c:v>541.6272</c:v>
                </c:pt>
              </c:numCache>
            </c:numRef>
          </c:val>
        </c:ser>
        <c:ser>
          <c:idx val="5"/>
          <c:order val="5"/>
          <c:tx>
            <c:strRef>
              <c:f>PADD!$B$63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PADD!$C$57:$N$57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PADD!$C$63:$N$63</c:f>
              <c:numCache>
                <c:formatCode>General</c:formatCode>
                <c:ptCount val="12"/>
                <c:pt idx="0">
                  <c:v>692.313</c:v>
                </c:pt>
                <c:pt idx="1">
                  <c:v>1256.1221</c:v>
                </c:pt>
                <c:pt idx="2">
                  <c:v>1565.6915</c:v>
                </c:pt>
                <c:pt idx="3">
                  <c:v>664.0222</c:v>
                </c:pt>
                <c:pt idx="4">
                  <c:v>134.4</c:v>
                </c:pt>
                <c:pt idx="5">
                  <c:v>210.95</c:v>
                </c:pt>
                <c:pt idx="6">
                  <c:v>164</c:v>
                </c:pt>
                <c:pt idx="7">
                  <c:v>47.56</c:v>
                </c:pt>
                <c:pt idx="8">
                  <c:v>1545.905</c:v>
                </c:pt>
                <c:pt idx="9">
                  <c:v>1819.237</c:v>
                </c:pt>
                <c:pt idx="10">
                  <c:v>446.133</c:v>
                </c:pt>
                <c:pt idx="11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4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PADD!$B$83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PADD!$C$83:$N$83</c:f>
              <c:numCache>
                <c:formatCode>General</c:formatCode>
                <c:ptCount val="12"/>
                <c:pt idx="0">
                  <c:v>0</c:v>
                </c:pt>
                <c:pt idx="1">
                  <c:v>7.79</c:v>
                </c:pt>
                <c:pt idx="2">
                  <c:v>173.293</c:v>
                </c:pt>
                <c:pt idx="3">
                  <c:v>263.53</c:v>
                </c:pt>
                <c:pt idx="4">
                  <c:v>52.988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19.62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PADD!$B$84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PADD!$C$84:$N$84</c:f>
              <c:numCache>
                <c:formatCode>General</c:formatCode>
                <c:ptCount val="12"/>
                <c:pt idx="0">
                  <c:v>0</c:v>
                </c:pt>
                <c:pt idx="1">
                  <c:v>27.512</c:v>
                </c:pt>
                <c:pt idx="2">
                  <c:v>20.374</c:v>
                </c:pt>
                <c:pt idx="3">
                  <c:v>34.52500000000001</c:v>
                </c:pt>
                <c:pt idx="4">
                  <c:v>75.6664</c:v>
                </c:pt>
                <c:pt idx="5">
                  <c:v>10.17</c:v>
                </c:pt>
                <c:pt idx="6">
                  <c:v>4.83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110001"/>
        <c:axId val="50110002"/>
      </c:barChart>
      <c:lineChart>
        <c:grouping val="standard"/>
        <c:ser>
          <c:idx val="2"/>
          <c:order val="2"/>
          <c:tx>
            <c:strRef>
              <c:f>PADD!$B$85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PADD!$C$85:$N$85</c:f>
              <c:numCache>
                <c:formatCode>General</c:formatCode>
                <c:ptCount val="12"/>
                <c:pt idx="0">
                  <c:v>63.17959999999999</c:v>
                </c:pt>
                <c:pt idx="1">
                  <c:v>36.9436</c:v>
                </c:pt>
                <c:pt idx="2">
                  <c:v>72.16249999999999</c:v>
                </c:pt>
                <c:pt idx="3">
                  <c:v>127.706</c:v>
                </c:pt>
                <c:pt idx="4">
                  <c:v>75.15000000000001</c:v>
                </c:pt>
                <c:pt idx="5">
                  <c:v>8.223000000000001</c:v>
                </c:pt>
                <c:pt idx="6">
                  <c:v>92.11199999999999</c:v>
                </c:pt>
                <c:pt idx="7">
                  <c:v>4.779999999999999</c:v>
                </c:pt>
                <c:pt idx="8">
                  <c:v>6.365</c:v>
                </c:pt>
                <c:pt idx="9">
                  <c:v>54.195</c:v>
                </c:pt>
                <c:pt idx="10">
                  <c:v>16.895</c:v>
                </c:pt>
                <c:pt idx="11">
                  <c:v>14.089</c:v>
                </c:pt>
              </c:numCache>
            </c:numRef>
          </c:val>
        </c:ser>
        <c:ser>
          <c:idx val="3"/>
          <c:order val="3"/>
          <c:tx>
            <c:strRef>
              <c:f>PADD!$B$86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PADD!$C$86:$N$86</c:f>
              <c:numCache>
                <c:formatCode>General</c:formatCode>
                <c:ptCount val="12"/>
                <c:pt idx="0">
                  <c:v>71.7204</c:v>
                </c:pt>
                <c:pt idx="1">
                  <c:v>226.08</c:v>
                </c:pt>
                <c:pt idx="2">
                  <c:v>244.3878</c:v>
                </c:pt>
                <c:pt idx="3">
                  <c:v>138.769</c:v>
                </c:pt>
                <c:pt idx="4">
                  <c:v>31.459</c:v>
                </c:pt>
                <c:pt idx="5">
                  <c:v>17.778</c:v>
                </c:pt>
                <c:pt idx="6">
                  <c:v>23.131</c:v>
                </c:pt>
                <c:pt idx="7">
                  <c:v>38.4844</c:v>
                </c:pt>
                <c:pt idx="8">
                  <c:v>131.881</c:v>
                </c:pt>
                <c:pt idx="9">
                  <c:v>58.955</c:v>
                </c:pt>
                <c:pt idx="10">
                  <c:v>6.975</c:v>
                </c:pt>
                <c:pt idx="11">
                  <c:v>44.4628</c:v>
                </c:pt>
              </c:numCache>
            </c:numRef>
          </c:val>
        </c:ser>
        <c:ser>
          <c:idx val="4"/>
          <c:order val="4"/>
          <c:tx>
            <c:strRef>
              <c:f>PADD!$B$87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PADD!$C$87:$N$87</c:f>
              <c:numCache>
                <c:formatCode>General</c:formatCode>
                <c:ptCount val="12"/>
                <c:pt idx="0">
                  <c:v>493.348</c:v>
                </c:pt>
                <c:pt idx="1">
                  <c:v>408.143</c:v>
                </c:pt>
                <c:pt idx="2">
                  <c:v>357.3731</c:v>
                </c:pt>
                <c:pt idx="3">
                  <c:v>344.0876</c:v>
                </c:pt>
                <c:pt idx="4">
                  <c:v>228.289</c:v>
                </c:pt>
                <c:pt idx="5">
                  <c:v>53.3175</c:v>
                </c:pt>
                <c:pt idx="6">
                  <c:v>40.651</c:v>
                </c:pt>
                <c:pt idx="7">
                  <c:v>76.8</c:v>
                </c:pt>
                <c:pt idx="8">
                  <c:v>0</c:v>
                </c:pt>
                <c:pt idx="9">
                  <c:v>2.726</c:v>
                </c:pt>
                <c:pt idx="10">
                  <c:v>18.951</c:v>
                </c:pt>
                <c:pt idx="11">
                  <c:v>111.2157</c:v>
                </c:pt>
              </c:numCache>
            </c:numRef>
          </c:val>
        </c:ser>
        <c:ser>
          <c:idx val="5"/>
          <c:order val="5"/>
          <c:tx>
            <c:strRef>
              <c:f>PADD!$B$88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PADD!$C$82:$N$82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PADD!$C$88:$N$88</c:f>
              <c:numCache>
                <c:formatCode>General</c:formatCode>
                <c:ptCount val="12"/>
                <c:pt idx="0">
                  <c:v>0</c:v>
                </c:pt>
                <c:pt idx="1">
                  <c:v>139.68</c:v>
                </c:pt>
                <c:pt idx="2">
                  <c:v>251.725</c:v>
                </c:pt>
                <c:pt idx="3">
                  <c:v>257.098</c:v>
                </c:pt>
                <c:pt idx="4">
                  <c:v>242.162</c:v>
                </c:pt>
                <c:pt idx="5">
                  <c:v>0.855</c:v>
                </c:pt>
                <c:pt idx="6">
                  <c:v>0</c:v>
                </c:pt>
                <c:pt idx="7">
                  <c:v>0</c:v>
                </c:pt>
                <c:pt idx="8">
                  <c:v>42.994</c:v>
                </c:pt>
                <c:pt idx="9">
                  <c:v>34.444</c:v>
                </c:pt>
                <c:pt idx="10">
                  <c:v>4.753</c:v>
                </c:pt>
                <c:pt idx="11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5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PADD!$B$108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PADD!$C$108:$N$108</c:f>
              <c:numCache>
                <c:formatCode>General</c:formatCode>
                <c:ptCount val="12"/>
                <c:pt idx="0">
                  <c:v>179.8849</c:v>
                </c:pt>
                <c:pt idx="1">
                  <c:v>275.9716</c:v>
                </c:pt>
                <c:pt idx="2">
                  <c:v>85.6249</c:v>
                </c:pt>
                <c:pt idx="3">
                  <c:v>214.89</c:v>
                </c:pt>
                <c:pt idx="4">
                  <c:v>272.8808</c:v>
                </c:pt>
                <c:pt idx="5">
                  <c:v>123.38</c:v>
                </c:pt>
                <c:pt idx="6">
                  <c:v>109.58</c:v>
                </c:pt>
                <c:pt idx="7">
                  <c:v>47.53</c:v>
                </c:pt>
                <c:pt idx="8">
                  <c:v>110.06</c:v>
                </c:pt>
                <c:pt idx="9">
                  <c:v>198.14</c:v>
                </c:pt>
                <c:pt idx="10">
                  <c:v>136.196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PADD!$B$109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PADD!$C$109:$N$109</c:f>
              <c:numCache>
                <c:formatCode>General</c:formatCode>
                <c:ptCount val="12"/>
                <c:pt idx="0">
                  <c:v>320.38</c:v>
                </c:pt>
                <c:pt idx="1">
                  <c:v>364.98</c:v>
                </c:pt>
                <c:pt idx="2">
                  <c:v>287.466</c:v>
                </c:pt>
                <c:pt idx="3">
                  <c:v>674.1609999999999</c:v>
                </c:pt>
                <c:pt idx="4">
                  <c:v>198.49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120001"/>
        <c:axId val="50120002"/>
      </c:barChart>
      <c:lineChart>
        <c:grouping val="standard"/>
        <c:ser>
          <c:idx val="2"/>
          <c:order val="2"/>
          <c:tx>
            <c:strRef>
              <c:f>PADD!$B$110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PADD!$C$110:$N$110</c:f>
              <c:numCache>
                <c:formatCode>General</c:formatCode>
                <c:ptCount val="12"/>
                <c:pt idx="0">
                  <c:v>509.283</c:v>
                </c:pt>
                <c:pt idx="1">
                  <c:v>985.422</c:v>
                </c:pt>
                <c:pt idx="2">
                  <c:v>1263.928</c:v>
                </c:pt>
                <c:pt idx="3">
                  <c:v>1698.66</c:v>
                </c:pt>
                <c:pt idx="4">
                  <c:v>942.048</c:v>
                </c:pt>
                <c:pt idx="5">
                  <c:v>631.49</c:v>
                </c:pt>
                <c:pt idx="6">
                  <c:v>370.407</c:v>
                </c:pt>
                <c:pt idx="7">
                  <c:v>387.615</c:v>
                </c:pt>
                <c:pt idx="8">
                  <c:v>563.551</c:v>
                </c:pt>
                <c:pt idx="9">
                  <c:v>1485.9288</c:v>
                </c:pt>
                <c:pt idx="10">
                  <c:v>1026.309</c:v>
                </c:pt>
                <c:pt idx="11">
                  <c:v>626.7</c:v>
                </c:pt>
              </c:numCache>
            </c:numRef>
          </c:val>
        </c:ser>
        <c:ser>
          <c:idx val="3"/>
          <c:order val="3"/>
          <c:tx>
            <c:strRef>
              <c:f>PADD!$B$111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PADD!$C$111:$N$111</c:f>
              <c:numCache>
                <c:formatCode>General</c:formatCode>
                <c:ptCount val="12"/>
                <c:pt idx="0">
                  <c:v>533.6799999999999</c:v>
                </c:pt>
                <c:pt idx="1">
                  <c:v>1069.4633</c:v>
                </c:pt>
                <c:pt idx="2">
                  <c:v>618.688</c:v>
                </c:pt>
                <c:pt idx="3">
                  <c:v>709.707</c:v>
                </c:pt>
                <c:pt idx="4">
                  <c:v>615.076</c:v>
                </c:pt>
                <c:pt idx="5">
                  <c:v>544.169</c:v>
                </c:pt>
                <c:pt idx="6">
                  <c:v>65.27200000000001</c:v>
                </c:pt>
                <c:pt idx="7">
                  <c:v>112.765</c:v>
                </c:pt>
                <c:pt idx="8">
                  <c:v>533.729</c:v>
                </c:pt>
                <c:pt idx="9">
                  <c:v>647.6950000000001</c:v>
                </c:pt>
                <c:pt idx="10">
                  <c:v>325.03</c:v>
                </c:pt>
                <c:pt idx="11">
                  <c:v>171.0665</c:v>
                </c:pt>
              </c:numCache>
            </c:numRef>
          </c:val>
        </c:ser>
        <c:ser>
          <c:idx val="4"/>
          <c:order val="4"/>
          <c:tx>
            <c:strRef>
              <c:f>PADD!$B$112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PADD!$C$112:$N$112</c:f>
              <c:numCache>
                <c:formatCode>General</c:formatCode>
                <c:ptCount val="12"/>
                <c:pt idx="0">
                  <c:v>617.2497999999999</c:v>
                </c:pt>
                <c:pt idx="1">
                  <c:v>1255.1687</c:v>
                </c:pt>
                <c:pt idx="2">
                  <c:v>727.2744</c:v>
                </c:pt>
                <c:pt idx="3">
                  <c:v>724.665</c:v>
                </c:pt>
                <c:pt idx="4">
                  <c:v>482.509</c:v>
                </c:pt>
                <c:pt idx="5">
                  <c:v>40.6612</c:v>
                </c:pt>
                <c:pt idx="6">
                  <c:v>96.7664</c:v>
                </c:pt>
                <c:pt idx="7">
                  <c:v>129.265</c:v>
                </c:pt>
                <c:pt idx="8">
                  <c:v>102.055</c:v>
                </c:pt>
                <c:pt idx="9">
                  <c:v>864.36</c:v>
                </c:pt>
                <c:pt idx="10">
                  <c:v>658.28</c:v>
                </c:pt>
                <c:pt idx="11">
                  <c:v>231.929</c:v>
                </c:pt>
              </c:numCache>
            </c:numRef>
          </c:val>
        </c:ser>
        <c:ser>
          <c:idx val="5"/>
          <c:order val="5"/>
          <c:tx>
            <c:strRef>
              <c:f>PADD!$B$113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PADD!$C$107:$N$107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PADD!$C$113:$N$113</c:f>
              <c:numCache>
                <c:formatCode>General</c:formatCode>
                <c:ptCount val="12"/>
                <c:pt idx="0">
                  <c:v>396.02</c:v>
                </c:pt>
                <c:pt idx="1">
                  <c:v>504.118</c:v>
                </c:pt>
                <c:pt idx="2">
                  <c:v>241.146</c:v>
                </c:pt>
                <c:pt idx="3">
                  <c:v>13.559</c:v>
                </c:pt>
                <c:pt idx="4">
                  <c:v>51.34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190.75</c:v>
                </c:pt>
                <c:pt idx="9">
                  <c:v>513.04</c:v>
                </c:pt>
                <c:pt idx="10">
                  <c:v>94.25</c:v>
                </c:pt>
                <c:pt idx="11">
                  <c:v>3.5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Unit Categories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offline (kbd)</c:v>
          </c:tx>
          <c:spPr>
            <a:solidFill>
              <a:srgbClr val="BF9000"/>
            </a:solidFill>
          </c:spPr>
          <c:dLbls>
            <c:numFmt formatCode="#,##0" sourceLinked="0"/>
            <c:showVal val="1"/>
          </c:dLbls>
          <c:cat>
            <c:strRef>
              <c:f>'Units &amp; Refineries'!$B$8:$B$17</c:f>
              <c:strCache>
                <c:ptCount val="10"/>
                <c:pt idx="0">
                  <c:v>Atmos Distillation</c:v>
                </c:pt>
                <c:pt idx="1">
                  <c:v>Hydrotreating</c:v>
                </c:pt>
                <c:pt idx="2">
                  <c:v>Fluid Cat Cracking</c:v>
                </c:pt>
                <c:pt idx="3">
                  <c:v>Vacuum Distillation</c:v>
                </c:pt>
                <c:pt idx="4">
                  <c:v>Reforming</c:v>
                </c:pt>
                <c:pt idx="5">
                  <c:v>Coking</c:v>
                </c:pt>
                <c:pt idx="6">
                  <c:v>Hydrocracking</c:v>
                </c:pt>
                <c:pt idx="7">
                  <c:v>Alkylation</c:v>
                </c:pt>
                <c:pt idx="8">
                  <c:v>Isomerization</c:v>
                </c:pt>
                <c:pt idx="9">
                  <c:v>Other</c:v>
                </c:pt>
              </c:strCache>
            </c:strRef>
          </c:cat>
          <c:val>
            <c:numRef>
              <c:f>'Units &amp; Refineries'!$K$8:$K$17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Naphtha/Octane Complex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Planned</c:v>
          </c:tx>
          <c:spPr>
            <a:solidFill>
              <a:srgbClr val="1F3864"/>
            </a:solidFill>
          </c:spPr>
          <c:cat>
            <c:numRef>
              <c:f>'Units &amp; Refineries'!$B$29:$B$38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'Units &amp; Refineries'!$C$29:$C$38</c:f>
              <c:numCache>
                <c:formatCode>General</c:formatCode>
                <c:ptCount val="10"/>
                <c:pt idx="0">
                  <c:v>1691.368</c:v>
                </c:pt>
                <c:pt idx="1">
                  <c:v>1735.5005</c:v>
                </c:pt>
                <c:pt idx="2">
                  <c:v>1863.8425</c:v>
                </c:pt>
                <c:pt idx="3">
                  <c:v>2236.93</c:v>
                </c:pt>
                <c:pt idx="4">
                  <c:v>1628.66</c:v>
                </c:pt>
                <c:pt idx="5">
                  <c:v>1990.5505</c:v>
                </c:pt>
                <c:pt idx="6">
                  <c:v>1747.0557</c:v>
                </c:pt>
                <c:pt idx="7">
                  <c:v>1419.7048</c:v>
                </c:pt>
                <c:pt idx="8">
                  <c:v>848.263</c:v>
                </c:pt>
                <c:pt idx="9">
                  <c:v>762.223</c:v>
                </c:pt>
              </c:numCache>
            </c:numRef>
          </c:val>
        </c:ser>
        <c:ser>
          <c:idx val="1"/>
          <c:order val="1"/>
          <c:tx>
            <c:v>Unplanned</c:v>
          </c:tx>
          <c:spPr>
            <a:solidFill>
              <a:srgbClr val="7030A0"/>
            </a:solidFill>
          </c:spPr>
          <c:cat>
            <c:numRef>
              <c:f>'Units &amp; Refineries'!$B$29:$B$38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'Units &amp; Refineries'!$D$29:$D$38</c:f>
              <c:numCache>
                <c:formatCode>General</c:formatCode>
                <c:ptCount val="10"/>
                <c:pt idx="0">
                  <c:v>1056.5011</c:v>
                </c:pt>
                <c:pt idx="1">
                  <c:v>1681.7533</c:v>
                </c:pt>
                <c:pt idx="2">
                  <c:v>10475.6332</c:v>
                </c:pt>
                <c:pt idx="3">
                  <c:v>5717.3078</c:v>
                </c:pt>
                <c:pt idx="4">
                  <c:v>2257.1805</c:v>
                </c:pt>
                <c:pt idx="5">
                  <c:v>2242.5467</c:v>
                </c:pt>
                <c:pt idx="6">
                  <c:v>2616.6426</c:v>
                </c:pt>
                <c:pt idx="7">
                  <c:v>1202.6748</c:v>
                </c:pt>
                <c:pt idx="8">
                  <c:v>571.808</c:v>
                </c:pt>
                <c:pt idx="9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Events - Capacity vs Duration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'Units &amp; Refineries'!$B$75:$B$474</c:f>
              <c:numCache>
                <c:formatCode>General</c:formatCode>
                <c:ptCount val="400"/>
                <c:pt idx="0">
                  <c:v>29</c:v>
                </c:pt>
                <c:pt idx="1">
                  <c:v>31</c:v>
                </c:pt>
                <c:pt idx="2">
                  <c:v>24</c:v>
                </c:pt>
                <c:pt idx="3">
                  <c:v>29</c:v>
                </c:pt>
                <c:pt idx="4">
                  <c:v>22</c:v>
                </c:pt>
                <c:pt idx="5">
                  <c:v>31</c:v>
                </c:pt>
                <c:pt idx="6">
                  <c:v>29</c:v>
                </c:pt>
                <c:pt idx="7">
                  <c:v>17</c:v>
                </c:pt>
                <c:pt idx="8">
                  <c:v>30</c:v>
                </c:pt>
                <c:pt idx="9">
                  <c:v>31</c:v>
                </c:pt>
                <c:pt idx="10">
                  <c:v>18</c:v>
                </c:pt>
                <c:pt idx="11">
                  <c:v>27</c:v>
                </c:pt>
                <c:pt idx="12">
                  <c:v>30</c:v>
                </c:pt>
                <c:pt idx="13">
                  <c:v>24</c:v>
                </c:pt>
                <c:pt idx="14">
                  <c:v>17</c:v>
                </c:pt>
                <c:pt idx="15">
                  <c:v>20</c:v>
                </c:pt>
                <c:pt idx="16">
                  <c:v>26</c:v>
                </c:pt>
                <c:pt idx="17">
                  <c:v>15</c:v>
                </c:pt>
                <c:pt idx="18">
                  <c:v>24</c:v>
                </c:pt>
                <c:pt idx="19">
                  <c:v>30</c:v>
                </c:pt>
                <c:pt idx="20">
                  <c:v>31</c:v>
                </c:pt>
                <c:pt idx="21">
                  <c:v>29</c:v>
                </c:pt>
                <c:pt idx="22">
                  <c:v>29</c:v>
                </c:pt>
                <c:pt idx="23">
                  <c:v>20</c:v>
                </c:pt>
                <c:pt idx="24">
                  <c:v>28</c:v>
                </c:pt>
                <c:pt idx="25">
                  <c:v>31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31</c:v>
                </c:pt>
                <c:pt idx="30">
                  <c:v>29</c:v>
                </c:pt>
                <c:pt idx="31">
                  <c:v>24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28</c:v>
                </c:pt>
                <c:pt idx="36">
                  <c:v>31</c:v>
                </c:pt>
                <c:pt idx="37">
                  <c:v>29</c:v>
                </c:pt>
                <c:pt idx="38">
                  <c:v>28</c:v>
                </c:pt>
                <c:pt idx="39">
                  <c:v>30</c:v>
                </c:pt>
                <c:pt idx="40">
                  <c:v>31</c:v>
                </c:pt>
                <c:pt idx="41">
                  <c:v>29</c:v>
                </c:pt>
                <c:pt idx="42">
                  <c:v>29</c:v>
                </c:pt>
                <c:pt idx="43">
                  <c:v>11</c:v>
                </c:pt>
                <c:pt idx="44">
                  <c:v>30</c:v>
                </c:pt>
                <c:pt idx="45">
                  <c:v>21</c:v>
                </c:pt>
                <c:pt idx="46">
                  <c:v>12</c:v>
                </c:pt>
                <c:pt idx="47">
                  <c:v>19</c:v>
                </c:pt>
                <c:pt idx="48">
                  <c:v>28</c:v>
                </c:pt>
                <c:pt idx="49">
                  <c:v>17</c:v>
                </c:pt>
                <c:pt idx="50">
                  <c:v>31</c:v>
                </c:pt>
                <c:pt idx="51">
                  <c:v>30</c:v>
                </c:pt>
                <c:pt idx="52">
                  <c:v>31</c:v>
                </c:pt>
                <c:pt idx="53">
                  <c:v>30</c:v>
                </c:pt>
                <c:pt idx="54">
                  <c:v>18</c:v>
                </c:pt>
                <c:pt idx="55">
                  <c:v>11</c:v>
                </c:pt>
                <c:pt idx="56">
                  <c:v>31</c:v>
                </c:pt>
                <c:pt idx="57">
                  <c:v>18</c:v>
                </c:pt>
                <c:pt idx="58">
                  <c:v>27</c:v>
                </c:pt>
                <c:pt idx="59">
                  <c:v>16</c:v>
                </c:pt>
                <c:pt idx="60">
                  <c:v>29</c:v>
                </c:pt>
                <c:pt idx="61">
                  <c:v>30</c:v>
                </c:pt>
                <c:pt idx="62">
                  <c:v>23</c:v>
                </c:pt>
                <c:pt idx="63">
                  <c:v>10</c:v>
                </c:pt>
                <c:pt idx="64">
                  <c:v>31</c:v>
                </c:pt>
                <c:pt idx="65">
                  <c:v>30</c:v>
                </c:pt>
                <c:pt idx="66">
                  <c:v>30</c:v>
                </c:pt>
                <c:pt idx="67">
                  <c:v>31</c:v>
                </c:pt>
                <c:pt idx="68">
                  <c:v>29</c:v>
                </c:pt>
                <c:pt idx="69">
                  <c:v>15</c:v>
                </c:pt>
                <c:pt idx="70">
                  <c:v>16</c:v>
                </c:pt>
                <c:pt idx="71">
                  <c:v>20</c:v>
                </c:pt>
                <c:pt idx="72">
                  <c:v>24</c:v>
                </c:pt>
                <c:pt idx="73">
                  <c:v>9</c:v>
                </c:pt>
                <c:pt idx="74">
                  <c:v>26</c:v>
                </c:pt>
                <c:pt idx="75">
                  <c:v>26</c:v>
                </c:pt>
                <c:pt idx="76">
                  <c:v>31</c:v>
                </c:pt>
                <c:pt idx="77">
                  <c:v>31</c:v>
                </c:pt>
                <c:pt idx="78">
                  <c:v>28</c:v>
                </c:pt>
                <c:pt idx="79">
                  <c:v>30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30</c:v>
                </c:pt>
                <c:pt idx="86">
                  <c:v>30</c:v>
                </c:pt>
                <c:pt idx="87">
                  <c:v>31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31</c:v>
                </c:pt>
                <c:pt idx="92">
                  <c:v>31</c:v>
                </c:pt>
                <c:pt idx="93">
                  <c:v>11</c:v>
                </c:pt>
                <c:pt idx="94">
                  <c:v>14</c:v>
                </c:pt>
                <c:pt idx="95">
                  <c:v>29</c:v>
                </c:pt>
                <c:pt idx="96">
                  <c:v>30</c:v>
                </c:pt>
                <c:pt idx="97">
                  <c:v>22</c:v>
                </c:pt>
                <c:pt idx="98">
                  <c:v>28</c:v>
                </c:pt>
                <c:pt idx="99">
                  <c:v>15</c:v>
                </c:pt>
                <c:pt idx="100">
                  <c:v>15</c:v>
                </c:pt>
                <c:pt idx="101">
                  <c:v>14</c:v>
                </c:pt>
                <c:pt idx="102">
                  <c:v>24</c:v>
                </c:pt>
                <c:pt idx="103">
                  <c:v>31</c:v>
                </c:pt>
                <c:pt idx="104">
                  <c:v>31</c:v>
                </c:pt>
                <c:pt idx="105">
                  <c:v>20</c:v>
                </c:pt>
                <c:pt idx="106">
                  <c:v>8</c:v>
                </c:pt>
                <c:pt idx="107">
                  <c:v>20</c:v>
                </c:pt>
                <c:pt idx="108">
                  <c:v>22</c:v>
                </c:pt>
                <c:pt idx="109">
                  <c:v>31</c:v>
                </c:pt>
                <c:pt idx="110">
                  <c:v>31</c:v>
                </c:pt>
                <c:pt idx="111">
                  <c:v>28</c:v>
                </c:pt>
                <c:pt idx="112">
                  <c:v>29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29</c:v>
                </c:pt>
                <c:pt idx="122">
                  <c:v>30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17</c:v>
                </c:pt>
                <c:pt idx="127">
                  <c:v>24</c:v>
                </c:pt>
                <c:pt idx="128">
                  <c:v>20</c:v>
                </c:pt>
                <c:pt idx="129">
                  <c:v>12</c:v>
                </c:pt>
                <c:pt idx="130">
                  <c:v>24</c:v>
                </c:pt>
                <c:pt idx="131">
                  <c:v>28</c:v>
                </c:pt>
                <c:pt idx="132">
                  <c:v>14</c:v>
                </c:pt>
                <c:pt idx="133">
                  <c:v>14</c:v>
                </c:pt>
                <c:pt idx="134">
                  <c:v>30</c:v>
                </c:pt>
                <c:pt idx="135">
                  <c:v>27</c:v>
                </c:pt>
                <c:pt idx="136">
                  <c:v>19</c:v>
                </c:pt>
                <c:pt idx="137">
                  <c:v>10</c:v>
                </c:pt>
                <c:pt idx="138">
                  <c:v>31</c:v>
                </c:pt>
                <c:pt idx="139">
                  <c:v>29</c:v>
                </c:pt>
                <c:pt idx="140">
                  <c:v>31</c:v>
                </c:pt>
                <c:pt idx="141">
                  <c:v>24</c:v>
                </c:pt>
                <c:pt idx="142">
                  <c:v>18</c:v>
                </c:pt>
                <c:pt idx="143">
                  <c:v>11</c:v>
                </c:pt>
                <c:pt idx="144">
                  <c:v>26</c:v>
                </c:pt>
                <c:pt idx="145">
                  <c:v>25</c:v>
                </c:pt>
                <c:pt idx="146">
                  <c:v>14</c:v>
                </c:pt>
                <c:pt idx="147">
                  <c:v>21</c:v>
                </c:pt>
                <c:pt idx="148">
                  <c:v>26</c:v>
                </c:pt>
                <c:pt idx="149">
                  <c:v>30</c:v>
                </c:pt>
                <c:pt idx="150">
                  <c:v>21</c:v>
                </c:pt>
                <c:pt idx="151">
                  <c:v>13</c:v>
                </c:pt>
                <c:pt idx="152">
                  <c:v>7</c:v>
                </c:pt>
                <c:pt idx="153">
                  <c:v>16</c:v>
                </c:pt>
                <c:pt idx="154">
                  <c:v>21</c:v>
                </c:pt>
                <c:pt idx="155">
                  <c:v>25</c:v>
                </c:pt>
                <c:pt idx="156">
                  <c:v>19</c:v>
                </c:pt>
                <c:pt idx="157">
                  <c:v>19</c:v>
                </c:pt>
                <c:pt idx="158">
                  <c:v>18</c:v>
                </c:pt>
                <c:pt idx="159">
                  <c:v>28</c:v>
                </c:pt>
                <c:pt idx="160">
                  <c:v>28</c:v>
                </c:pt>
                <c:pt idx="161">
                  <c:v>31</c:v>
                </c:pt>
                <c:pt idx="162">
                  <c:v>31</c:v>
                </c:pt>
                <c:pt idx="163">
                  <c:v>29</c:v>
                </c:pt>
                <c:pt idx="164">
                  <c:v>31</c:v>
                </c:pt>
                <c:pt idx="165">
                  <c:v>31</c:v>
                </c:pt>
                <c:pt idx="166">
                  <c:v>29</c:v>
                </c:pt>
                <c:pt idx="167">
                  <c:v>15</c:v>
                </c:pt>
                <c:pt idx="168">
                  <c:v>15</c:v>
                </c:pt>
                <c:pt idx="169">
                  <c:v>21</c:v>
                </c:pt>
                <c:pt idx="170">
                  <c:v>12</c:v>
                </c:pt>
                <c:pt idx="171">
                  <c:v>16</c:v>
                </c:pt>
                <c:pt idx="172">
                  <c:v>31</c:v>
                </c:pt>
                <c:pt idx="173">
                  <c:v>17</c:v>
                </c:pt>
                <c:pt idx="174">
                  <c:v>21</c:v>
                </c:pt>
                <c:pt idx="175">
                  <c:v>8</c:v>
                </c:pt>
                <c:pt idx="176">
                  <c:v>16</c:v>
                </c:pt>
                <c:pt idx="177">
                  <c:v>31</c:v>
                </c:pt>
                <c:pt idx="178">
                  <c:v>17</c:v>
                </c:pt>
                <c:pt idx="179">
                  <c:v>30</c:v>
                </c:pt>
                <c:pt idx="180">
                  <c:v>18</c:v>
                </c:pt>
                <c:pt idx="181">
                  <c:v>29</c:v>
                </c:pt>
                <c:pt idx="182">
                  <c:v>31</c:v>
                </c:pt>
                <c:pt idx="183">
                  <c:v>22</c:v>
                </c:pt>
                <c:pt idx="184">
                  <c:v>31</c:v>
                </c:pt>
                <c:pt idx="185">
                  <c:v>28</c:v>
                </c:pt>
                <c:pt idx="186">
                  <c:v>31</c:v>
                </c:pt>
                <c:pt idx="187">
                  <c:v>30</c:v>
                </c:pt>
                <c:pt idx="188">
                  <c:v>31</c:v>
                </c:pt>
                <c:pt idx="189">
                  <c:v>24</c:v>
                </c:pt>
                <c:pt idx="190">
                  <c:v>30</c:v>
                </c:pt>
                <c:pt idx="191">
                  <c:v>31</c:v>
                </c:pt>
                <c:pt idx="192">
                  <c:v>31</c:v>
                </c:pt>
                <c:pt idx="193">
                  <c:v>11</c:v>
                </c:pt>
                <c:pt idx="194">
                  <c:v>31</c:v>
                </c:pt>
                <c:pt idx="195">
                  <c:v>28</c:v>
                </c:pt>
                <c:pt idx="196">
                  <c:v>28</c:v>
                </c:pt>
                <c:pt idx="197">
                  <c:v>16</c:v>
                </c:pt>
                <c:pt idx="198">
                  <c:v>31</c:v>
                </c:pt>
                <c:pt idx="199">
                  <c:v>29</c:v>
                </c:pt>
                <c:pt idx="200">
                  <c:v>22</c:v>
                </c:pt>
                <c:pt idx="201">
                  <c:v>20</c:v>
                </c:pt>
                <c:pt idx="202">
                  <c:v>31</c:v>
                </c:pt>
                <c:pt idx="203">
                  <c:v>28</c:v>
                </c:pt>
                <c:pt idx="204">
                  <c:v>30</c:v>
                </c:pt>
                <c:pt idx="205">
                  <c:v>31</c:v>
                </c:pt>
                <c:pt idx="206">
                  <c:v>31</c:v>
                </c:pt>
                <c:pt idx="207">
                  <c:v>28</c:v>
                </c:pt>
                <c:pt idx="208">
                  <c:v>31</c:v>
                </c:pt>
                <c:pt idx="209">
                  <c:v>31</c:v>
                </c:pt>
                <c:pt idx="210">
                  <c:v>16</c:v>
                </c:pt>
                <c:pt idx="211">
                  <c:v>31</c:v>
                </c:pt>
                <c:pt idx="212">
                  <c:v>31</c:v>
                </c:pt>
                <c:pt idx="213">
                  <c:v>17</c:v>
                </c:pt>
                <c:pt idx="214">
                  <c:v>30</c:v>
                </c:pt>
                <c:pt idx="215">
                  <c:v>25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30</c:v>
                </c:pt>
                <c:pt idx="220">
                  <c:v>31</c:v>
                </c:pt>
                <c:pt idx="221">
                  <c:v>30</c:v>
                </c:pt>
                <c:pt idx="222">
                  <c:v>31</c:v>
                </c:pt>
                <c:pt idx="223">
                  <c:v>18</c:v>
                </c:pt>
                <c:pt idx="224">
                  <c:v>25</c:v>
                </c:pt>
                <c:pt idx="225">
                  <c:v>17</c:v>
                </c:pt>
                <c:pt idx="226">
                  <c:v>20</c:v>
                </c:pt>
                <c:pt idx="227">
                  <c:v>24</c:v>
                </c:pt>
                <c:pt idx="228">
                  <c:v>22</c:v>
                </c:pt>
                <c:pt idx="229">
                  <c:v>15</c:v>
                </c:pt>
                <c:pt idx="230">
                  <c:v>28</c:v>
                </c:pt>
                <c:pt idx="231">
                  <c:v>29</c:v>
                </c:pt>
                <c:pt idx="232">
                  <c:v>16</c:v>
                </c:pt>
                <c:pt idx="233">
                  <c:v>11</c:v>
                </c:pt>
                <c:pt idx="234">
                  <c:v>6</c:v>
                </c:pt>
                <c:pt idx="235">
                  <c:v>31</c:v>
                </c:pt>
                <c:pt idx="236">
                  <c:v>30</c:v>
                </c:pt>
                <c:pt idx="237">
                  <c:v>31</c:v>
                </c:pt>
                <c:pt idx="238">
                  <c:v>30</c:v>
                </c:pt>
                <c:pt idx="239">
                  <c:v>29</c:v>
                </c:pt>
                <c:pt idx="240">
                  <c:v>26</c:v>
                </c:pt>
                <c:pt idx="241">
                  <c:v>17</c:v>
                </c:pt>
                <c:pt idx="242">
                  <c:v>15</c:v>
                </c:pt>
                <c:pt idx="243">
                  <c:v>15</c:v>
                </c:pt>
                <c:pt idx="244">
                  <c:v>30</c:v>
                </c:pt>
                <c:pt idx="245">
                  <c:v>28</c:v>
                </c:pt>
                <c:pt idx="246">
                  <c:v>31</c:v>
                </c:pt>
                <c:pt idx="247">
                  <c:v>30</c:v>
                </c:pt>
                <c:pt idx="248">
                  <c:v>31</c:v>
                </c:pt>
                <c:pt idx="249">
                  <c:v>31</c:v>
                </c:pt>
                <c:pt idx="250">
                  <c:v>30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6</c:v>
                </c:pt>
                <c:pt idx="256">
                  <c:v>28</c:v>
                </c:pt>
                <c:pt idx="257">
                  <c:v>31</c:v>
                </c:pt>
                <c:pt idx="258">
                  <c:v>28</c:v>
                </c:pt>
                <c:pt idx="259">
                  <c:v>30</c:v>
                </c:pt>
                <c:pt idx="260">
                  <c:v>31</c:v>
                </c:pt>
                <c:pt idx="261">
                  <c:v>30</c:v>
                </c:pt>
                <c:pt idx="262">
                  <c:v>31</c:v>
                </c:pt>
                <c:pt idx="263">
                  <c:v>31</c:v>
                </c:pt>
                <c:pt idx="264">
                  <c:v>30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30</c:v>
                </c:pt>
                <c:pt idx="269">
                  <c:v>31</c:v>
                </c:pt>
                <c:pt idx="270">
                  <c:v>31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28</c:v>
                </c:pt>
                <c:pt idx="275">
                  <c:v>23</c:v>
                </c:pt>
                <c:pt idx="276">
                  <c:v>25</c:v>
                </c:pt>
                <c:pt idx="277">
                  <c:v>23</c:v>
                </c:pt>
                <c:pt idx="278">
                  <c:v>23</c:v>
                </c:pt>
                <c:pt idx="279">
                  <c:v>17</c:v>
                </c:pt>
                <c:pt idx="280">
                  <c:v>31</c:v>
                </c:pt>
                <c:pt idx="281">
                  <c:v>28</c:v>
                </c:pt>
                <c:pt idx="282">
                  <c:v>26</c:v>
                </c:pt>
                <c:pt idx="283">
                  <c:v>15</c:v>
                </c:pt>
                <c:pt idx="284">
                  <c:v>29</c:v>
                </c:pt>
                <c:pt idx="285">
                  <c:v>19</c:v>
                </c:pt>
                <c:pt idx="286">
                  <c:v>19</c:v>
                </c:pt>
                <c:pt idx="287">
                  <c:v>28</c:v>
                </c:pt>
                <c:pt idx="288">
                  <c:v>18</c:v>
                </c:pt>
                <c:pt idx="289">
                  <c:v>31</c:v>
                </c:pt>
                <c:pt idx="290">
                  <c:v>24</c:v>
                </c:pt>
                <c:pt idx="291">
                  <c:v>23</c:v>
                </c:pt>
                <c:pt idx="292">
                  <c:v>27</c:v>
                </c:pt>
                <c:pt idx="293">
                  <c:v>22</c:v>
                </c:pt>
                <c:pt idx="294">
                  <c:v>11</c:v>
                </c:pt>
                <c:pt idx="295">
                  <c:v>22</c:v>
                </c:pt>
                <c:pt idx="296">
                  <c:v>24</c:v>
                </c:pt>
                <c:pt idx="297">
                  <c:v>12</c:v>
                </c:pt>
                <c:pt idx="298">
                  <c:v>14</c:v>
                </c:pt>
                <c:pt idx="299">
                  <c:v>29</c:v>
                </c:pt>
                <c:pt idx="300">
                  <c:v>25</c:v>
                </c:pt>
                <c:pt idx="301">
                  <c:v>16</c:v>
                </c:pt>
                <c:pt idx="302">
                  <c:v>18</c:v>
                </c:pt>
                <c:pt idx="303">
                  <c:v>23</c:v>
                </c:pt>
                <c:pt idx="304">
                  <c:v>18</c:v>
                </c:pt>
                <c:pt idx="305">
                  <c:v>25</c:v>
                </c:pt>
                <c:pt idx="306">
                  <c:v>22</c:v>
                </c:pt>
                <c:pt idx="307">
                  <c:v>22</c:v>
                </c:pt>
                <c:pt idx="308">
                  <c:v>16</c:v>
                </c:pt>
                <c:pt idx="309">
                  <c:v>30</c:v>
                </c:pt>
                <c:pt idx="310">
                  <c:v>27</c:v>
                </c:pt>
                <c:pt idx="311">
                  <c:v>31</c:v>
                </c:pt>
                <c:pt idx="312">
                  <c:v>30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30</c:v>
                </c:pt>
                <c:pt idx="317">
                  <c:v>31</c:v>
                </c:pt>
                <c:pt idx="318">
                  <c:v>14</c:v>
                </c:pt>
                <c:pt idx="319">
                  <c:v>31</c:v>
                </c:pt>
                <c:pt idx="320">
                  <c:v>24</c:v>
                </c:pt>
                <c:pt idx="321">
                  <c:v>8</c:v>
                </c:pt>
                <c:pt idx="322">
                  <c:v>13</c:v>
                </c:pt>
                <c:pt idx="323">
                  <c:v>25</c:v>
                </c:pt>
                <c:pt idx="324">
                  <c:v>11</c:v>
                </c:pt>
                <c:pt idx="325">
                  <c:v>16</c:v>
                </c:pt>
                <c:pt idx="326">
                  <c:v>16</c:v>
                </c:pt>
                <c:pt idx="327">
                  <c:v>21</c:v>
                </c:pt>
                <c:pt idx="328">
                  <c:v>17</c:v>
                </c:pt>
                <c:pt idx="329">
                  <c:v>30</c:v>
                </c:pt>
                <c:pt idx="330">
                  <c:v>16</c:v>
                </c:pt>
                <c:pt idx="331">
                  <c:v>16</c:v>
                </c:pt>
                <c:pt idx="332">
                  <c:v>21</c:v>
                </c:pt>
                <c:pt idx="333">
                  <c:v>22</c:v>
                </c:pt>
                <c:pt idx="334">
                  <c:v>20</c:v>
                </c:pt>
                <c:pt idx="335">
                  <c:v>9</c:v>
                </c:pt>
                <c:pt idx="336">
                  <c:v>15</c:v>
                </c:pt>
                <c:pt idx="337">
                  <c:v>5</c:v>
                </c:pt>
                <c:pt idx="338">
                  <c:v>12</c:v>
                </c:pt>
                <c:pt idx="339">
                  <c:v>8</c:v>
                </c:pt>
                <c:pt idx="340">
                  <c:v>12</c:v>
                </c:pt>
                <c:pt idx="341">
                  <c:v>19</c:v>
                </c:pt>
                <c:pt idx="342">
                  <c:v>30</c:v>
                </c:pt>
                <c:pt idx="343">
                  <c:v>16</c:v>
                </c:pt>
                <c:pt idx="344">
                  <c:v>17</c:v>
                </c:pt>
                <c:pt idx="345">
                  <c:v>20</c:v>
                </c:pt>
                <c:pt idx="346">
                  <c:v>21</c:v>
                </c:pt>
                <c:pt idx="347">
                  <c:v>31</c:v>
                </c:pt>
                <c:pt idx="348">
                  <c:v>31</c:v>
                </c:pt>
                <c:pt idx="349">
                  <c:v>28</c:v>
                </c:pt>
                <c:pt idx="350">
                  <c:v>30</c:v>
                </c:pt>
                <c:pt idx="351">
                  <c:v>31</c:v>
                </c:pt>
                <c:pt idx="352">
                  <c:v>30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28</c:v>
                </c:pt>
                <c:pt idx="359">
                  <c:v>28</c:v>
                </c:pt>
                <c:pt idx="360">
                  <c:v>31</c:v>
                </c:pt>
                <c:pt idx="361">
                  <c:v>31</c:v>
                </c:pt>
                <c:pt idx="362">
                  <c:v>30</c:v>
                </c:pt>
                <c:pt idx="363">
                  <c:v>28</c:v>
                </c:pt>
                <c:pt idx="364">
                  <c:v>31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31</c:v>
                </c:pt>
                <c:pt idx="369">
                  <c:v>31</c:v>
                </c:pt>
                <c:pt idx="370">
                  <c:v>13</c:v>
                </c:pt>
                <c:pt idx="371">
                  <c:v>31</c:v>
                </c:pt>
                <c:pt idx="372">
                  <c:v>13</c:v>
                </c:pt>
                <c:pt idx="373">
                  <c:v>9</c:v>
                </c:pt>
                <c:pt idx="374">
                  <c:v>31</c:v>
                </c:pt>
                <c:pt idx="375">
                  <c:v>26</c:v>
                </c:pt>
                <c:pt idx="376">
                  <c:v>17</c:v>
                </c:pt>
                <c:pt idx="377">
                  <c:v>16</c:v>
                </c:pt>
                <c:pt idx="378">
                  <c:v>8</c:v>
                </c:pt>
                <c:pt idx="379">
                  <c:v>24</c:v>
                </c:pt>
                <c:pt idx="380">
                  <c:v>16</c:v>
                </c:pt>
                <c:pt idx="381">
                  <c:v>25</c:v>
                </c:pt>
                <c:pt idx="382">
                  <c:v>19</c:v>
                </c:pt>
                <c:pt idx="383">
                  <c:v>30</c:v>
                </c:pt>
                <c:pt idx="384">
                  <c:v>30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24</c:v>
                </c:pt>
                <c:pt idx="389">
                  <c:v>19</c:v>
                </c:pt>
                <c:pt idx="390">
                  <c:v>19</c:v>
                </c:pt>
                <c:pt idx="391">
                  <c:v>28</c:v>
                </c:pt>
                <c:pt idx="392">
                  <c:v>31</c:v>
                </c:pt>
                <c:pt idx="393">
                  <c:v>30</c:v>
                </c:pt>
                <c:pt idx="394">
                  <c:v>5</c:v>
                </c:pt>
                <c:pt idx="395">
                  <c:v>18</c:v>
                </c:pt>
                <c:pt idx="396">
                  <c:v>5</c:v>
                </c:pt>
                <c:pt idx="397">
                  <c:v>12</c:v>
                </c:pt>
                <c:pt idx="398">
                  <c:v>30</c:v>
                </c:pt>
                <c:pt idx="399">
                  <c:v>18</c:v>
                </c:pt>
              </c:numCache>
            </c:numRef>
          </c:xVal>
          <c:yVal>
            <c:numRef>
              <c:f>'Units &amp; Refineries'!$C$75:$C$474</c:f>
              <c:numCache>
                <c:formatCode>General</c:formatCode>
                <c:ptCount val="400"/>
                <c:pt idx="0">
                  <c:v>255</c:v>
                </c:pt>
                <c:pt idx="1">
                  <c:v>251</c:v>
                </c:pt>
                <c:pt idx="2">
                  <c:v>234.89</c:v>
                </c:pt>
                <c:pt idx="3">
                  <c:v>220</c:v>
                </c:pt>
                <c:pt idx="4">
                  <c:v>162.74</c:v>
                </c:pt>
                <c:pt idx="5">
                  <c:v>161</c:v>
                </c:pt>
                <c:pt idx="6">
                  <c:v>160</c:v>
                </c:pt>
                <c:pt idx="7">
                  <c:v>155.65</c:v>
                </c:pt>
                <c:pt idx="8">
                  <c:v>155</c:v>
                </c:pt>
                <c:pt idx="9">
                  <c:v>155</c:v>
                </c:pt>
                <c:pt idx="10">
                  <c:v>150.6</c:v>
                </c:pt>
                <c:pt idx="11">
                  <c:v>148.8</c:v>
                </c:pt>
                <c:pt idx="12">
                  <c:v>140</c:v>
                </c:pt>
                <c:pt idx="13">
                  <c:v>139.2</c:v>
                </c:pt>
                <c:pt idx="14">
                  <c:v>137.5</c:v>
                </c:pt>
                <c:pt idx="15">
                  <c:v>136.5</c:v>
                </c:pt>
                <c:pt idx="16">
                  <c:v>134.85</c:v>
                </c:pt>
                <c:pt idx="17">
                  <c:v>125.5</c:v>
                </c:pt>
                <c:pt idx="18">
                  <c:v>123.2</c:v>
                </c:pt>
                <c:pt idx="19">
                  <c:v>120</c:v>
                </c:pt>
                <c:pt idx="20">
                  <c:v>120</c:v>
                </c:pt>
                <c:pt idx="21">
                  <c:v>114</c:v>
                </c:pt>
                <c:pt idx="22">
                  <c:v>112.8</c:v>
                </c:pt>
                <c:pt idx="23">
                  <c:v>111.8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107.8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103</c:v>
                </c:pt>
                <c:pt idx="36">
                  <c:v>102</c:v>
                </c:pt>
                <c:pt idx="37">
                  <c:v>102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98.05</c:v>
                </c:pt>
                <c:pt idx="44">
                  <c:v>98</c:v>
                </c:pt>
                <c:pt idx="45">
                  <c:v>98</c:v>
                </c:pt>
                <c:pt idx="46">
                  <c:v>97.5</c:v>
                </c:pt>
                <c:pt idx="47">
                  <c:v>94.5</c:v>
                </c:pt>
                <c:pt idx="48">
                  <c:v>92.15000000000001</c:v>
                </c:pt>
                <c:pt idx="49">
                  <c:v>91.77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89.90000000000001</c:v>
                </c:pt>
                <c:pt idx="55">
                  <c:v>89.25</c:v>
                </c:pt>
                <c:pt idx="56">
                  <c:v>88</c:v>
                </c:pt>
                <c:pt idx="57">
                  <c:v>87</c:v>
                </c:pt>
                <c:pt idx="58">
                  <c:v>86.40000000000001</c:v>
                </c:pt>
                <c:pt idx="59">
                  <c:v>85.8</c:v>
                </c:pt>
                <c:pt idx="60">
                  <c:v>85</c:v>
                </c:pt>
                <c:pt idx="61">
                  <c:v>83.5</c:v>
                </c:pt>
                <c:pt idx="62">
                  <c:v>80.84999999999999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79.776</c:v>
                </c:pt>
                <c:pt idx="70">
                  <c:v>79.5</c:v>
                </c:pt>
                <c:pt idx="71">
                  <c:v>79.34999999999999</c:v>
                </c:pt>
                <c:pt idx="72">
                  <c:v>78.54000000000001</c:v>
                </c:pt>
                <c:pt idx="73">
                  <c:v>78.3</c:v>
                </c:pt>
                <c:pt idx="74">
                  <c:v>78.3</c:v>
                </c:pt>
                <c:pt idx="75">
                  <c:v>78.12</c:v>
                </c:pt>
                <c:pt idx="76">
                  <c:v>78</c:v>
                </c:pt>
                <c:pt idx="77">
                  <c:v>77.5</c:v>
                </c:pt>
                <c:pt idx="78">
                  <c:v>77.5</c:v>
                </c:pt>
                <c:pt idx="79">
                  <c:v>77.5</c:v>
                </c:pt>
                <c:pt idx="80">
                  <c:v>77.5</c:v>
                </c:pt>
                <c:pt idx="81">
                  <c:v>77.5</c:v>
                </c:pt>
                <c:pt idx="82">
                  <c:v>77.5</c:v>
                </c:pt>
                <c:pt idx="83">
                  <c:v>77.5</c:v>
                </c:pt>
                <c:pt idx="84">
                  <c:v>77.5</c:v>
                </c:pt>
                <c:pt idx="85">
                  <c:v>77.5</c:v>
                </c:pt>
                <c:pt idx="86">
                  <c:v>77.5</c:v>
                </c:pt>
                <c:pt idx="87">
                  <c:v>77.5</c:v>
                </c:pt>
                <c:pt idx="88">
                  <c:v>77.5</c:v>
                </c:pt>
                <c:pt idx="89">
                  <c:v>77.5</c:v>
                </c:pt>
                <c:pt idx="90">
                  <c:v>77.5</c:v>
                </c:pt>
                <c:pt idx="91">
                  <c:v>77.5</c:v>
                </c:pt>
                <c:pt idx="92">
                  <c:v>77.5</c:v>
                </c:pt>
                <c:pt idx="93">
                  <c:v>77</c:v>
                </c:pt>
                <c:pt idx="94">
                  <c:v>76.8</c:v>
                </c:pt>
                <c:pt idx="95">
                  <c:v>75.2</c:v>
                </c:pt>
                <c:pt idx="96">
                  <c:v>75</c:v>
                </c:pt>
                <c:pt idx="97">
                  <c:v>74.45999999999999</c:v>
                </c:pt>
                <c:pt idx="98">
                  <c:v>74.40000000000001</c:v>
                </c:pt>
                <c:pt idx="99">
                  <c:v>74.25</c:v>
                </c:pt>
                <c:pt idx="100">
                  <c:v>74.25</c:v>
                </c:pt>
                <c:pt idx="101">
                  <c:v>73.79000000000001</c:v>
                </c:pt>
                <c:pt idx="102">
                  <c:v>73.15000000000001</c:v>
                </c:pt>
                <c:pt idx="103">
                  <c:v>73</c:v>
                </c:pt>
                <c:pt idx="104">
                  <c:v>73</c:v>
                </c:pt>
                <c:pt idx="105">
                  <c:v>72.8</c:v>
                </c:pt>
                <c:pt idx="106">
                  <c:v>72.8</c:v>
                </c:pt>
                <c:pt idx="107">
                  <c:v>71.5</c:v>
                </c:pt>
                <c:pt idx="108">
                  <c:v>71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69.84999999999999</c:v>
                </c:pt>
                <c:pt idx="127">
                  <c:v>69.3</c:v>
                </c:pt>
                <c:pt idx="128">
                  <c:v>69</c:v>
                </c:pt>
                <c:pt idx="129">
                  <c:v>68.25</c:v>
                </c:pt>
                <c:pt idx="130">
                  <c:v>68.23999999999999</c:v>
                </c:pt>
                <c:pt idx="131">
                  <c:v>67.89</c:v>
                </c:pt>
                <c:pt idx="132">
                  <c:v>67.5</c:v>
                </c:pt>
                <c:pt idx="133">
                  <c:v>67.5</c:v>
                </c:pt>
                <c:pt idx="134">
                  <c:v>67</c:v>
                </c:pt>
                <c:pt idx="135">
                  <c:v>66.98999999999999</c:v>
                </c:pt>
                <c:pt idx="136">
                  <c:v>66.78</c:v>
                </c:pt>
                <c:pt idx="137">
                  <c:v>65.92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64</c:v>
                </c:pt>
                <c:pt idx="142">
                  <c:v>63.8</c:v>
                </c:pt>
                <c:pt idx="143">
                  <c:v>63.64</c:v>
                </c:pt>
                <c:pt idx="144">
                  <c:v>63.51</c:v>
                </c:pt>
                <c:pt idx="145">
                  <c:v>63.101</c:v>
                </c:pt>
                <c:pt idx="146">
                  <c:v>63</c:v>
                </c:pt>
                <c:pt idx="147">
                  <c:v>63</c:v>
                </c:pt>
                <c:pt idx="148">
                  <c:v>63</c:v>
                </c:pt>
                <c:pt idx="149">
                  <c:v>62.856</c:v>
                </c:pt>
                <c:pt idx="150">
                  <c:v>62.56</c:v>
                </c:pt>
                <c:pt idx="151">
                  <c:v>62.37</c:v>
                </c:pt>
                <c:pt idx="152">
                  <c:v>62.1</c:v>
                </c:pt>
                <c:pt idx="153">
                  <c:v>61.6</c:v>
                </c:pt>
                <c:pt idx="154">
                  <c:v>61.2</c:v>
                </c:pt>
                <c:pt idx="155">
                  <c:v>61.155</c:v>
                </c:pt>
                <c:pt idx="156">
                  <c:v>61</c:v>
                </c:pt>
                <c:pt idx="157">
                  <c:v>61</c:v>
                </c:pt>
                <c:pt idx="158">
                  <c:v>60.9</c:v>
                </c:pt>
                <c:pt idx="159">
                  <c:v>60.45</c:v>
                </c:pt>
                <c:pt idx="160">
                  <c:v>60.45</c:v>
                </c:pt>
                <c:pt idx="161">
                  <c:v>60.33</c:v>
                </c:pt>
                <c:pt idx="162">
                  <c:v>60.33</c:v>
                </c:pt>
                <c:pt idx="163">
                  <c:v>60.33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59.8</c:v>
                </c:pt>
                <c:pt idx="169">
                  <c:v>59.654</c:v>
                </c:pt>
                <c:pt idx="170">
                  <c:v>59.4</c:v>
                </c:pt>
                <c:pt idx="171">
                  <c:v>59.28</c:v>
                </c:pt>
                <c:pt idx="172">
                  <c:v>58.5</c:v>
                </c:pt>
                <c:pt idx="173">
                  <c:v>58.3</c:v>
                </c:pt>
                <c:pt idx="174">
                  <c:v>57.8</c:v>
                </c:pt>
                <c:pt idx="175">
                  <c:v>57.2</c:v>
                </c:pt>
                <c:pt idx="176">
                  <c:v>57.2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56.84</c:v>
                </c:pt>
                <c:pt idx="181">
                  <c:v>56.4</c:v>
                </c:pt>
                <c:pt idx="182">
                  <c:v>56.35</c:v>
                </c:pt>
                <c:pt idx="183">
                  <c:v>56.21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55.8</c:v>
                </c:pt>
                <c:pt idx="197">
                  <c:v>55.65</c:v>
                </c:pt>
                <c:pt idx="198">
                  <c:v>55.5</c:v>
                </c:pt>
                <c:pt idx="199">
                  <c:v>55.5</c:v>
                </c:pt>
                <c:pt idx="200">
                  <c:v>55.3</c:v>
                </c:pt>
                <c:pt idx="201">
                  <c:v>55.2</c:v>
                </c:pt>
                <c:pt idx="202">
                  <c:v>55</c:v>
                </c:pt>
                <c:pt idx="203">
                  <c:v>55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55</c:v>
                </c:pt>
                <c:pt idx="208">
                  <c:v>55</c:v>
                </c:pt>
                <c:pt idx="209">
                  <c:v>55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54.78</c:v>
                </c:pt>
                <c:pt idx="216">
                  <c:v>54.25</c:v>
                </c:pt>
                <c:pt idx="217">
                  <c:v>54.25</c:v>
                </c:pt>
                <c:pt idx="218">
                  <c:v>54.25</c:v>
                </c:pt>
                <c:pt idx="219">
                  <c:v>54.25</c:v>
                </c:pt>
                <c:pt idx="220">
                  <c:v>54.25</c:v>
                </c:pt>
                <c:pt idx="221">
                  <c:v>54.25</c:v>
                </c:pt>
                <c:pt idx="222">
                  <c:v>54.25</c:v>
                </c:pt>
                <c:pt idx="223">
                  <c:v>54</c:v>
                </c:pt>
                <c:pt idx="224">
                  <c:v>53.95</c:v>
                </c:pt>
                <c:pt idx="225">
                  <c:v>53.9</c:v>
                </c:pt>
                <c:pt idx="226">
                  <c:v>53.6</c:v>
                </c:pt>
                <c:pt idx="227">
                  <c:v>53.32</c:v>
                </c:pt>
                <c:pt idx="228">
                  <c:v>53.29</c:v>
                </c:pt>
                <c:pt idx="229">
                  <c:v>53.04</c:v>
                </c:pt>
                <c:pt idx="230">
                  <c:v>53.01</c:v>
                </c:pt>
                <c:pt idx="231">
                  <c:v>53</c:v>
                </c:pt>
                <c:pt idx="232">
                  <c:v>53</c:v>
                </c:pt>
                <c:pt idx="233">
                  <c:v>52.5</c:v>
                </c:pt>
                <c:pt idx="234">
                  <c:v>52.25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51.7</c:v>
                </c:pt>
                <c:pt idx="240">
                  <c:v>51.3</c:v>
                </c:pt>
                <c:pt idx="241">
                  <c:v>51.3</c:v>
                </c:pt>
                <c:pt idx="242">
                  <c:v>50.88</c:v>
                </c:pt>
                <c:pt idx="243">
                  <c:v>50.4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49.8575</c:v>
                </c:pt>
                <c:pt idx="276">
                  <c:v>49.815</c:v>
                </c:pt>
                <c:pt idx="277">
                  <c:v>49.665</c:v>
                </c:pt>
                <c:pt idx="278">
                  <c:v>49.58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49.44</c:v>
                </c:pt>
                <c:pt idx="284">
                  <c:v>48.88</c:v>
                </c:pt>
                <c:pt idx="285">
                  <c:v>48.825</c:v>
                </c:pt>
                <c:pt idx="286">
                  <c:v>48.8</c:v>
                </c:pt>
                <c:pt idx="287">
                  <c:v>48.36</c:v>
                </c:pt>
                <c:pt idx="288">
                  <c:v>48.36</c:v>
                </c:pt>
                <c:pt idx="289">
                  <c:v>48</c:v>
                </c:pt>
                <c:pt idx="290">
                  <c:v>48</c:v>
                </c:pt>
                <c:pt idx="291">
                  <c:v>47.971</c:v>
                </c:pt>
                <c:pt idx="292">
                  <c:v>47.85</c:v>
                </c:pt>
                <c:pt idx="293">
                  <c:v>47.815</c:v>
                </c:pt>
                <c:pt idx="294">
                  <c:v>47.6</c:v>
                </c:pt>
                <c:pt idx="295">
                  <c:v>47.304</c:v>
                </c:pt>
                <c:pt idx="296">
                  <c:v>47.3</c:v>
                </c:pt>
                <c:pt idx="297">
                  <c:v>47.3</c:v>
                </c:pt>
                <c:pt idx="298">
                  <c:v>47</c:v>
                </c:pt>
                <c:pt idx="299">
                  <c:v>47</c:v>
                </c:pt>
                <c:pt idx="300">
                  <c:v>46.98</c:v>
                </c:pt>
                <c:pt idx="301">
                  <c:v>46.75</c:v>
                </c:pt>
                <c:pt idx="302">
                  <c:v>46.4</c:v>
                </c:pt>
                <c:pt idx="303">
                  <c:v>46.2</c:v>
                </c:pt>
                <c:pt idx="304">
                  <c:v>46.2</c:v>
                </c:pt>
                <c:pt idx="305">
                  <c:v>46.17</c:v>
                </c:pt>
                <c:pt idx="306">
                  <c:v>46.15</c:v>
                </c:pt>
                <c:pt idx="307">
                  <c:v>46.15</c:v>
                </c:pt>
                <c:pt idx="308">
                  <c:v>45.6</c:v>
                </c:pt>
                <c:pt idx="309">
                  <c:v>45.5</c:v>
                </c:pt>
                <c:pt idx="310">
                  <c:v>45.414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44.8</c:v>
                </c:pt>
                <c:pt idx="321">
                  <c:v>44.8</c:v>
                </c:pt>
                <c:pt idx="322">
                  <c:v>44.52</c:v>
                </c:pt>
                <c:pt idx="323">
                  <c:v>44.5</c:v>
                </c:pt>
                <c:pt idx="324">
                  <c:v>44.45</c:v>
                </c:pt>
                <c:pt idx="325">
                  <c:v>44.356</c:v>
                </c:pt>
                <c:pt idx="326">
                  <c:v>44.3144</c:v>
                </c:pt>
                <c:pt idx="327">
                  <c:v>44.03</c:v>
                </c:pt>
                <c:pt idx="328">
                  <c:v>44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43.86</c:v>
                </c:pt>
                <c:pt idx="333">
                  <c:v>43.8</c:v>
                </c:pt>
                <c:pt idx="334">
                  <c:v>43.55</c:v>
                </c:pt>
                <c:pt idx="335">
                  <c:v>43.5</c:v>
                </c:pt>
                <c:pt idx="336">
                  <c:v>43.2</c:v>
                </c:pt>
                <c:pt idx="337">
                  <c:v>43.2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42.7</c:v>
                </c:pt>
                <c:pt idx="342">
                  <c:v>42.68</c:v>
                </c:pt>
                <c:pt idx="343">
                  <c:v>42.625</c:v>
                </c:pt>
                <c:pt idx="344">
                  <c:v>42.625</c:v>
                </c:pt>
                <c:pt idx="345">
                  <c:v>42.25</c:v>
                </c:pt>
                <c:pt idx="346">
                  <c:v>42.231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41.85</c:v>
                </c:pt>
                <c:pt idx="376">
                  <c:v>41.8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41.5</c:v>
                </c:pt>
                <c:pt idx="382">
                  <c:v>41.48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40.964</c:v>
                </c:pt>
                <c:pt idx="389">
                  <c:v>40.95</c:v>
                </c:pt>
                <c:pt idx="390">
                  <c:v>40.95</c:v>
                </c:pt>
                <c:pt idx="391">
                  <c:v>40.92</c:v>
                </c:pt>
                <c:pt idx="392">
                  <c:v>40.9</c:v>
                </c:pt>
                <c:pt idx="393">
                  <c:v>40.9</c:v>
                </c:pt>
                <c:pt idx="394">
                  <c:v>40.8</c:v>
                </c:pt>
                <c:pt idx="395">
                  <c:v>40.8</c:v>
                </c:pt>
                <c:pt idx="396">
                  <c:v>40.8</c:v>
                </c:pt>
                <c:pt idx="397">
                  <c:v>40.8</c:v>
                </c:pt>
                <c:pt idx="398">
                  <c:v>40.7</c:v>
                </c:pt>
                <c:pt idx="399">
                  <c:v>40.6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(days)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Mogas-Equivalent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Planned</c:v>
          </c:tx>
          <c:spPr>
            <a:solidFill>
              <a:srgbClr val="1F3864"/>
            </a:solidFill>
          </c:spPr>
          <c:cat>
            <c:numRef>
              <c:f>'Units &amp; Refineries'!$B$478:$B$487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'Units &amp; Refineries'!$C$478:$C$487</c:f>
              <c:numCache>
                <c:formatCode>General</c:formatCode>
                <c:ptCount val="10"/>
                <c:pt idx="0">
                  <c:v>4733.922434999999</c:v>
                </c:pt>
                <c:pt idx="1">
                  <c:v>5354.9320875</c:v>
                </c:pt>
                <c:pt idx="2">
                  <c:v>6404.1064625</c:v>
                </c:pt>
                <c:pt idx="3">
                  <c:v>6499.106255</c:v>
                </c:pt>
                <c:pt idx="4">
                  <c:v>5682.3477375</c:v>
                </c:pt>
                <c:pt idx="5">
                  <c:v>5999.8846225</c:v>
                </c:pt>
                <c:pt idx="6">
                  <c:v>4916.37182</c:v>
                </c:pt>
                <c:pt idx="7">
                  <c:v>4228.280385</c:v>
                </c:pt>
                <c:pt idx="8">
                  <c:v>2585.9664675</c:v>
                </c:pt>
                <c:pt idx="9">
                  <c:v>3507.6762475</c:v>
                </c:pt>
              </c:numCache>
            </c:numRef>
          </c:val>
        </c:ser>
        <c:ser>
          <c:idx val="1"/>
          <c:order val="1"/>
          <c:tx>
            <c:v>Unplanned</c:v>
          </c:tx>
          <c:spPr>
            <a:solidFill>
              <a:srgbClr val="548235"/>
            </a:solidFill>
          </c:spPr>
          <c:cat>
            <c:numRef>
              <c:f>'Units &amp; Refineries'!$B$478:$B$487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'Units &amp; Refineries'!$D$478:$D$487</c:f>
              <c:numCache>
                <c:formatCode>General</c:formatCode>
                <c:ptCount val="10"/>
                <c:pt idx="0">
                  <c:v>2804.2227625</c:v>
                </c:pt>
                <c:pt idx="1">
                  <c:v>4765.7607075</c:v>
                </c:pt>
                <c:pt idx="2">
                  <c:v>28239.093225</c:v>
                </c:pt>
                <c:pt idx="3">
                  <c:v>15875.9128175</c:v>
                </c:pt>
                <c:pt idx="4">
                  <c:v>5520.3298425</c:v>
                </c:pt>
                <c:pt idx="5">
                  <c:v>5903.8741425</c:v>
                </c:pt>
                <c:pt idx="6">
                  <c:v>5721.66524</c:v>
                </c:pt>
                <c:pt idx="7">
                  <c:v>4216.2302825</c:v>
                </c:pt>
                <c:pt idx="8">
                  <c:v>2136.9807025</c:v>
                </c:pt>
                <c:pt idx="9">
                  <c:v>0</c:v>
                </c:pt>
              </c:numCache>
            </c:numRef>
          </c:val>
        </c:ser>
        <c:overlap val="100"/>
        <c:axId val="50160001"/>
        <c:axId val="50160002"/>
      </c:barChart>
      <c:catAx>
        <c:axId val="50160001"/>
        <c:scaling>
          <c:orientation val="minMax"/>
        </c:scaling>
        <c:axPos val="b"/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2027 Scenario vs Planned vs Recent Actual Unplanned (kbd)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Model!$B$44</c:f>
              <c:strCache>
                <c:ptCount val="1"/>
                <c:pt idx="0">
                  <c:v>2027 Scenario</c:v>
                </c:pt>
              </c:strCache>
            </c:strRef>
          </c:tx>
          <c:spPr>
            <a:ln w="381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Model!$C$43:$N$43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Model!$C$44:$N$44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Model!$B$45</c:f>
              <c:strCache>
                <c:ptCount val="1"/>
                <c:pt idx="0">
                  <c:v>2027 Planned</c:v>
                </c:pt>
              </c:strCache>
            </c:strRef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Model!$C$43:$N$43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Model!$C$45:$N$45</c:f>
              <c:numCache>
                <c:formatCode>General</c:formatCode>
                <c:ptCount val="12"/>
                <c:pt idx="0">
                  <c:v>1088.333</c:v>
                </c:pt>
                <c:pt idx="1">
                  <c:v>2092.4001</c:v>
                </c:pt>
                <c:pt idx="2">
                  <c:v>2910.1523</c:v>
                </c:pt>
                <c:pt idx="3">
                  <c:v>2004.0124</c:v>
                </c:pt>
                <c:pt idx="4">
                  <c:v>901.152</c:v>
                </c:pt>
                <c:pt idx="5">
                  <c:v>215.305</c:v>
                </c:pt>
                <c:pt idx="6">
                  <c:v>167.5</c:v>
                </c:pt>
                <c:pt idx="7">
                  <c:v>51.06</c:v>
                </c:pt>
                <c:pt idx="8">
                  <c:v>2986.8719</c:v>
                </c:pt>
                <c:pt idx="9">
                  <c:v>2955.9469</c:v>
                </c:pt>
                <c:pt idx="10">
                  <c:v>546.936</c:v>
                </c:pt>
                <c:pt idx="11">
                  <c:v>3.5</c:v>
                </c:pt>
              </c:numCache>
            </c:numRef>
          </c:val>
        </c:ser>
        <c:ser>
          <c:idx val="2"/>
          <c:order val="2"/>
          <c:tx>
            <c:strRef>
              <c:f>Model!$B$46</c:f>
              <c:strCache>
                <c:ptCount val="1"/>
                <c:pt idx="0">
                  <c:v>2025 Unplanned</c:v>
                </c:pt>
              </c:strCache>
            </c:strRef>
          </c:tx>
          <c:spPr>
            <a:ln w="1905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Model!$C$43:$N$43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Model!$C$46:$N$46</c:f>
              <c:numCache>
                <c:formatCode>General</c:formatCode>
                <c:ptCount val="12"/>
                <c:pt idx="0">
                  <c:v>1400.9949</c:v>
                </c:pt>
                <c:pt idx="1">
                  <c:v>2023.3805</c:v>
                </c:pt>
                <c:pt idx="2">
                  <c:v>2228.4465</c:v>
                </c:pt>
                <c:pt idx="3">
                  <c:v>2621.2351</c:v>
                </c:pt>
                <c:pt idx="4">
                  <c:v>1753.1826</c:v>
                </c:pt>
                <c:pt idx="5">
                  <c:v>1169.5851</c:v>
                </c:pt>
                <c:pt idx="6">
                  <c:v>939.4538</c:v>
                </c:pt>
                <c:pt idx="7">
                  <c:v>979.7175</c:v>
                </c:pt>
                <c:pt idx="8">
                  <c:v>1487.0255</c:v>
                </c:pt>
                <c:pt idx="9">
                  <c:v>2468.751</c:v>
                </c:pt>
                <c:pt idx="10">
                  <c:v>1324.048</c:v>
                </c:pt>
                <c:pt idx="11">
                  <c:v>861.7330000000001</c:v>
                </c:pt>
              </c:numCache>
            </c:numRef>
          </c:val>
        </c:ser>
        <c:ser>
          <c:idx val="3"/>
          <c:order val="3"/>
          <c:tx>
            <c:strRef>
              <c:f>Model!$B$47</c:f>
              <c:strCache>
                <c:ptCount val="1"/>
                <c:pt idx="0">
                  <c:v>2024 Unplanned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Model!$C$43:$N$43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Model!$C$47:$N$47</c:f>
              <c:numCache>
                <c:formatCode>General</c:formatCode>
                <c:ptCount val="12"/>
                <c:pt idx="0">
                  <c:v>2433.6238</c:v>
                </c:pt>
                <c:pt idx="1">
                  <c:v>5025.1422</c:v>
                </c:pt>
                <c:pt idx="2">
                  <c:v>2051.1556</c:v>
                </c:pt>
                <c:pt idx="3">
                  <c:v>1881.5364</c:v>
                </c:pt>
                <c:pt idx="4">
                  <c:v>940.6905</c:v>
                </c:pt>
                <c:pt idx="5">
                  <c:v>1023.714</c:v>
                </c:pt>
                <c:pt idx="6">
                  <c:v>1472.8685</c:v>
                </c:pt>
                <c:pt idx="7">
                  <c:v>1211.9996</c:v>
                </c:pt>
                <c:pt idx="8">
                  <c:v>1844.9944</c:v>
                </c:pt>
                <c:pt idx="9">
                  <c:v>1940.158</c:v>
                </c:pt>
                <c:pt idx="10">
                  <c:v>1047.007</c:v>
                </c:pt>
                <c:pt idx="11">
                  <c:v>709.6768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Tornado - Swing vs base (kbd)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Downside</c:v>
          </c:tx>
          <c:spPr>
            <a:solidFill>
              <a:srgbClr val="2E5496"/>
            </a:solidFill>
          </c:spPr>
          <c:cat>
            <c:strRef>
              <c:f>Model!$B$60:$B$63</c:f>
              <c:strCache>
                <c:ptCount val="4"/>
                <c:pt idx="0">
                  <c:v>Unplanned rate multiplier (0.7x / 1.3x)</c:v>
                </c:pt>
                <c:pt idx="1">
                  <c:v>Baseline window swing (+/-15%)</c:v>
                </c:pt>
                <c:pt idx="2">
                  <c:v>Production growth (-10% / +10%)</c:v>
                </c:pt>
                <c:pt idx="3">
                  <c:v>One-off event (+300 kbd)</c:v>
                </c:pt>
              </c:strCache>
            </c:strRef>
          </c:cat>
          <c:val>
            <c:numRef>
              <c:f>Model!$F$60:$F$63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Upside</c:v>
          </c:tx>
          <c:spPr>
            <a:solidFill>
              <a:srgbClr val="ED7D31"/>
            </a:solidFill>
          </c:spPr>
          <c:cat>
            <c:strRef>
              <c:f>Model!$B$60:$B$63</c:f>
              <c:strCache>
                <c:ptCount val="4"/>
                <c:pt idx="0">
                  <c:v>Unplanned rate multiplier (0.7x / 1.3x)</c:v>
                </c:pt>
                <c:pt idx="1">
                  <c:v>Baseline window swing (+/-15%)</c:v>
                </c:pt>
                <c:pt idx="2">
                  <c:v>Production growth (-10% / +10%)</c:v>
                </c:pt>
                <c:pt idx="3">
                  <c:v>One-off event (+300 kbd)</c:v>
                </c:pt>
              </c:strCache>
            </c:strRef>
          </c:cat>
          <c:val>
            <c:numRef>
              <c:f>Model!$G$60:$G$63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180001"/>
        <c:axId val="50180002"/>
      </c:barChart>
      <c:catAx>
        <c:axId val="50180001"/>
        <c:scaling>
          <c:orientation val="minMax"/>
        </c:scaling>
        <c:axPos val="l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b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152400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152400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6</xdr:col>
      <xdr:colOff>666750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14</xdr:col>
      <xdr:colOff>666750</xdr:colOff>
      <xdr:row>40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14</xdr:col>
      <xdr:colOff>485775</xdr:colOff>
      <xdr:row>53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14</xdr:col>
      <xdr:colOff>485775</xdr:colOff>
      <xdr:row>103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110</xdr:row>
      <xdr:rowOff>0</xdr:rowOff>
    </xdr:from>
    <xdr:to>
      <xdr:col>15</xdr:col>
      <xdr:colOff>228600</xdr:colOff>
      <xdr:row>125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14</xdr:col>
      <xdr:colOff>257175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14</xdr:col>
      <xdr:colOff>257175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14</xdr:col>
      <xdr:colOff>257175</xdr:colOff>
      <xdr:row>79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14</xdr:col>
      <xdr:colOff>257175</xdr:colOff>
      <xdr:row>104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113</xdr:row>
      <xdr:rowOff>0</xdr:rowOff>
    </xdr:from>
    <xdr:to>
      <xdr:col>14</xdr:col>
      <xdr:colOff>257175</xdr:colOff>
      <xdr:row>129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21</xdr:col>
      <xdr:colOff>209550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16</xdr:col>
      <xdr:colOff>19050</xdr:colOff>
      <xdr:row>41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81</xdr:row>
      <xdr:rowOff>0</xdr:rowOff>
    </xdr:from>
    <xdr:to>
      <xdr:col>7</xdr:col>
      <xdr:colOff>485775</xdr:colOff>
      <xdr:row>95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477</xdr:row>
      <xdr:rowOff>0</xdr:rowOff>
    </xdr:from>
    <xdr:to>
      <xdr:col>10</xdr:col>
      <xdr:colOff>219075</xdr:colOff>
      <xdr:row>491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42</xdr:row>
      <xdr:rowOff>0</xdr:rowOff>
    </xdr:from>
    <xdr:to>
      <xdr:col>25</xdr:col>
      <xdr:colOff>0</xdr:colOff>
      <xdr:row>56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59</xdr:row>
      <xdr:rowOff>0</xdr:rowOff>
    </xdr:from>
    <xdr:to>
      <xdr:col>18</xdr:col>
      <xdr:colOff>171450</xdr:colOff>
      <xdr:row>73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PADD" displayName="tPADD" ref="A1:F2701" totalsRowShown="0">
  <autoFilter ref="A1:F2701"/>
  <tableColumns count="6">
    <tableColumn id="1" name="year"/>
    <tableColumn id="2" name="month"/>
    <tableColumn id="3" name="key"/>
    <tableColumn id="4" name="type"/>
    <tableColumn id="5" name="kbd"/>
    <tableColumn id="6" name="mogas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tUNIT" displayName="tUNIT" ref="I1:N5369" totalsRowShown="0">
  <autoFilter ref="I1:N5369"/>
  <tableColumns count="6">
    <tableColumn id="1" name="year"/>
    <tableColumn id="2" name="month"/>
    <tableColumn id="3" name="key"/>
    <tableColumn id="4" name="type"/>
    <tableColumn id="5" name="kbd"/>
    <tableColumn id="6" name="mogas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B2:H35"/>
  <sheetViews>
    <sheetView showGridLines="0" tabSelected="1" workbookViewId="0"/>
  </sheetViews>
  <sheetFormatPr defaultRowHeight="15"/>
  <cols>
    <col min="1" max="1" width="2.7109375" customWidth="1"/>
    <col min="2" max="2" width="20.7109375" customWidth="1"/>
    <col min="3" max="8" width="13.7109375" customWidth="1"/>
  </cols>
  <sheetData>
    <row r="2" spans="2:8">
      <c r="B2" s="1" t="s">
        <v>33</v>
      </c>
      <c r="C2" s="1"/>
      <c r="D2" s="1"/>
      <c r="E2" s="1"/>
      <c r="F2" s="1"/>
      <c r="G2" s="1"/>
      <c r="H2" s="1"/>
    </row>
    <row r="3" spans="2:8">
      <c r="B3" s="2" t="s">
        <v>34</v>
      </c>
      <c r="C3" s="2"/>
      <c r="D3" s="2"/>
      <c r="E3" s="2"/>
      <c r="F3" s="2"/>
      <c r="G3" s="2"/>
      <c r="H3" s="2"/>
    </row>
    <row r="5" spans="2:8">
      <c r="B5" s="3" t="s">
        <v>35</v>
      </c>
      <c r="C5" s="4" t="s">
        <v>36</v>
      </c>
      <c r="D5" s="4"/>
      <c r="E5" s="4"/>
      <c r="F5" s="4"/>
      <c r="G5" s="4"/>
      <c r="H5" s="4"/>
    </row>
    <row r="6" spans="2:8">
      <c r="B6" s="3" t="s">
        <v>37</v>
      </c>
      <c r="C6" s="4" t="s">
        <v>38</v>
      </c>
      <c r="D6" s="4"/>
      <c r="E6" s="4"/>
      <c r="F6" s="4"/>
      <c r="G6" s="4"/>
      <c r="H6" s="4"/>
    </row>
    <row r="7" spans="2:8">
      <c r="B7" s="3" t="s">
        <v>39</v>
      </c>
      <c r="C7" s="4" t="s">
        <v>40</v>
      </c>
      <c r="D7" s="4"/>
      <c r="E7" s="4"/>
      <c r="F7" s="4"/>
      <c r="G7" s="4"/>
      <c r="H7" s="4"/>
    </row>
    <row r="8" spans="2:8">
      <c r="B8" s="3" t="s">
        <v>41</v>
      </c>
      <c r="C8" s="4" t="s">
        <v>42</v>
      </c>
      <c r="D8" s="4"/>
      <c r="E8" s="4"/>
      <c r="F8" s="4"/>
      <c r="G8" s="4"/>
      <c r="H8" s="4"/>
    </row>
    <row r="10" spans="2:8" ht="19" customHeight="1">
      <c r="B10" s="5" t="s">
        <v>43</v>
      </c>
      <c r="C10" s="5"/>
      <c r="D10" s="5"/>
      <c r="E10" s="5"/>
      <c r="F10" s="5"/>
      <c r="G10" s="5"/>
      <c r="H10" s="5"/>
    </row>
    <row r="11" spans="2:8" ht="22" customHeight="1">
      <c r="B11" s="4" t="s">
        <v>44</v>
      </c>
      <c r="C11" s="4"/>
      <c r="D11" s="4"/>
      <c r="E11" s="4"/>
      <c r="F11" s="4"/>
      <c r="G11" s="4"/>
      <c r="H11" s="4"/>
    </row>
    <row r="12" spans="2:8" ht="22" customHeight="1">
      <c r="B12" s="4" t="s">
        <v>45</v>
      </c>
      <c r="C12" s="4"/>
      <c r="D12" s="4"/>
      <c r="E12" s="4"/>
      <c r="F12" s="4"/>
      <c r="G12" s="4"/>
      <c r="H12" s="4"/>
    </row>
    <row r="13" spans="2:8" ht="22" customHeight="1">
      <c r="B13" s="4" t="s">
        <v>46</v>
      </c>
      <c r="C13" s="4"/>
      <c r="D13" s="4"/>
      <c r="E13" s="4"/>
      <c r="F13" s="4"/>
      <c r="G13" s="4"/>
      <c r="H13" s="4"/>
    </row>
    <row r="14" spans="2:8" ht="22" customHeight="1">
      <c r="B14" s="4" t="s">
        <v>47</v>
      </c>
      <c r="C14" s="4"/>
      <c r="D14" s="4"/>
      <c r="E14" s="4"/>
      <c r="F14" s="4"/>
      <c r="G14" s="4"/>
      <c r="H14" s="4"/>
    </row>
    <row r="16" spans="2:8" ht="19" customHeight="1">
      <c r="B16" s="6" t="s">
        <v>48</v>
      </c>
      <c r="C16" s="6"/>
      <c r="D16" s="6"/>
      <c r="E16" s="6"/>
      <c r="F16" s="6"/>
      <c r="G16" s="6"/>
      <c r="H16" s="6"/>
    </row>
    <row r="17" spans="2:8" ht="24" customHeight="1">
      <c r="B17" s="7" t="s">
        <v>49</v>
      </c>
      <c r="C17" s="7"/>
      <c r="D17" s="7"/>
      <c r="E17" s="7"/>
      <c r="F17" s="7"/>
      <c r="G17" s="7"/>
      <c r="H17" s="7"/>
    </row>
    <row r="18" spans="2:8" ht="24" customHeight="1">
      <c r="B18" s="7" t="s">
        <v>50</v>
      </c>
      <c r="C18" s="7"/>
      <c r="D18" s="7"/>
      <c r="E18" s="7"/>
      <c r="F18" s="7"/>
      <c r="G18" s="7"/>
      <c r="H18" s="7"/>
    </row>
    <row r="19" spans="2:8" ht="24" customHeight="1">
      <c r="B19" s="7" t="s">
        <v>51</v>
      </c>
      <c r="C19" s="7"/>
      <c r="D19" s="7"/>
      <c r="E19" s="7"/>
      <c r="F19" s="7"/>
      <c r="G19" s="7"/>
      <c r="H19" s="7"/>
    </row>
    <row r="20" spans="2:8" ht="24" customHeight="1">
      <c r="B20" s="7" t="s">
        <v>52</v>
      </c>
      <c r="C20" s="7"/>
      <c r="D20" s="7"/>
      <c r="E20" s="7"/>
      <c r="F20" s="7"/>
      <c r="G20" s="7"/>
      <c r="H20" s="7"/>
    </row>
    <row r="22" spans="2:8" ht="19" customHeight="1">
      <c r="B22" s="8" t="s">
        <v>53</v>
      </c>
      <c r="C22" s="8"/>
      <c r="D22" s="8"/>
      <c r="E22" s="8"/>
      <c r="F22" s="8"/>
      <c r="G22" s="8"/>
      <c r="H22" s="8"/>
    </row>
    <row r="23" spans="2:8">
      <c r="B23" s="9" t="s">
        <v>54</v>
      </c>
      <c r="C23" s="4" t="s">
        <v>55</v>
      </c>
      <c r="D23" s="4"/>
      <c r="E23" s="4"/>
      <c r="F23" s="4"/>
      <c r="G23" s="4"/>
      <c r="H23" s="4"/>
    </row>
    <row r="24" spans="2:8">
      <c r="B24" s="9" t="s">
        <v>56</v>
      </c>
      <c r="C24" s="4" t="s">
        <v>57</v>
      </c>
      <c r="D24" s="4"/>
      <c r="E24" s="4"/>
      <c r="F24" s="4"/>
      <c r="G24" s="4"/>
      <c r="H24" s="4"/>
    </row>
    <row r="25" spans="2:8">
      <c r="B25" s="9" t="s">
        <v>58</v>
      </c>
      <c r="C25" s="4" t="s">
        <v>59</v>
      </c>
      <c r="D25" s="4"/>
      <c r="E25" s="4"/>
      <c r="F25" s="4"/>
      <c r="G25" s="4"/>
      <c r="H25" s="4"/>
    </row>
    <row r="26" spans="2:8">
      <c r="B26" s="9" t="s">
        <v>60</v>
      </c>
      <c r="C26" s="4" t="s">
        <v>61</v>
      </c>
      <c r="D26" s="4"/>
      <c r="E26" s="4"/>
      <c r="F26" s="4"/>
      <c r="G26" s="4"/>
      <c r="H26" s="4"/>
    </row>
    <row r="27" spans="2:8">
      <c r="B27" s="9" t="s">
        <v>62</v>
      </c>
      <c r="C27" s="4" t="s">
        <v>63</v>
      </c>
      <c r="D27" s="4"/>
      <c r="E27" s="4"/>
      <c r="F27" s="4"/>
      <c r="G27" s="4"/>
      <c r="H27" s="4"/>
    </row>
    <row r="28" spans="2:8">
      <c r="B28" s="9" t="s">
        <v>64</v>
      </c>
      <c r="C28" s="4" t="s">
        <v>65</v>
      </c>
      <c r="D28" s="4"/>
      <c r="E28" s="4"/>
      <c r="F28" s="4"/>
      <c r="G28" s="4"/>
      <c r="H28" s="4"/>
    </row>
    <row r="29" spans="2:8">
      <c r="B29" s="9" t="s">
        <v>66</v>
      </c>
      <c r="C29" s="4" t="s">
        <v>67</v>
      </c>
      <c r="D29" s="4"/>
      <c r="E29" s="4"/>
      <c r="F29" s="4"/>
      <c r="G29" s="4"/>
      <c r="H29" s="4"/>
    </row>
    <row r="31" spans="2:8" ht="19" customHeight="1">
      <c r="B31" s="8" t="s">
        <v>68</v>
      </c>
      <c r="C31" s="8"/>
      <c r="D31" s="8"/>
      <c r="E31" s="8"/>
      <c r="F31" s="8"/>
      <c r="G31" s="8"/>
      <c r="H31" s="8"/>
    </row>
    <row r="32" spans="2:8">
      <c r="B32" s="10" t="s">
        <v>69</v>
      </c>
      <c r="C32" s="4" t="s">
        <v>70</v>
      </c>
      <c r="D32" s="4"/>
      <c r="E32" s="4"/>
      <c r="F32" s="4"/>
      <c r="G32" s="4"/>
      <c r="H32" s="4"/>
    </row>
    <row r="33" spans="2:8">
      <c r="B33" s="11" t="s">
        <v>71</v>
      </c>
      <c r="C33" s="4" t="s">
        <v>72</v>
      </c>
      <c r="D33" s="4"/>
      <c r="E33" s="4"/>
      <c r="F33" s="4"/>
      <c r="G33" s="4"/>
      <c r="H33" s="4"/>
    </row>
    <row r="34" spans="2:8">
      <c r="B34" s="12" t="s">
        <v>73</v>
      </c>
      <c r="C34" s="4" t="s">
        <v>74</v>
      </c>
      <c r="D34" s="4"/>
      <c r="E34" s="4"/>
      <c r="F34" s="4"/>
      <c r="G34" s="4"/>
      <c r="H34" s="4"/>
    </row>
    <row r="35" spans="2:8">
      <c r="B35" s="13" t="s">
        <v>75</v>
      </c>
      <c r="C35" s="4" t="s">
        <v>76</v>
      </c>
      <c r="D35" s="4"/>
      <c r="E35" s="4"/>
      <c r="F35" s="4"/>
      <c r="G35" s="4"/>
      <c r="H35" s="4"/>
    </row>
  </sheetData>
  <mergeCells count="29">
    <mergeCell ref="B2:H2"/>
    <mergeCell ref="B3:H3"/>
    <mergeCell ref="C5:H5"/>
    <mergeCell ref="C6:H6"/>
    <mergeCell ref="C7:H7"/>
    <mergeCell ref="C8:H8"/>
    <mergeCell ref="B10:H10"/>
    <mergeCell ref="B11:H11"/>
    <mergeCell ref="B12:H12"/>
    <mergeCell ref="B13:H13"/>
    <mergeCell ref="B14:H14"/>
    <mergeCell ref="B16:H16"/>
    <mergeCell ref="B17:H17"/>
    <mergeCell ref="B18:H18"/>
    <mergeCell ref="B19:H19"/>
    <mergeCell ref="B20:H20"/>
    <mergeCell ref="B22:H22"/>
    <mergeCell ref="C23:H23"/>
    <mergeCell ref="C24:H24"/>
    <mergeCell ref="C25:H25"/>
    <mergeCell ref="C26:H26"/>
    <mergeCell ref="C27:H27"/>
    <mergeCell ref="C28:H28"/>
    <mergeCell ref="C29:H29"/>
    <mergeCell ref="B31:H31"/>
    <mergeCell ref="C32:H32"/>
    <mergeCell ref="C33:H33"/>
    <mergeCell ref="C34:H34"/>
    <mergeCell ref="C35:H35"/>
  </mergeCells>
  <hyperlinks>
    <hyperlink ref="B23" location="'Dashboard'!A1" display="Dashboard"/>
    <hyperlink ref="B24" location="'Explorer'!A1" display="Explorer"/>
    <hyperlink ref="B25" location="'Trends'!A1" display="Trends"/>
    <hyperlink ref="B26" location="'PADD'!A1" display="PADD"/>
    <hyperlink ref="B27" location="'Units &amp; Refineries'!A1" display="Units &amp; Refineries"/>
    <hyperlink ref="B28" location="'Events &amp; TAs'!A1" display="Events &amp; TAs"/>
    <hyperlink ref="B29" location="'Model'!A1" display="Model"/>
  </hyperlinks>
  <printOptions horizontalCentered="1"/>
  <pageMargins left="0.3" right="0.3" top="0.4" bottom="0.45" header="0.3" footer="0.3"/>
  <headerFooter>
    <oddFooter>&amp;L&amp;8Refinery Outage Model  -  &amp;A&amp;C&amp;8&amp;D&amp;R&amp;8Page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B1:U55"/>
  <sheetViews>
    <sheetView showGridLines="0" workbookViewId="0">
      <pane ySplit="10" topLeftCell="A11" activePane="bottomLeft" state="frozen"/>
      <selection pane="bottomLeft"/>
    </sheetView>
  </sheetViews>
  <sheetFormatPr defaultRowHeight="15"/>
  <cols>
    <col min="1" max="1" width="2.7109375" customWidth="1"/>
    <col min="2" max="17" width="10.28515625" customWidth="1"/>
  </cols>
  <sheetData>
    <row r="1" spans="2:17">
      <c r="B1" s="9" t="s">
        <v>77</v>
      </c>
      <c r="L1" s="14" t="s">
        <v>78</v>
      </c>
      <c r="M1" s="14"/>
      <c r="N1" s="14"/>
      <c r="O1" s="14"/>
      <c r="P1" s="14"/>
      <c r="Q1" s="14"/>
    </row>
    <row r="2" spans="2:17">
      <c r="B2" s="1" t="s">
        <v>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2" t="s">
        <v>80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2:17">
      <c r="B5" s="15" t="s">
        <v>81</v>
      </c>
      <c r="C5" s="15"/>
      <c r="D5" s="15"/>
      <c r="E5" s="15" t="s">
        <v>3</v>
      </c>
      <c r="F5" s="15"/>
      <c r="G5" s="15"/>
      <c r="H5" s="15" t="s">
        <v>83</v>
      </c>
      <c r="I5" s="15"/>
      <c r="J5" s="15"/>
      <c r="K5" s="15" t="s">
        <v>85</v>
      </c>
      <c r="L5" s="15"/>
      <c r="M5" s="15"/>
      <c r="N5" s="15" t="s">
        <v>86</v>
      </c>
      <c r="O5" s="15"/>
      <c r="P5" s="15"/>
    </row>
    <row r="6" spans="2:17" ht="22" customHeight="1">
      <c r="B6" s="16">
        <v>38674.0736</v>
      </c>
      <c r="C6" s="16"/>
      <c r="D6" s="16"/>
      <c r="E6" s="16">
        <v>19257.5535</v>
      </c>
      <c r="F6" s="16"/>
      <c r="G6" s="16"/>
      <c r="H6" s="17">
        <v>0.4979447911067738</v>
      </c>
      <c r="I6" s="17"/>
      <c r="J6" s="17"/>
      <c r="K6" s="16">
        <v>1213</v>
      </c>
      <c r="L6" s="16"/>
      <c r="M6" s="16"/>
      <c r="N6" s="18" t="s">
        <v>8</v>
      </c>
      <c r="O6" s="18"/>
      <c r="P6" s="18"/>
    </row>
    <row r="7" spans="2:17" ht="10" customHeight="1">
      <c r="B7" s="16"/>
      <c r="C7" s="16"/>
      <c r="D7" s="16"/>
      <c r="E7" s="16"/>
      <c r="F7" s="16"/>
      <c r="G7" s="16"/>
      <c r="H7" s="17"/>
      <c r="I7" s="17"/>
      <c r="J7" s="17"/>
      <c r="K7" s="16"/>
      <c r="L7" s="16"/>
      <c r="M7" s="16"/>
      <c r="N7" s="18"/>
      <c r="O7" s="18"/>
      <c r="P7" s="18"/>
    </row>
    <row r="8" spans="2:17">
      <c r="B8" s="19" t="s">
        <v>82</v>
      </c>
      <c r="C8" s="19"/>
      <c r="D8" s="19"/>
      <c r="E8" s="19" t="s">
        <v>82</v>
      </c>
      <c r="F8" s="19"/>
      <c r="G8" s="19"/>
      <c r="H8" s="19" t="s">
        <v>84</v>
      </c>
      <c r="I8" s="19"/>
      <c r="J8" s="19"/>
      <c r="K8" s="19" t="s">
        <v>82</v>
      </c>
      <c r="L8" s="19"/>
      <c r="M8" s="19"/>
      <c r="N8" s="19" t="s">
        <v>87</v>
      </c>
      <c r="O8" s="19"/>
      <c r="P8" s="19"/>
    </row>
    <row r="9" spans="2:17" ht="18" customHeight="1">
      <c r="B9" s="3" t="s">
        <v>88</v>
      </c>
      <c r="C9" s="20" t="s">
        <v>56</v>
      </c>
      <c r="D9" s="20"/>
      <c r="E9" s="20" t="s">
        <v>58</v>
      </c>
      <c r="F9" s="20"/>
      <c r="G9" s="20" t="s">
        <v>60</v>
      </c>
      <c r="H9" s="20"/>
      <c r="I9" s="20" t="s">
        <v>62</v>
      </c>
      <c r="J9" s="20"/>
      <c r="K9" s="20" t="s">
        <v>64</v>
      </c>
      <c r="L9" s="20"/>
      <c r="M9" s="20" t="s">
        <v>66</v>
      </c>
      <c r="N9" s="20"/>
    </row>
    <row r="28" spans="2:4">
      <c r="B28" s="3" t="s">
        <v>89</v>
      </c>
    </row>
    <row r="29" spans="2:4">
      <c r="B29" s="21" t="s">
        <v>90</v>
      </c>
      <c r="C29" s="22" t="s">
        <v>2</v>
      </c>
      <c r="D29" s="22" t="s">
        <v>3</v>
      </c>
    </row>
    <row r="30" spans="2:4">
      <c r="B30" s="23">
        <v>2016</v>
      </c>
      <c r="C30" s="24">
        <v>18970.5414</v>
      </c>
      <c r="D30" s="24">
        <v>10026.5576</v>
      </c>
    </row>
    <row r="31" spans="2:4">
      <c r="B31" s="23">
        <v>2017</v>
      </c>
      <c r="C31" s="24">
        <v>19379.438</v>
      </c>
      <c r="D31" s="24">
        <v>17806.1563</v>
      </c>
    </row>
    <row r="32" spans="2:4">
      <c r="B32" s="23">
        <v>2018</v>
      </c>
      <c r="C32" s="24">
        <v>20666.8937</v>
      </c>
      <c r="D32" s="24">
        <v>11368.5909</v>
      </c>
    </row>
    <row r="33" spans="2:6">
      <c r="B33" s="23">
        <v>2019</v>
      </c>
      <c r="C33" s="24">
        <v>24322.1946</v>
      </c>
      <c r="D33" s="24">
        <v>18335.4043</v>
      </c>
    </row>
    <row r="34" spans="2:6">
      <c r="B34" s="23">
        <v>2020</v>
      </c>
      <c r="C34" s="24">
        <v>25471.7365</v>
      </c>
      <c r="D34" s="24">
        <v>124780.2455</v>
      </c>
    </row>
    <row r="35" spans="2:6">
      <c r="B35" s="23">
        <v>2021</v>
      </c>
      <c r="C35" s="24">
        <v>25740.7337</v>
      </c>
      <c r="D35" s="24">
        <v>67571.4237</v>
      </c>
    </row>
    <row r="36" spans="2:6">
      <c r="B36" s="23">
        <v>2022</v>
      </c>
      <c r="C36" s="24">
        <v>24430.7107</v>
      </c>
      <c r="D36" s="24">
        <v>22628.5092</v>
      </c>
    </row>
    <row r="37" spans="2:6">
      <c r="B37" s="23">
        <v>2023</v>
      </c>
      <c r="C37" s="24">
        <v>26140.2458</v>
      </c>
      <c r="D37" s="24">
        <v>23692.1589</v>
      </c>
    </row>
    <row r="38" spans="2:6">
      <c r="B38" s="23">
        <v>2024</v>
      </c>
      <c r="C38" s="24">
        <v>20382.4957</v>
      </c>
      <c r="D38" s="24">
        <v>21582.5668</v>
      </c>
    </row>
    <row r="39" spans="2:6">
      <c r="B39" s="23">
        <v>2025</v>
      </c>
      <c r="C39" s="24">
        <v>19416.5201</v>
      </c>
      <c r="D39" s="24">
        <v>19257.5535</v>
      </c>
    </row>
    <row r="40" spans="2:6">
      <c r="B40" s="23">
        <v>2026</v>
      </c>
      <c r="C40" s="24">
        <v>12029.062</v>
      </c>
      <c r="D40" s="24">
        <v>8249.7958</v>
      </c>
    </row>
    <row r="41" spans="2:6">
      <c r="B41" s="23">
        <v>2027</v>
      </c>
      <c r="C41" s="24">
        <v>15923.1696</v>
      </c>
      <c r="D41" s="24">
        <v>0</v>
      </c>
    </row>
    <row r="43" spans="2:6">
      <c r="B43" s="21" t="s">
        <v>60</v>
      </c>
      <c r="C43" s="23">
        <v>2022</v>
      </c>
      <c r="D43" s="23">
        <v>2023</v>
      </c>
      <c r="E43" s="23">
        <v>2024</v>
      </c>
      <c r="F43" s="23">
        <v>2025</v>
      </c>
    </row>
    <row r="44" spans="2:6">
      <c r="B44" s="25" t="s">
        <v>4</v>
      </c>
      <c r="C44" s="24">
        <v>838.49</v>
      </c>
      <c r="D44" s="24">
        <v>879.2184999999999</v>
      </c>
      <c r="E44" s="24">
        <v>758.0088</v>
      </c>
      <c r="F44" s="24">
        <v>1524.7432</v>
      </c>
    </row>
    <row r="45" spans="2:6">
      <c r="B45" s="25" t="s">
        <v>5</v>
      </c>
      <c r="C45" s="24">
        <v>6764.0168</v>
      </c>
      <c r="D45" s="24">
        <v>6640.3387</v>
      </c>
      <c r="E45" s="24">
        <v>5602.5239</v>
      </c>
      <c r="F45" s="24">
        <v>2837.6686</v>
      </c>
    </row>
    <row r="46" spans="2:6">
      <c r="B46" s="25" t="s">
        <v>6</v>
      </c>
      <c r="C46" s="24">
        <v>11315.8739</v>
      </c>
      <c r="D46" s="24">
        <v>11829.2618</v>
      </c>
      <c r="E46" s="24">
        <v>11810.3492</v>
      </c>
      <c r="F46" s="24">
        <v>6051.7432</v>
      </c>
    </row>
    <row r="47" spans="2:6">
      <c r="B47" s="25" t="s">
        <v>7</v>
      </c>
      <c r="C47" s="24">
        <v>693.9537</v>
      </c>
      <c r="D47" s="24">
        <v>1470.7124</v>
      </c>
      <c r="E47" s="24">
        <v>401.7754</v>
      </c>
      <c r="F47" s="24">
        <v>381.1887</v>
      </c>
    </row>
    <row r="48" spans="2:6">
      <c r="B48" s="25" t="s">
        <v>8</v>
      </c>
      <c r="C48" s="24">
        <v>3016.1748</v>
      </c>
      <c r="D48" s="24">
        <v>2872.6275</v>
      </c>
      <c r="E48" s="24">
        <v>3009.9095</v>
      </c>
      <c r="F48" s="24">
        <v>8462.209800000001</v>
      </c>
    </row>
    <row r="51" spans="2:21">
      <c r="B51" s="25" t="s">
        <v>4</v>
      </c>
      <c r="C51" s="24">
        <v>1524.7432</v>
      </c>
      <c r="I51" s="21" t="s">
        <v>91</v>
      </c>
      <c r="J51" s="22" t="s">
        <v>92</v>
      </c>
      <c r="K51" s="22" t="s">
        <v>93</v>
      </c>
      <c r="L51" s="22" t="s">
        <v>94</v>
      </c>
      <c r="M51" s="22" t="s">
        <v>95</v>
      </c>
      <c r="N51" s="22" t="s">
        <v>96</v>
      </c>
      <c r="O51" s="22" t="s">
        <v>97</v>
      </c>
      <c r="P51" s="22" t="s">
        <v>98</v>
      </c>
      <c r="Q51" s="22" t="s">
        <v>99</v>
      </c>
      <c r="R51" s="22" t="s">
        <v>100</v>
      </c>
      <c r="S51" s="22" t="s">
        <v>101</v>
      </c>
      <c r="T51" s="22" t="s">
        <v>102</v>
      </c>
      <c r="U51" s="22" t="s">
        <v>103</v>
      </c>
    </row>
    <row r="52" spans="2:21">
      <c r="B52" s="25" t="s">
        <v>5</v>
      </c>
      <c r="C52" s="24">
        <v>2837.6686</v>
      </c>
      <c r="I52" s="23">
        <v>2024</v>
      </c>
      <c r="J52" s="24">
        <v>2433.6238</v>
      </c>
      <c r="K52" s="24">
        <v>5025.1422</v>
      </c>
      <c r="L52" s="24">
        <v>2051.1556</v>
      </c>
      <c r="M52" s="24">
        <v>1881.5364</v>
      </c>
      <c r="N52" s="24">
        <v>940.6905</v>
      </c>
      <c r="O52" s="24">
        <v>1023.714</v>
      </c>
      <c r="P52" s="24">
        <v>1472.8685</v>
      </c>
      <c r="Q52" s="24">
        <v>1211.9996</v>
      </c>
      <c r="R52" s="24">
        <v>1844.9944</v>
      </c>
      <c r="S52" s="24">
        <v>1940.158</v>
      </c>
      <c r="T52" s="24">
        <v>1047.007</v>
      </c>
      <c r="U52" s="24">
        <v>709.6768</v>
      </c>
    </row>
    <row r="53" spans="2:21">
      <c r="B53" s="25" t="s">
        <v>6</v>
      </c>
      <c r="C53" s="24">
        <v>6051.7432</v>
      </c>
      <c r="I53" s="23">
        <v>2025</v>
      </c>
      <c r="J53" s="24">
        <v>1400.9949</v>
      </c>
      <c r="K53" s="24">
        <v>2023.3805</v>
      </c>
      <c r="L53" s="24">
        <v>2228.4465</v>
      </c>
      <c r="M53" s="24">
        <v>2621.2351</v>
      </c>
      <c r="N53" s="24">
        <v>1753.1826</v>
      </c>
      <c r="O53" s="24">
        <v>1169.5851</v>
      </c>
      <c r="P53" s="24">
        <v>939.4538</v>
      </c>
      <c r="Q53" s="24">
        <v>979.7175</v>
      </c>
      <c r="R53" s="24">
        <v>1487.0255</v>
      </c>
      <c r="S53" s="24">
        <v>2468.751</v>
      </c>
      <c r="T53" s="24">
        <v>1324.048</v>
      </c>
      <c r="U53" s="24">
        <v>861.7330000000001</v>
      </c>
    </row>
    <row r="54" spans="2:21">
      <c r="B54" s="25" t="s">
        <v>7</v>
      </c>
      <c r="C54" s="24">
        <v>381.1887</v>
      </c>
      <c r="I54" s="23">
        <v>2026</v>
      </c>
      <c r="J54" s="24">
        <v>786.9865</v>
      </c>
      <c r="K54" s="24">
        <v>1792.968</v>
      </c>
      <c r="L54" s="24">
        <v>1118.4157</v>
      </c>
      <c r="M54" s="24">
        <v>2043.992</v>
      </c>
      <c r="N54" s="24">
        <v>1202.4129</v>
      </c>
      <c r="O54" s="24">
        <v>979.7867</v>
      </c>
      <c r="P54" s="24">
        <v>141.934</v>
      </c>
      <c r="Q54" s="24">
        <v>47</v>
      </c>
      <c r="R54" s="24">
        <v>47</v>
      </c>
      <c r="S54" s="24">
        <v>47</v>
      </c>
      <c r="T54" s="24">
        <v>42.3</v>
      </c>
      <c r="U54" s="24">
        <v>0</v>
      </c>
    </row>
    <row r="55" spans="2:21">
      <c r="B55" s="25" t="s">
        <v>8</v>
      </c>
      <c r="C55" s="24">
        <v>8462.209800000001</v>
      </c>
    </row>
  </sheetData>
  <mergeCells count="24">
    <mergeCell ref="L1:Q1"/>
    <mergeCell ref="B2:Q2"/>
    <mergeCell ref="B3:Q3"/>
    <mergeCell ref="B5:D5"/>
    <mergeCell ref="B6:D7"/>
    <mergeCell ref="B8:D8"/>
    <mergeCell ref="E5:G5"/>
    <mergeCell ref="E6:G7"/>
    <mergeCell ref="E8:G8"/>
    <mergeCell ref="H5:J5"/>
    <mergeCell ref="H6:J7"/>
    <mergeCell ref="H8:J8"/>
    <mergeCell ref="K5:M5"/>
    <mergeCell ref="K6:M7"/>
    <mergeCell ref="K8:M8"/>
    <mergeCell ref="N5:P5"/>
    <mergeCell ref="N6:P7"/>
    <mergeCell ref="N8:P8"/>
    <mergeCell ref="C9:D9"/>
    <mergeCell ref="E9:F9"/>
    <mergeCell ref="G9:H9"/>
    <mergeCell ref="I9:J9"/>
    <mergeCell ref="K9:L9"/>
    <mergeCell ref="M9:N9"/>
  </mergeCells>
  <hyperlinks>
    <hyperlink ref="B1" location="'Cover'!A1" display="Home"/>
    <hyperlink ref="C9" location="'Explorer'!A1" display="Explorer"/>
    <hyperlink ref="E9" location="'Trends'!A1" display="Trends"/>
    <hyperlink ref="G9" location="'PADD'!A1" display="PADD"/>
    <hyperlink ref="I9" location="'Units &amp; Refineries'!A1" display="Units &amp; Refineries"/>
    <hyperlink ref="K9" location="'Events &amp; TAs'!A1" display="Events &amp; TAs"/>
    <hyperlink ref="M9" location="'Model'!A1" display="Model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6FC6"/>
    <pageSetUpPr fitToPage="1"/>
  </sheetPr>
  <dimension ref="B1:O8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9.7109375" customWidth="1"/>
    <col min="3" max="9" width="7.85546875" customWidth="1"/>
    <col min="10" max="10" width="13.7109375" customWidth="1"/>
    <col min="11" max="14" width="7.85546875" customWidth="1"/>
    <col min="15" max="15" width="9.7109375" customWidth="1"/>
  </cols>
  <sheetData>
    <row r="1" spans="2:15">
      <c r="B1" s="9" t="s">
        <v>77</v>
      </c>
      <c r="J1" s="14" t="s">
        <v>78</v>
      </c>
      <c r="K1" s="14"/>
      <c r="L1" s="14"/>
      <c r="M1" s="14"/>
      <c r="N1" s="14"/>
      <c r="O1" s="14"/>
    </row>
    <row r="2" spans="2:15">
      <c r="B2" s="1" t="s">
        <v>104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2" t="s">
        <v>105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>
      <c r="B4" s="26" t="s">
        <v>106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6" spans="2:15" ht="19" customHeight="1">
      <c r="B6" s="5" t="s">
        <v>107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>
      <c r="B7" s="27" t="s">
        <v>108</v>
      </c>
      <c r="C7" s="28" t="s">
        <v>0</v>
      </c>
      <c r="D7" s="28"/>
      <c r="E7" s="27" t="s">
        <v>109</v>
      </c>
      <c r="F7" s="28" t="s">
        <v>3</v>
      </c>
      <c r="G7" s="28"/>
      <c r="H7" s="27" t="s">
        <v>110</v>
      </c>
      <c r="I7" s="28" t="s">
        <v>111</v>
      </c>
      <c r="J7" s="28"/>
      <c r="K7" s="28"/>
      <c r="M7" s="3" t="s">
        <v>112</v>
      </c>
      <c r="N7" s="29">
        <f>O20</f>
        <v>0</v>
      </c>
    </row>
    <row r="8" spans="2:15">
      <c r="B8" s="30">
        <f>"▶  Showing:   "&amp;$C$7&amp;"   ·   "&amp;$F$7&amp;"   ·   "&amp;$I$7&amp;"      (monthly kbd by year - hover a yellow cell for tips)"</f>
        <v>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15" ht="19" customHeight="1">
      <c r="B9" s="8" t="s">
        <v>113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2:15">
      <c r="B10" s="21" t="s">
        <v>90</v>
      </c>
      <c r="C10" s="22" t="s">
        <v>92</v>
      </c>
      <c r="D10" s="22" t="s">
        <v>93</v>
      </c>
      <c r="E10" s="22" t="s">
        <v>94</v>
      </c>
      <c r="F10" s="22" t="s">
        <v>95</v>
      </c>
      <c r="G10" s="22" t="s">
        <v>96</v>
      </c>
      <c r="H10" s="22" t="s">
        <v>97</v>
      </c>
      <c r="I10" s="22" t="s">
        <v>98</v>
      </c>
      <c r="J10" s="22" t="s">
        <v>99</v>
      </c>
      <c r="K10" s="22" t="s">
        <v>100</v>
      </c>
      <c r="L10" s="22" t="s">
        <v>101</v>
      </c>
      <c r="M10" s="22" t="s">
        <v>102</v>
      </c>
      <c r="N10" s="22" t="s">
        <v>103</v>
      </c>
      <c r="O10" s="22" t="s">
        <v>114</v>
      </c>
    </row>
    <row r="11" spans="2:15">
      <c r="B11" s="31">
        <v>2016</v>
      </c>
      <c r="C11" s="24">
        <f>IF($I$7="Mogas-eq (kbd)",SUMIFS(tPADD[mogas],tPADD[year],B11,tPADD[month],1,tPADD[key],$C$7,tPADD[type],$F$7),SUMIFS(tPADD[kbd],tPADD[year],B11,tPADD[month],1,tPADD[key],$C$7,tPADD[type],$F$7))</f>
        <v>0</v>
      </c>
      <c r="D11" s="24">
        <f>IF($I$7="Mogas-eq (kbd)",SUMIFS(tPADD[mogas],tPADD[year],B11,tPADD[month],2,tPADD[key],$C$7,tPADD[type],$F$7),SUMIFS(tPADD[kbd],tPADD[year],B11,tPADD[month],2,tPADD[key],$C$7,tPADD[type],$F$7))</f>
        <v>0</v>
      </c>
      <c r="E11" s="24">
        <f>IF($I$7="Mogas-eq (kbd)",SUMIFS(tPADD[mogas],tPADD[year],B11,tPADD[month],3,tPADD[key],$C$7,tPADD[type],$F$7),SUMIFS(tPADD[kbd],tPADD[year],B11,tPADD[month],3,tPADD[key],$C$7,tPADD[type],$F$7))</f>
        <v>0</v>
      </c>
      <c r="F11" s="24">
        <f>IF($I$7="Mogas-eq (kbd)",SUMIFS(tPADD[mogas],tPADD[year],B11,tPADD[month],4,tPADD[key],$C$7,tPADD[type],$F$7),SUMIFS(tPADD[kbd],tPADD[year],B11,tPADD[month],4,tPADD[key],$C$7,tPADD[type],$F$7))</f>
        <v>0</v>
      </c>
      <c r="G11" s="24">
        <f>IF($I$7="Mogas-eq (kbd)",SUMIFS(tPADD[mogas],tPADD[year],B11,tPADD[month],5,tPADD[key],$C$7,tPADD[type],$F$7),SUMIFS(tPADD[kbd],tPADD[year],B11,tPADD[month],5,tPADD[key],$C$7,tPADD[type],$F$7))</f>
        <v>0</v>
      </c>
      <c r="H11" s="24">
        <f>IF($I$7="Mogas-eq (kbd)",SUMIFS(tPADD[mogas],tPADD[year],B11,tPADD[month],6,tPADD[key],$C$7,tPADD[type],$F$7),SUMIFS(tPADD[kbd],tPADD[year],B11,tPADD[month],6,tPADD[key],$C$7,tPADD[type],$F$7))</f>
        <v>0</v>
      </c>
      <c r="I11" s="24">
        <f>IF($I$7="Mogas-eq (kbd)",SUMIFS(tPADD[mogas],tPADD[year],B11,tPADD[month],7,tPADD[key],$C$7,tPADD[type],$F$7),SUMIFS(tPADD[kbd],tPADD[year],B11,tPADD[month],7,tPADD[key],$C$7,tPADD[type],$F$7))</f>
        <v>0</v>
      </c>
      <c r="J11" s="24">
        <f>IF($I$7="Mogas-eq (kbd)",SUMIFS(tPADD[mogas],tPADD[year],B11,tPADD[month],8,tPADD[key],$C$7,tPADD[type],$F$7),SUMIFS(tPADD[kbd],tPADD[year],B11,tPADD[month],8,tPADD[key],$C$7,tPADD[type],$F$7))</f>
        <v>0</v>
      </c>
      <c r="K11" s="24">
        <f>IF($I$7="Mogas-eq (kbd)",SUMIFS(tPADD[mogas],tPADD[year],B11,tPADD[month],9,tPADD[key],$C$7,tPADD[type],$F$7),SUMIFS(tPADD[kbd],tPADD[year],B11,tPADD[month],9,tPADD[key],$C$7,tPADD[type],$F$7))</f>
        <v>0</v>
      </c>
      <c r="L11" s="24">
        <f>IF($I$7="Mogas-eq (kbd)",SUMIFS(tPADD[mogas],tPADD[year],B11,tPADD[month],10,tPADD[key],$C$7,tPADD[type],$F$7),SUMIFS(tPADD[kbd],tPADD[year],B11,tPADD[month],10,tPADD[key],$C$7,tPADD[type],$F$7))</f>
        <v>0</v>
      </c>
      <c r="M11" s="24">
        <f>IF($I$7="Mogas-eq (kbd)",SUMIFS(tPADD[mogas],tPADD[year],B11,tPADD[month],11,tPADD[key],$C$7,tPADD[type],$F$7),SUMIFS(tPADD[kbd],tPADD[year],B11,tPADD[month],11,tPADD[key],$C$7,tPADD[type],$F$7))</f>
        <v>0</v>
      </c>
      <c r="N11" s="24">
        <f>IF($I$7="Mogas-eq (kbd)",SUMIFS(tPADD[mogas],tPADD[year],B11,tPADD[month],12,tPADD[key],$C$7,tPADD[type],$F$7),SUMIFS(tPADD[kbd],tPADD[year],B11,tPADD[month],12,tPADD[key],$C$7,tPADD[type],$F$7))</f>
        <v>0</v>
      </c>
      <c r="O11" s="32">
        <f>SUM(C11:N11)</f>
        <v>0</v>
      </c>
    </row>
    <row r="12" spans="2:15">
      <c r="B12" s="31">
        <v>2017</v>
      </c>
      <c r="C12" s="24">
        <f>IF($I$7="Mogas-eq (kbd)",SUMIFS(tPADD[mogas],tPADD[year],B12,tPADD[month],1,tPADD[key],$C$7,tPADD[type],$F$7),SUMIFS(tPADD[kbd],tPADD[year],B12,tPADD[month],1,tPADD[key],$C$7,tPADD[type],$F$7))</f>
        <v>0</v>
      </c>
      <c r="D12" s="24">
        <f>IF($I$7="Mogas-eq (kbd)",SUMIFS(tPADD[mogas],tPADD[year],B12,tPADD[month],2,tPADD[key],$C$7,tPADD[type],$F$7),SUMIFS(tPADD[kbd],tPADD[year],B12,tPADD[month],2,tPADD[key],$C$7,tPADD[type],$F$7))</f>
        <v>0</v>
      </c>
      <c r="E12" s="24">
        <f>IF($I$7="Mogas-eq (kbd)",SUMIFS(tPADD[mogas],tPADD[year],B12,tPADD[month],3,tPADD[key],$C$7,tPADD[type],$F$7),SUMIFS(tPADD[kbd],tPADD[year],B12,tPADD[month],3,tPADD[key],$C$7,tPADD[type],$F$7))</f>
        <v>0</v>
      </c>
      <c r="F12" s="24">
        <f>IF($I$7="Mogas-eq (kbd)",SUMIFS(tPADD[mogas],tPADD[year],B12,tPADD[month],4,tPADD[key],$C$7,tPADD[type],$F$7),SUMIFS(tPADD[kbd],tPADD[year],B12,tPADD[month],4,tPADD[key],$C$7,tPADD[type],$F$7))</f>
        <v>0</v>
      </c>
      <c r="G12" s="24">
        <f>IF($I$7="Mogas-eq (kbd)",SUMIFS(tPADD[mogas],tPADD[year],B12,tPADD[month],5,tPADD[key],$C$7,tPADD[type],$F$7),SUMIFS(tPADD[kbd],tPADD[year],B12,tPADD[month],5,tPADD[key],$C$7,tPADD[type],$F$7))</f>
        <v>0</v>
      </c>
      <c r="H12" s="24">
        <f>IF($I$7="Mogas-eq (kbd)",SUMIFS(tPADD[mogas],tPADD[year],B12,tPADD[month],6,tPADD[key],$C$7,tPADD[type],$F$7),SUMIFS(tPADD[kbd],tPADD[year],B12,tPADD[month],6,tPADD[key],$C$7,tPADD[type],$F$7))</f>
        <v>0</v>
      </c>
      <c r="I12" s="24">
        <f>IF($I$7="Mogas-eq (kbd)",SUMIFS(tPADD[mogas],tPADD[year],B12,tPADD[month],7,tPADD[key],$C$7,tPADD[type],$F$7),SUMIFS(tPADD[kbd],tPADD[year],B12,tPADD[month],7,tPADD[key],$C$7,tPADD[type],$F$7))</f>
        <v>0</v>
      </c>
      <c r="J12" s="24">
        <f>IF($I$7="Mogas-eq (kbd)",SUMIFS(tPADD[mogas],tPADD[year],B12,tPADD[month],8,tPADD[key],$C$7,tPADD[type],$F$7),SUMIFS(tPADD[kbd],tPADD[year],B12,tPADD[month],8,tPADD[key],$C$7,tPADD[type],$F$7))</f>
        <v>0</v>
      </c>
      <c r="K12" s="24">
        <f>IF($I$7="Mogas-eq (kbd)",SUMIFS(tPADD[mogas],tPADD[year],B12,tPADD[month],9,tPADD[key],$C$7,tPADD[type],$F$7),SUMIFS(tPADD[kbd],tPADD[year],B12,tPADD[month],9,tPADD[key],$C$7,tPADD[type],$F$7))</f>
        <v>0</v>
      </c>
      <c r="L12" s="24">
        <f>IF($I$7="Mogas-eq (kbd)",SUMIFS(tPADD[mogas],tPADD[year],B12,tPADD[month],10,tPADD[key],$C$7,tPADD[type],$F$7),SUMIFS(tPADD[kbd],tPADD[year],B12,tPADD[month],10,tPADD[key],$C$7,tPADD[type],$F$7))</f>
        <v>0</v>
      </c>
      <c r="M12" s="24">
        <f>IF($I$7="Mogas-eq (kbd)",SUMIFS(tPADD[mogas],tPADD[year],B12,tPADD[month],11,tPADD[key],$C$7,tPADD[type],$F$7),SUMIFS(tPADD[kbd],tPADD[year],B12,tPADD[month],11,tPADD[key],$C$7,tPADD[type],$F$7))</f>
        <v>0</v>
      </c>
      <c r="N12" s="24">
        <f>IF($I$7="Mogas-eq (kbd)",SUMIFS(tPADD[mogas],tPADD[year],B12,tPADD[month],12,tPADD[key],$C$7,tPADD[type],$F$7),SUMIFS(tPADD[kbd],tPADD[year],B12,tPADD[month],12,tPADD[key],$C$7,tPADD[type],$F$7))</f>
        <v>0</v>
      </c>
      <c r="O12" s="32">
        <f>SUM(C12:N12)</f>
        <v>0</v>
      </c>
    </row>
    <row r="13" spans="2:15">
      <c r="B13" s="31">
        <v>2018</v>
      </c>
      <c r="C13" s="24">
        <f>IF($I$7="Mogas-eq (kbd)",SUMIFS(tPADD[mogas],tPADD[year],B13,tPADD[month],1,tPADD[key],$C$7,tPADD[type],$F$7),SUMIFS(tPADD[kbd],tPADD[year],B13,tPADD[month],1,tPADD[key],$C$7,tPADD[type],$F$7))</f>
        <v>0</v>
      </c>
      <c r="D13" s="24">
        <f>IF($I$7="Mogas-eq (kbd)",SUMIFS(tPADD[mogas],tPADD[year],B13,tPADD[month],2,tPADD[key],$C$7,tPADD[type],$F$7),SUMIFS(tPADD[kbd],tPADD[year],B13,tPADD[month],2,tPADD[key],$C$7,tPADD[type],$F$7))</f>
        <v>0</v>
      </c>
      <c r="E13" s="24">
        <f>IF($I$7="Mogas-eq (kbd)",SUMIFS(tPADD[mogas],tPADD[year],B13,tPADD[month],3,tPADD[key],$C$7,tPADD[type],$F$7),SUMIFS(tPADD[kbd],tPADD[year],B13,tPADD[month],3,tPADD[key],$C$7,tPADD[type],$F$7))</f>
        <v>0</v>
      </c>
      <c r="F13" s="24">
        <f>IF($I$7="Mogas-eq (kbd)",SUMIFS(tPADD[mogas],tPADD[year],B13,tPADD[month],4,tPADD[key],$C$7,tPADD[type],$F$7),SUMIFS(tPADD[kbd],tPADD[year],B13,tPADD[month],4,tPADD[key],$C$7,tPADD[type],$F$7))</f>
        <v>0</v>
      </c>
      <c r="G13" s="24">
        <f>IF($I$7="Mogas-eq (kbd)",SUMIFS(tPADD[mogas],tPADD[year],B13,tPADD[month],5,tPADD[key],$C$7,tPADD[type],$F$7),SUMIFS(tPADD[kbd],tPADD[year],B13,tPADD[month],5,tPADD[key],$C$7,tPADD[type],$F$7))</f>
        <v>0</v>
      </c>
      <c r="H13" s="24">
        <f>IF($I$7="Mogas-eq (kbd)",SUMIFS(tPADD[mogas],tPADD[year],B13,tPADD[month],6,tPADD[key],$C$7,tPADD[type],$F$7),SUMIFS(tPADD[kbd],tPADD[year],B13,tPADD[month],6,tPADD[key],$C$7,tPADD[type],$F$7))</f>
        <v>0</v>
      </c>
      <c r="I13" s="24">
        <f>IF($I$7="Mogas-eq (kbd)",SUMIFS(tPADD[mogas],tPADD[year],B13,tPADD[month],7,tPADD[key],$C$7,tPADD[type],$F$7),SUMIFS(tPADD[kbd],tPADD[year],B13,tPADD[month],7,tPADD[key],$C$7,tPADD[type],$F$7))</f>
        <v>0</v>
      </c>
      <c r="J13" s="24">
        <f>IF($I$7="Mogas-eq (kbd)",SUMIFS(tPADD[mogas],tPADD[year],B13,tPADD[month],8,tPADD[key],$C$7,tPADD[type],$F$7),SUMIFS(tPADD[kbd],tPADD[year],B13,tPADD[month],8,tPADD[key],$C$7,tPADD[type],$F$7))</f>
        <v>0</v>
      </c>
      <c r="K13" s="24">
        <f>IF($I$7="Mogas-eq (kbd)",SUMIFS(tPADD[mogas],tPADD[year],B13,tPADD[month],9,tPADD[key],$C$7,tPADD[type],$F$7),SUMIFS(tPADD[kbd],tPADD[year],B13,tPADD[month],9,tPADD[key],$C$7,tPADD[type],$F$7))</f>
        <v>0</v>
      </c>
      <c r="L13" s="24">
        <f>IF($I$7="Mogas-eq (kbd)",SUMIFS(tPADD[mogas],tPADD[year],B13,tPADD[month],10,tPADD[key],$C$7,tPADD[type],$F$7),SUMIFS(tPADD[kbd],tPADD[year],B13,tPADD[month],10,tPADD[key],$C$7,tPADD[type],$F$7))</f>
        <v>0</v>
      </c>
      <c r="M13" s="24">
        <f>IF($I$7="Mogas-eq (kbd)",SUMIFS(tPADD[mogas],tPADD[year],B13,tPADD[month],11,tPADD[key],$C$7,tPADD[type],$F$7),SUMIFS(tPADD[kbd],tPADD[year],B13,tPADD[month],11,tPADD[key],$C$7,tPADD[type],$F$7))</f>
        <v>0</v>
      </c>
      <c r="N13" s="24">
        <f>IF($I$7="Mogas-eq (kbd)",SUMIFS(tPADD[mogas],tPADD[year],B13,tPADD[month],12,tPADD[key],$C$7,tPADD[type],$F$7),SUMIFS(tPADD[kbd],tPADD[year],B13,tPADD[month],12,tPADD[key],$C$7,tPADD[type],$F$7))</f>
        <v>0</v>
      </c>
      <c r="O13" s="32">
        <f>SUM(C13:N13)</f>
        <v>0</v>
      </c>
    </row>
    <row r="14" spans="2:15">
      <c r="B14" s="31">
        <v>2019</v>
      </c>
      <c r="C14" s="24">
        <f>IF($I$7="Mogas-eq (kbd)",SUMIFS(tPADD[mogas],tPADD[year],B14,tPADD[month],1,tPADD[key],$C$7,tPADD[type],$F$7),SUMIFS(tPADD[kbd],tPADD[year],B14,tPADD[month],1,tPADD[key],$C$7,tPADD[type],$F$7))</f>
        <v>0</v>
      </c>
      <c r="D14" s="24">
        <f>IF($I$7="Mogas-eq (kbd)",SUMIFS(tPADD[mogas],tPADD[year],B14,tPADD[month],2,tPADD[key],$C$7,tPADD[type],$F$7),SUMIFS(tPADD[kbd],tPADD[year],B14,tPADD[month],2,tPADD[key],$C$7,tPADD[type],$F$7))</f>
        <v>0</v>
      </c>
      <c r="E14" s="24">
        <f>IF($I$7="Mogas-eq (kbd)",SUMIFS(tPADD[mogas],tPADD[year],B14,tPADD[month],3,tPADD[key],$C$7,tPADD[type],$F$7),SUMIFS(tPADD[kbd],tPADD[year],B14,tPADD[month],3,tPADD[key],$C$7,tPADD[type],$F$7))</f>
        <v>0</v>
      </c>
      <c r="F14" s="24">
        <f>IF($I$7="Mogas-eq (kbd)",SUMIFS(tPADD[mogas],tPADD[year],B14,tPADD[month],4,tPADD[key],$C$7,tPADD[type],$F$7),SUMIFS(tPADD[kbd],tPADD[year],B14,tPADD[month],4,tPADD[key],$C$7,tPADD[type],$F$7))</f>
        <v>0</v>
      </c>
      <c r="G14" s="24">
        <f>IF($I$7="Mogas-eq (kbd)",SUMIFS(tPADD[mogas],tPADD[year],B14,tPADD[month],5,tPADD[key],$C$7,tPADD[type],$F$7),SUMIFS(tPADD[kbd],tPADD[year],B14,tPADD[month],5,tPADD[key],$C$7,tPADD[type],$F$7))</f>
        <v>0</v>
      </c>
      <c r="H14" s="24">
        <f>IF($I$7="Mogas-eq (kbd)",SUMIFS(tPADD[mogas],tPADD[year],B14,tPADD[month],6,tPADD[key],$C$7,tPADD[type],$F$7),SUMIFS(tPADD[kbd],tPADD[year],B14,tPADD[month],6,tPADD[key],$C$7,tPADD[type],$F$7))</f>
        <v>0</v>
      </c>
      <c r="I14" s="24">
        <f>IF($I$7="Mogas-eq (kbd)",SUMIFS(tPADD[mogas],tPADD[year],B14,tPADD[month],7,tPADD[key],$C$7,tPADD[type],$F$7),SUMIFS(tPADD[kbd],tPADD[year],B14,tPADD[month],7,tPADD[key],$C$7,tPADD[type],$F$7))</f>
        <v>0</v>
      </c>
      <c r="J14" s="24">
        <f>IF($I$7="Mogas-eq (kbd)",SUMIFS(tPADD[mogas],tPADD[year],B14,tPADD[month],8,tPADD[key],$C$7,tPADD[type],$F$7),SUMIFS(tPADD[kbd],tPADD[year],B14,tPADD[month],8,tPADD[key],$C$7,tPADD[type],$F$7))</f>
        <v>0</v>
      </c>
      <c r="K14" s="24">
        <f>IF($I$7="Mogas-eq (kbd)",SUMIFS(tPADD[mogas],tPADD[year],B14,tPADD[month],9,tPADD[key],$C$7,tPADD[type],$F$7),SUMIFS(tPADD[kbd],tPADD[year],B14,tPADD[month],9,tPADD[key],$C$7,tPADD[type],$F$7))</f>
        <v>0</v>
      </c>
      <c r="L14" s="24">
        <f>IF($I$7="Mogas-eq (kbd)",SUMIFS(tPADD[mogas],tPADD[year],B14,tPADD[month],10,tPADD[key],$C$7,tPADD[type],$F$7),SUMIFS(tPADD[kbd],tPADD[year],B14,tPADD[month],10,tPADD[key],$C$7,tPADD[type],$F$7))</f>
        <v>0</v>
      </c>
      <c r="M14" s="24">
        <f>IF($I$7="Mogas-eq (kbd)",SUMIFS(tPADD[mogas],tPADD[year],B14,tPADD[month],11,tPADD[key],$C$7,tPADD[type],$F$7),SUMIFS(tPADD[kbd],tPADD[year],B14,tPADD[month],11,tPADD[key],$C$7,tPADD[type],$F$7))</f>
        <v>0</v>
      </c>
      <c r="N14" s="24">
        <f>IF($I$7="Mogas-eq (kbd)",SUMIFS(tPADD[mogas],tPADD[year],B14,tPADD[month],12,tPADD[key],$C$7,tPADD[type],$F$7),SUMIFS(tPADD[kbd],tPADD[year],B14,tPADD[month],12,tPADD[key],$C$7,tPADD[type],$F$7))</f>
        <v>0</v>
      </c>
      <c r="O14" s="32">
        <f>SUM(C14:N14)</f>
        <v>0</v>
      </c>
    </row>
    <row r="15" spans="2:15">
      <c r="B15" s="31">
        <v>2020</v>
      </c>
      <c r="C15" s="24">
        <f>IF($I$7="Mogas-eq (kbd)",SUMIFS(tPADD[mogas],tPADD[year],B15,tPADD[month],1,tPADD[key],$C$7,tPADD[type],$F$7),SUMIFS(tPADD[kbd],tPADD[year],B15,tPADD[month],1,tPADD[key],$C$7,tPADD[type],$F$7))</f>
        <v>0</v>
      </c>
      <c r="D15" s="24">
        <f>IF($I$7="Mogas-eq (kbd)",SUMIFS(tPADD[mogas],tPADD[year],B15,tPADD[month],2,tPADD[key],$C$7,tPADD[type],$F$7),SUMIFS(tPADD[kbd],tPADD[year],B15,tPADD[month],2,tPADD[key],$C$7,tPADD[type],$F$7))</f>
        <v>0</v>
      </c>
      <c r="E15" s="24">
        <f>IF($I$7="Mogas-eq (kbd)",SUMIFS(tPADD[mogas],tPADD[year],B15,tPADD[month],3,tPADD[key],$C$7,tPADD[type],$F$7),SUMIFS(tPADD[kbd],tPADD[year],B15,tPADD[month],3,tPADD[key],$C$7,tPADD[type],$F$7))</f>
        <v>0</v>
      </c>
      <c r="F15" s="24">
        <f>IF($I$7="Mogas-eq (kbd)",SUMIFS(tPADD[mogas],tPADD[year],B15,tPADD[month],4,tPADD[key],$C$7,tPADD[type],$F$7),SUMIFS(tPADD[kbd],tPADD[year],B15,tPADD[month],4,tPADD[key],$C$7,tPADD[type],$F$7))</f>
        <v>0</v>
      </c>
      <c r="G15" s="24">
        <f>IF($I$7="Mogas-eq (kbd)",SUMIFS(tPADD[mogas],tPADD[year],B15,tPADD[month],5,tPADD[key],$C$7,tPADD[type],$F$7),SUMIFS(tPADD[kbd],tPADD[year],B15,tPADD[month],5,tPADD[key],$C$7,tPADD[type],$F$7))</f>
        <v>0</v>
      </c>
      <c r="H15" s="24">
        <f>IF($I$7="Mogas-eq (kbd)",SUMIFS(tPADD[mogas],tPADD[year],B15,tPADD[month],6,tPADD[key],$C$7,tPADD[type],$F$7),SUMIFS(tPADD[kbd],tPADD[year],B15,tPADD[month],6,tPADD[key],$C$7,tPADD[type],$F$7))</f>
        <v>0</v>
      </c>
      <c r="I15" s="24">
        <f>IF($I$7="Mogas-eq (kbd)",SUMIFS(tPADD[mogas],tPADD[year],B15,tPADD[month],7,tPADD[key],$C$7,tPADD[type],$F$7),SUMIFS(tPADD[kbd],tPADD[year],B15,tPADD[month],7,tPADD[key],$C$7,tPADD[type],$F$7))</f>
        <v>0</v>
      </c>
      <c r="J15" s="24">
        <f>IF($I$7="Mogas-eq (kbd)",SUMIFS(tPADD[mogas],tPADD[year],B15,tPADD[month],8,tPADD[key],$C$7,tPADD[type],$F$7),SUMIFS(tPADD[kbd],tPADD[year],B15,tPADD[month],8,tPADD[key],$C$7,tPADD[type],$F$7))</f>
        <v>0</v>
      </c>
      <c r="K15" s="24">
        <f>IF($I$7="Mogas-eq (kbd)",SUMIFS(tPADD[mogas],tPADD[year],B15,tPADD[month],9,tPADD[key],$C$7,tPADD[type],$F$7),SUMIFS(tPADD[kbd],tPADD[year],B15,tPADD[month],9,tPADD[key],$C$7,tPADD[type],$F$7))</f>
        <v>0</v>
      </c>
      <c r="L15" s="24">
        <f>IF($I$7="Mogas-eq (kbd)",SUMIFS(tPADD[mogas],tPADD[year],B15,tPADD[month],10,tPADD[key],$C$7,tPADD[type],$F$7),SUMIFS(tPADD[kbd],tPADD[year],B15,tPADD[month],10,tPADD[key],$C$7,tPADD[type],$F$7))</f>
        <v>0</v>
      </c>
      <c r="M15" s="24">
        <f>IF($I$7="Mogas-eq (kbd)",SUMIFS(tPADD[mogas],tPADD[year],B15,tPADD[month],11,tPADD[key],$C$7,tPADD[type],$F$7),SUMIFS(tPADD[kbd],tPADD[year],B15,tPADD[month],11,tPADD[key],$C$7,tPADD[type],$F$7))</f>
        <v>0</v>
      </c>
      <c r="N15" s="24">
        <f>IF($I$7="Mogas-eq (kbd)",SUMIFS(tPADD[mogas],tPADD[year],B15,tPADD[month],12,tPADD[key],$C$7,tPADD[type],$F$7),SUMIFS(tPADD[kbd],tPADD[year],B15,tPADD[month],12,tPADD[key],$C$7,tPADD[type],$F$7))</f>
        <v>0</v>
      </c>
      <c r="O15" s="32">
        <f>SUM(C15:N15)</f>
        <v>0</v>
      </c>
    </row>
    <row r="16" spans="2:15">
      <c r="B16" s="31">
        <v>2021</v>
      </c>
      <c r="C16" s="24">
        <f>IF($I$7="Mogas-eq (kbd)",SUMIFS(tPADD[mogas],tPADD[year],B16,tPADD[month],1,tPADD[key],$C$7,tPADD[type],$F$7),SUMIFS(tPADD[kbd],tPADD[year],B16,tPADD[month],1,tPADD[key],$C$7,tPADD[type],$F$7))</f>
        <v>0</v>
      </c>
      <c r="D16" s="24">
        <f>IF($I$7="Mogas-eq (kbd)",SUMIFS(tPADD[mogas],tPADD[year],B16,tPADD[month],2,tPADD[key],$C$7,tPADD[type],$F$7),SUMIFS(tPADD[kbd],tPADD[year],B16,tPADD[month],2,tPADD[key],$C$7,tPADD[type],$F$7))</f>
        <v>0</v>
      </c>
      <c r="E16" s="24">
        <f>IF($I$7="Mogas-eq (kbd)",SUMIFS(tPADD[mogas],tPADD[year],B16,tPADD[month],3,tPADD[key],$C$7,tPADD[type],$F$7),SUMIFS(tPADD[kbd],tPADD[year],B16,tPADD[month],3,tPADD[key],$C$7,tPADD[type],$F$7))</f>
        <v>0</v>
      </c>
      <c r="F16" s="24">
        <f>IF($I$7="Mogas-eq (kbd)",SUMIFS(tPADD[mogas],tPADD[year],B16,tPADD[month],4,tPADD[key],$C$7,tPADD[type],$F$7),SUMIFS(tPADD[kbd],tPADD[year],B16,tPADD[month],4,tPADD[key],$C$7,tPADD[type],$F$7))</f>
        <v>0</v>
      </c>
      <c r="G16" s="24">
        <f>IF($I$7="Mogas-eq (kbd)",SUMIFS(tPADD[mogas],tPADD[year],B16,tPADD[month],5,tPADD[key],$C$7,tPADD[type],$F$7),SUMIFS(tPADD[kbd],tPADD[year],B16,tPADD[month],5,tPADD[key],$C$7,tPADD[type],$F$7))</f>
        <v>0</v>
      </c>
      <c r="H16" s="24">
        <f>IF($I$7="Mogas-eq (kbd)",SUMIFS(tPADD[mogas],tPADD[year],B16,tPADD[month],6,tPADD[key],$C$7,tPADD[type],$F$7),SUMIFS(tPADD[kbd],tPADD[year],B16,tPADD[month],6,tPADD[key],$C$7,tPADD[type],$F$7))</f>
        <v>0</v>
      </c>
      <c r="I16" s="24">
        <f>IF($I$7="Mogas-eq (kbd)",SUMIFS(tPADD[mogas],tPADD[year],B16,tPADD[month],7,tPADD[key],$C$7,tPADD[type],$F$7),SUMIFS(tPADD[kbd],tPADD[year],B16,tPADD[month],7,tPADD[key],$C$7,tPADD[type],$F$7))</f>
        <v>0</v>
      </c>
      <c r="J16" s="24">
        <f>IF($I$7="Mogas-eq (kbd)",SUMIFS(tPADD[mogas],tPADD[year],B16,tPADD[month],8,tPADD[key],$C$7,tPADD[type],$F$7),SUMIFS(tPADD[kbd],tPADD[year],B16,tPADD[month],8,tPADD[key],$C$7,tPADD[type],$F$7))</f>
        <v>0</v>
      </c>
      <c r="K16" s="24">
        <f>IF($I$7="Mogas-eq (kbd)",SUMIFS(tPADD[mogas],tPADD[year],B16,tPADD[month],9,tPADD[key],$C$7,tPADD[type],$F$7),SUMIFS(tPADD[kbd],tPADD[year],B16,tPADD[month],9,tPADD[key],$C$7,tPADD[type],$F$7))</f>
        <v>0</v>
      </c>
      <c r="L16" s="24">
        <f>IF($I$7="Mogas-eq (kbd)",SUMIFS(tPADD[mogas],tPADD[year],B16,tPADD[month],10,tPADD[key],$C$7,tPADD[type],$F$7),SUMIFS(tPADD[kbd],tPADD[year],B16,tPADD[month],10,tPADD[key],$C$7,tPADD[type],$F$7))</f>
        <v>0</v>
      </c>
      <c r="M16" s="24">
        <f>IF($I$7="Mogas-eq (kbd)",SUMIFS(tPADD[mogas],tPADD[year],B16,tPADD[month],11,tPADD[key],$C$7,tPADD[type],$F$7),SUMIFS(tPADD[kbd],tPADD[year],B16,tPADD[month],11,tPADD[key],$C$7,tPADD[type],$F$7))</f>
        <v>0</v>
      </c>
      <c r="N16" s="24">
        <f>IF($I$7="Mogas-eq (kbd)",SUMIFS(tPADD[mogas],tPADD[year],B16,tPADD[month],12,tPADD[key],$C$7,tPADD[type],$F$7),SUMIFS(tPADD[kbd],tPADD[year],B16,tPADD[month],12,tPADD[key],$C$7,tPADD[type],$F$7))</f>
        <v>0</v>
      </c>
      <c r="O16" s="32">
        <f>SUM(C16:N16)</f>
        <v>0</v>
      </c>
    </row>
    <row r="17" spans="2:15">
      <c r="B17" s="31">
        <v>2022</v>
      </c>
      <c r="C17" s="24">
        <f>IF($I$7="Mogas-eq (kbd)",SUMIFS(tPADD[mogas],tPADD[year],B17,tPADD[month],1,tPADD[key],$C$7,tPADD[type],$F$7),SUMIFS(tPADD[kbd],tPADD[year],B17,tPADD[month],1,tPADD[key],$C$7,tPADD[type],$F$7))</f>
        <v>0</v>
      </c>
      <c r="D17" s="24">
        <f>IF($I$7="Mogas-eq (kbd)",SUMIFS(tPADD[mogas],tPADD[year],B17,tPADD[month],2,tPADD[key],$C$7,tPADD[type],$F$7),SUMIFS(tPADD[kbd],tPADD[year],B17,tPADD[month],2,tPADD[key],$C$7,tPADD[type],$F$7))</f>
        <v>0</v>
      </c>
      <c r="E17" s="24">
        <f>IF($I$7="Mogas-eq (kbd)",SUMIFS(tPADD[mogas],tPADD[year],B17,tPADD[month],3,tPADD[key],$C$7,tPADD[type],$F$7),SUMIFS(tPADD[kbd],tPADD[year],B17,tPADD[month],3,tPADD[key],$C$7,tPADD[type],$F$7))</f>
        <v>0</v>
      </c>
      <c r="F17" s="24">
        <f>IF($I$7="Mogas-eq (kbd)",SUMIFS(tPADD[mogas],tPADD[year],B17,tPADD[month],4,tPADD[key],$C$7,tPADD[type],$F$7),SUMIFS(tPADD[kbd],tPADD[year],B17,tPADD[month],4,tPADD[key],$C$7,tPADD[type],$F$7))</f>
        <v>0</v>
      </c>
      <c r="G17" s="24">
        <f>IF($I$7="Mogas-eq (kbd)",SUMIFS(tPADD[mogas],tPADD[year],B17,tPADD[month],5,tPADD[key],$C$7,tPADD[type],$F$7),SUMIFS(tPADD[kbd],tPADD[year],B17,tPADD[month],5,tPADD[key],$C$7,tPADD[type],$F$7))</f>
        <v>0</v>
      </c>
      <c r="H17" s="24">
        <f>IF($I$7="Mogas-eq (kbd)",SUMIFS(tPADD[mogas],tPADD[year],B17,tPADD[month],6,tPADD[key],$C$7,tPADD[type],$F$7),SUMIFS(tPADD[kbd],tPADD[year],B17,tPADD[month],6,tPADD[key],$C$7,tPADD[type],$F$7))</f>
        <v>0</v>
      </c>
      <c r="I17" s="24">
        <f>IF($I$7="Mogas-eq (kbd)",SUMIFS(tPADD[mogas],tPADD[year],B17,tPADD[month],7,tPADD[key],$C$7,tPADD[type],$F$7),SUMIFS(tPADD[kbd],tPADD[year],B17,tPADD[month],7,tPADD[key],$C$7,tPADD[type],$F$7))</f>
        <v>0</v>
      </c>
      <c r="J17" s="24">
        <f>IF($I$7="Mogas-eq (kbd)",SUMIFS(tPADD[mogas],tPADD[year],B17,tPADD[month],8,tPADD[key],$C$7,tPADD[type],$F$7),SUMIFS(tPADD[kbd],tPADD[year],B17,tPADD[month],8,tPADD[key],$C$7,tPADD[type],$F$7))</f>
        <v>0</v>
      </c>
      <c r="K17" s="24">
        <f>IF($I$7="Mogas-eq (kbd)",SUMIFS(tPADD[mogas],tPADD[year],B17,tPADD[month],9,tPADD[key],$C$7,tPADD[type],$F$7),SUMIFS(tPADD[kbd],tPADD[year],B17,tPADD[month],9,tPADD[key],$C$7,tPADD[type],$F$7))</f>
        <v>0</v>
      </c>
      <c r="L17" s="24">
        <f>IF($I$7="Mogas-eq (kbd)",SUMIFS(tPADD[mogas],tPADD[year],B17,tPADD[month],10,tPADD[key],$C$7,tPADD[type],$F$7),SUMIFS(tPADD[kbd],tPADD[year],B17,tPADD[month],10,tPADD[key],$C$7,tPADD[type],$F$7))</f>
        <v>0</v>
      </c>
      <c r="M17" s="24">
        <f>IF($I$7="Mogas-eq (kbd)",SUMIFS(tPADD[mogas],tPADD[year],B17,tPADD[month],11,tPADD[key],$C$7,tPADD[type],$F$7),SUMIFS(tPADD[kbd],tPADD[year],B17,tPADD[month],11,tPADD[key],$C$7,tPADD[type],$F$7))</f>
        <v>0</v>
      </c>
      <c r="N17" s="24">
        <f>IF($I$7="Mogas-eq (kbd)",SUMIFS(tPADD[mogas],tPADD[year],B17,tPADD[month],12,tPADD[key],$C$7,tPADD[type],$F$7),SUMIFS(tPADD[kbd],tPADD[year],B17,tPADD[month],12,tPADD[key],$C$7,tPADD[type],$F$7))</f>
        <v>0</v>
      </c>
      <c r="O17" s="32">
        <f>SUM(C17:N17)</f>
        <v>0</v>
      </c>
    </row>
    <row r="18" spans="2:15">
      <c r="B18" s="31">
        <v>2023</v>
      </c>
      <c r="C18" s="24">
        <f>IF($I$7="Mogas-eq (kbd)",SUMIFS(tPADD[mogas],tPADD[year],B18,tPADD[month],1,tPADD[key],$C$7,tPADD[type],$F$7),SUMIFS(tPADD[kbd],tPADD[year],B18,tPADD[month],1,tPADD[key],$C$7,tPADD[type],$F$7))</f>
        <v>0</v>
      </c>
      <c r="D18" s="24">
        <f>IF($I$7="Mogas-eq (kbd)",SUMIFS(tPADD[mogas],tPADD[year],B18,tPADD[month],2,tPADD[key],$C$7,tPADD[type],$F$7),SUMIFS(tPADD[kbd],tPADD[year],B18,tPADD[month],2,tPADD[key],$C$7,tPADD[type],$F$7))</f>
        <v>0</v>
      </c>
      <c r="E18" s="24">
        <f>IF($I$7="Mogas-eq (kbd)",SUMIFS(tPADD[mogas],tPADD[year],B18,tPADD[month],3,tPADD[key],$C$7,tPADD[type],$F$7),SUMIFS(tPADD[kbd],tPADD[year],B18,tPADD[month],3,tPADD[key],$C$7,tPADD[type],$F$7))</f>
        <v>0</v>
      </c>
      <c r="F18" s="24">
        <f>IF($I$7="Mogas-eq (kbd)",SUMIFS(tPADD[mogas],tPADD[year],B18,tPADD[month],4,tPADD[key],$C$7,tPADD[type],$F$7),SUMIFS(tPADD[kbd],tPADD[year],B18,tPADD[month],4,tPADD[key],$C$7,tPADD[type],$F$7))</f>
        <v>0</v>
      </c>
      <c r="G18" s="24">
        <f>IF($I$7="Mogas-eq (kbd)",SUMIFS(tPADD[mogas],tPADD[year],B18,tPADD[month],5,tPADD[key],$C$7,tPADD[type],$F$7),SUMIFS(tPADD[kbd],tPADD[year],B18,tPADD[month],5,tPADD[key],$C$7,tPADD[type],$F$7))</f>
        <v>0</v>
      </c>
      <c r="H18" s="24">
        <f>IF($I$7="Mogas-eq (kbd)",SUMIFS(tPADD[mogas],tPADD[year],B18,tPADD[month],6,tPADD[key],$C$7,tPADD[type],$F$7),SUMIFS(tPADD[kbd],tPADD[year],B18,tPADD[month],6,tPADD[key],$C$7,tPADD[type],$F$7))</f>
        <v>0</v>
      </c>
      <c r="I18" s="24">
        <f>IF($I$7="Mogas-eq (kbd)",SUMIFS(tPADD[mogas],tPADD[year],B18,tPADD[month],7,tPADD[key],$C$7,tPADD[type],$F$7),SUMIFS(tPADD[kbd],tPADD[year],B18,tPADD[month],7,tPADD[key],$C$7,tPADD[type],$F$7))</f>
        <v>0</v>
      </c>
      <c r="J18" s="24">
        <f>IF($I$7="Mogas-eq (kbd)",SUMIFS(tPADD[mogas],tPADD[year],B18,tPADD[month],8,tPADD[key],$C$7,tPADD[type],$F$7),SUMIFS(tPADD[kbd],tPADD[year],B18,tPADD[month],8,tPADD[key],$C$7,tPADD[type],$F$7))</f>
        <v>0</v>
      </c>
      <c r="K18" s="24">
        <f>IF($I$7="Mogas-eq (kbd)",SUMIFS(tPADD[mogas],tPADD[year],B18,tPADD[month],9,tPADD[key],$C$7,tPADD[type],$F$7),SUMIFS(tPADD[kbd],tPADD[year],B18,tPADD[month],9,tPADD[key],$C$7,tPADD[type],$F$7))</f>
        <v>0</v>
      </c>
      <c r="L18" s="24">
        <f>IF($I$7="Mogas-eq (kbd)",SUMIFS(tPADD[mogas],tPADD[year],B18,tPADD[month],10,tPADD[key],$C$7,tPADD[type],$F$7),SUMIFS(tPADD[kbd],tPADD[year],B18,tPADD[month],10,tPADD[key],$C$7,tPADD[type],$F$7))</f>
        <v>0</v>
      </c>
      <c r="M18" s="24">
        <f>IF($I$7="Mogas-eq (kbd)",SUMIFS(tPADD[mogas],tPADD[year],B18,tPADD[month],11,tPADD[key],$C$7,tPADD[type],$F$7),SUMIFS(tPADD[kbd],tPADD[year],B18,tPADD[month],11,tPADD[key],$C$7,tPADD[type],$F$7))</f>
        <v>0</v>
      </c>
      <c r="N18" s="24">
        <f>IF($I$7="Mogas-eq (kbd)",SUMIFS(tPADD[mogas],tPADD[year],B18,tPADD[month],12,tPADD[key],$C$7,tPADD[type],$F$7),SUMIFS(tPADD[kbd],tPADD[year],B18,tPADD[month],12,tPADD[key],$C$7,tPADD[type],$F$7))</f>
        <v>0</v>
      </c>
      <c r="O18" s="32">
        <f>SUM(C18:N18)</f>
        <v>0</v>
      </c>
    </row>
    <row r="19" spans="2:15">
      <c r="B19" s="31">
        <v>2024</v>
      </c>
      <c r="C19" s="24">
        <f>IF($I$7="Mogas-eq (kbd)",SUMIFS(tPADD[mogas],tPADD[year],B19,tPADD[month],1,tPADD[key],$C$7,tPADD[type],$F$7),SUMIFS(tPADD[kbd],tPADD[year],B19,tPADD[month],1,tPADD[key],$C$7,tPADD[type],$F$7))</f>
        <v>0</v>
      </c>
      <c r="D19" s="24">
        <f>IF($I$7="Mogas-eq (kbd)",SUMIFS(tPADD[mogas],tPADD[year],B19,tPADD[month],2,tPADD[key],$C$7,tPADD[type],$F$7),SUMIFS(tPADD[kbd],tPADD[year],B19,tPADD[month],2,tPADD[key],$C$7,tPADD[type],$F$7))</f>
        <v>0</v>
      </c>
      <c r="E19" s="24">
        <f>IF($I$7="Mogas-eq (kbd)",SUMIFS(tPADD[mogas],tPADD[year],B19,tPADD[month],3,tPADD[key],$C$7,tPADD[type],$F$7),SUMIFS(tPADD[kbd],tPADD[year],B19,tPADD[month],3,tPADD[key],$C$7,tPADD[type],$F$7))</f>
        <v>0</v>
      </c>
      <c r="F19" s="24">
        <f>IF($I$7="Mogas-eq (kbd)",SUMIFS(tPADD[mogas],tPADD[year],B19,tPADD[month],4,tPADD[key],$C$7,tPADD[type],$F$7),SUMIFS(tPADD[kbd],tPADD[year],B19,tPADD[month],4,tPADD[key],$C$7,tPADD[type],$F$7))</f>
        <v>0</v>
      </c>
      <c r="G19" s="24">
        <f>IF($I$7="Mogas-eq (kbd)",SUMIFS(tPADD[mogas],tPADD[year],B19,tPADD[month],5,tPADD[key],$C$7,tPADD[type],$F$7),SUMIFS(tPADD[kbd],tPADD[year],B19,tPADD[month],5,tPADD[key],$C$7,tPADD[type],$F$7))</f>
        <v>0</v>
      </c>
      <c r="H19" s="24">
        <f>IF($I$7="Mogas-eq (kbd)",SUMIFS(tPADD[mogas],tPADD[year],B19,tPADD[month],6,tPADD[key],$C$7,tPADD[type],$F$7),SUMIFS(tPADD[kbd],tPADD[year],B19,tPADD[month],6,tPADD[key],$C$7,tPADD[type],$F$7))</f>
        <v>0</v>
      </c>
      <c r="I19" s="24">
        <f>IF($I$7="Mogas-eq (kbd)",SUMIFS(tPADD[mogas],tPADD[year],B19,tPADD[month],7,tPADD[key],$C$7,tPADD[type],$F$7),SUMIFS(tPADD[kbd],tPADD[year],B19,tPADD[month],7,tPADD[key],$C$7,tPADD[type],$F$7))</f>
        <v>0</v>
      </c>
      <c r="J19" s="24">
        <f>IF($I$7="Mogas-eq (kbd)",SUMIFS(tPADD[mogas],tPADD[year],B19,tPADD[month],8,tPADD[key],$C$7,tPADD[type],$F$7),SUMIFS(tPADD[kbd],tPADD[year],B19,tPADD[month],8,tPADD[key],$C$7,tPADD[type],$F$7))</f>
        <v>0</v>
      </c>
      <c r="K19" s="24">
        <f>IF($I$7="Mogas-eq (kbd)",SUMIFS(tPADD[mogas],tPADD[year],B19,tPADD[month],9,tPADD[key],$C$7,tPADD[type],$F$7),SUMIFS(tPADD[kbd],tPADD[year],B19,tPADD[month],9,tPADD[key],$C$7,tPADD[type],$F$7))</f>
        <v>0</v>
      </c>
      <c r="L19" s="24">
        <f>IF($I$7="Mogas-eq (kbd)",SUMIFS(tPADD[mogas],tPADD[year],B19,tPADD[month],10,tPADD[key],$C$7,tPADD[type],$F$7),SUMIFS(tPADD[kbd],tPADD[year],B19,tPADD[month],10,tPADD[key],$C$7,tPADD[type],$F$7))</f>
        <v>0</v>
      </c>
      <c r="M19" s="24">
        <f>IF($I$7="Mogas-eq (kbd)",SUMIFS(tPADD[mogas],tPADD[year],B19,tPADD[month],11,tPADD[key],$C$7,tPADD[type],$F$7),SUMIFS(tPADD[kbd],tPADD[year],B19,tPADD[month],11,tPADD[key],$C$7,tPADD[type],$F$7))</f>
        <v>0</v>
      </c>
      <c r="N19" s="24">
        <f>IF($I$7="Mogas-eq (kbd)",SUMIFS(tPADD[mogas],tPADD[year],B19,tPADD[month],12,tPADD[key],$C$7,tPADD[type],$F$7),SUMIFS(tPADD[kbd],tPADD[year],B19,tPADD[month],12,tPADD[key],$C$7,tPADD[type],$F$7))</f>
        <v>0</v>
      </c>
      <c r="O19" s="32">
        <f>SUM(C19:N19)</f>
        <v>0</v>
      </c>
    </row>
    <row r="20" spans="2:15">
      <c r="B20" s="31">
        <v>2025</v>
      </c>
      <c r="C20" s="24">
        <f>IF($I$7="Mogas-eq (kbd)",SUMIFS(tPADD[mogas],tPADD[year],B20,tPADD[month],1,tPADD[key],$C$7,tPADD[type],$F$7),SUMIFS(tPADD[kbd],tPADD[year],B20,tPADD[month],1,tPADD[key],$C$7,tPADD[type],$F$7))</f>
        <v>0</v>
      </c>
      <c r="D20" s="24">
        <f>IF($I$7="Mogas-eq (kbd)",SUMIFS(tPADD[mogas],tPADD[year],B20,tPADD[month],2,tPADD[key],$C$7,tPADD[type],$F$7),SUMIFS(tPADD[kbd],tPADD[year],B20,tPADD[month],2,tPADD[key],$C$7,tPADD[type],$F$7))</f>
        <v>0</v>
      </c>
      <c r="E20" s="24">
        <f>IF($I$7="Mogas-eq (kbd)",SUMIFS(tPADD[mogas],tPADD[year],B20,tPADD[month],3,tPADD[key],$C$7,tPADD[type],$F$7),SUMIFS(tPADD[kbd],tPADD[year],B20,tPADD[month],3,tPADD[key],$C$7,tPADD[type],$F$7))</f>
        <v>0</v>
      </c>
      <c r="F20" s="24">
        <f>IF($I$7="Mogas-eq (kbd)",SUMIFS(tPADD[mogas],tPADD[year],B20,tPADD[month],4,tPADD[key],$C$7,tPADD[type],$F$7),SUMIFS(tPADD[kbd],tPADD[year],B20,tPADD[month],4,tPADD[key],$C$7,tPADD[type],$F$7))</f>
        <v>0</v>
      </c>
      <c r="G20" s="24">
        <f>IF($I$7="Mogas-eq (kbd)",SUMIFS(tPADD[mogas],tPADD[year],B20,tPADD[month],5,tPADD[key],$C$7,tPADD[type],$F$7),SUMIFS(tPADD[kbd],tPADD[year],B20,tPADD[month],5,tPADD[key],$C$7,tPADD[type],$F$7))</f>
        <v>0</v>
      </c>
      <c r="H20" s="24">
        <f>IF($I$7="Mogas-eq (kbd)",SUMIFS(tPADD[mogas],tPADD[year],B20,tPADD[month],6,tPADD[key],$C$7,tPADD[type],$F$7),SUMIFS(tPADD[kbd],tPADD[year],B20,tPADD[month],6,tPADD[key],$C$7,tPADD[type],$F$7))</f>
        <v>0</v>
      </c>
      <c r="I20" s="24">
        <f>IF($I$7="Mogas-eq (kbd)",SUMIFS(tPADD[mogas],tPADD[year],B20,tPADD[month],7,tPADD[key],$C$7,tPADD[type],$F$7),SUMIFS(tPADD[kbd],tPADD[year],B20,tPADD[month],7,tPADD[key],$C$7,tPADD[type],$F$7))</f>
        <v>0</v>
      </c>
      <c r="J20" s="24">
        <f>IF($I$7="Mogas-eq (kbd)",SUMIFS(tPADD[mogas],tPADD[year],B20,tPADD[month],8,tPADD[key],$C$7,tPADD[type],$F$7),SUMIFS(tPADD[kbd],tPADD[year],B20,tPADD[month],8,tPADD[key],$C$7,tPADD[type],$F$7))</f>
        <v>0</v>
      </c>
      <c r="K20" s="24">
        <f>IF($I$7="Mogas-eq (kbd)",SUMIFS(tPADD[mogas],tPADD[year],B20,tPADD[month],9,tPADD[key],$C$7,tPADD[type],$F$7),SUMIFS(tPADD[kbd],tPADD[year],B20,tPADD[month],9,tPADD[key],$C$7,tPADD[type],$F$7))</f>
        <v>0</v>
      </c>
      <c r="L20" s="24">
        <f>IF($I$7="Mogas-eq (kbd)",SUMIFS(tPADD[mogas],tPADD[year],B20,tPADD[month],10,tPADD[key],$C$7,tPADD[type],$F$7),SUMIFS(tPADD[kbd],tPADD[year],B20,tPADD[month],10,tPADD[key],$C$7,tPADD[type],$F$7))</f>
        <v>0</v>
      </c>
      <c r="M20" s="24">
        <f>IF($I$7="Mogas-eq (kbd)",SUMIFS(tPADD[mogas],tPADD[year],B20,tPADD[month],11,tPADD[key],$C$7,tPADD[type],$F$7),SUMIFS(tPADD[kbd],tPADD[year],B20,tPADD[month],11,tPADD[key],$C$7,tPADD[type],$F$7))</f>
        <v>0</v>
      </c>
      <c r="N20" s="24">
        <f>IF($I$7="Mogas-eq (kbd)",SUMIFS(tPADD[mogas],tPADD[year],B20,tPADD[month],12,tPADD[key],$C$7,tPADD[type],$F$7),SUMIFS(tPADD[kbd],tPADD[year],B20,tPADD[month],12,tPADD[key],$C$7,tPADD[type],$F$7))</f>
        <v>0</v>
      </c>
      <c r="O20" s="32">
        <f>SUM(C20:N20)</f>
        <v>0</v>
      </c>
    </row>
    <row r="21" spans="2:15">
      <c r="B21" s="33">
        <v>2026</v>
      </c>
      <c r="C21" s="34">
        <f>IF($I$7="Mogas-eq (kbd)",SUMIFS(tPADD[mogas],tPADD[year],B21,tPADD[month],1,tPADD[key],$C$7,tPADD[type],$F$7),SUMIFS(tPADD[kbd],tPADD[year],B21,tPADD[month],1,tPADD[key],$C$7,tPADD[type],$F$7))</f>
        <v>0</v>
      </c>
      <c r="D21" s="34">
        <f>IF($I$7="Mogas-eq (kbd)",SUMIFS(tPADD[mogas],tPADD[year],B21,tPADD[month],2,tPADD[key],$C$7,tPADD[type],$F$7),SUMIFS(tPADD[kbd],tPADD[year],B21,tPADD[month],2,tPADD[key],$C$7,tPADD[type],$F$7))</f>
        <v>0</v>
      </c>
      <c r="E21" s="34">
        <f>IF($I$7="Mogas-eq (kbd)",SUMIFS(tPADD[mogas],tPADD[year],B21,tPADD[month],3,tPADD[key],$C$7,tPADD[type],$F$7),SUMIFS(tPADD[kbd],tPADD[year],B21,tPADD[month],3,tPADD[key],$C$7,tPADD[type],$F$7))</f>
        <v>0</v>
      </c>
      <c r="F21" s="34">
        <f>IF($I$7="Mogas-eq (kbd)",SUMIFS(tPADD[mogas],tPADD[year],B21,tPADD[month],4,tPADD[key],$C$7,tPADD[type],$F$7),SUMIFS(tPADD[kbd],tPADD[year],B21,tPADD[month],4,tPADD[key],$C$7,tPADD[type],$F$7))</f>
        <v>0</v>
      </c>
      <c r="G21" s="34">
        <f>IF($I$7="Mogas-eq (kbd)",SUMIFS(tPADD[mogas],tPADD[year],B21,tPADD[month],5,tPADD[key],$C$7,tPADD[type],$F$7),SUMIFS(tPADD[kbd],tPADD[year],B21,tPADD[month],5,tPADD[key],$C$7,tPADD[type],$F$7))</f>
        <v>0</v>
      </c>
      <c r="H21" s="34">
        <f>IF($I$7="Mogas-eq (kbd)",SUMIFS(tPADD[mogas],tPADD[year],B21,tPADD[month],6,tPADD[key],$C$7,tPADD[type],$F$7),SUMIFS(tPADD[kbd],tPADD[year],B21,tPADD[month],6,tPADD[key],$C$7,tPADD[type],$F$7))</f>
        <v>0</v>
      </c>
      <c r="I21" s="34">
        <f>IF($I$7="Mogas-eq (kbd)",SUMIFS(tPADD[mogas],tPADD[year],B21,tPADD[month],7,tPADD[key],$C$7,tPADD[type],$F$7),SUMIFS(tPADD[kbd],tPADD[year],B21,tPADD[month],7,tPADD[key],$C$7,tPADD[type],$F$7))</f>
        <v>0</v>
      </c>
      <c r="J21" s="34">
        <f>IF($I$7="Mogas-eq (kbd)",SUMIFS(tPADD[mogas],tPADD[year],B21,tPADD[month],8,tPADD[key],$C$7,tPADD[type],$F$7),SUMIFS(tPADD[kbd],tPADD[year],B21,tPADD[month],8,tPADD[key],$C$7,tPADD[type],$F$7))</f>
        <v>0</v>
      </c>
      <c r="K21" s="34">
        <f>IF($I$7="Mogas-eq (kbd)",SUMIFS(tPADD[mogas],tPADD[year],B21,tPADD[month],9,tPADD[key],$C$7,tPADD[type],$F$7),SUMIFS(tPADD[kbd],tPADD[year],B21,tPADD[month],9,tPADD[key],$C$7,tPADD[type],$F$7))</f>
        <v>0</v>
      </c>
      <c r="L21" s="34">
        <f>IF($I$7="Mogas-eq (kbd)",SUMIFS(tPADD[mogas],tPADD[year],B21,tPADD[month],10,tPADD[key],$C$7,tPADD[type],$F$7),SUMIFS(tPADD[kbd],tPADD[year],B21,tPADD[month],10,tPADD[key],$C$7,tPADD[type],$F$7))</f>
        <v>0</v>
      </c>
      <c r="M21" s="34">
        <f>IF($I$7="Mogas-eq (kbd)",SUMIFS(tPADD[mogas],tPADD[year],B21,tPADD[month],11,tPADD[key],$C$7,tPADD[type],$F$7),SUMIFS(tPADD[kbd],tPADD[year],B21,tPADD[month],11,tPADD[key],$C$7,tPADD[type],$F$7))</f>
        <v>0</v>
      </c>
      <c r="N21" s="34">
        <f>IF($I$7="Mogas-eq (kbd)",SUMIFS(tPADD[mogas],tPADD[year],B21,tPADD[month],12,tPADD[key],$C$7,tPADD[type],$F$7),SUMIFS(tPADD[kbd],tPADD[year],B21,tPADD[month],12,tPADD[key],$C$7,tPADD[type],$F$7))</f>
        <v>0</v>
      </c>
      <c r="O21" s="34">
        <f>SUM(C21:N21)</f>
        <v>0</v>
      </c>
    </row>
    <row r="22" spans="2:15">
      <c r="B22" s="33">
        <v>2027</v>
      </c>
      <c r="C22" s="34">
        <f>IF($I$7="Mogas-eq (kbd)",SUMIFS(tPADD[mogas],tPADD[year],B22,tPADD[month],1,tPADD[key],$C$7,tPADD[type],$F$7),SUMIFS(tPADD[kbd],tPADD[year],B22,tPADD[month],1,tPADD[key],$C$7,tPADD[type],$F$7))</f>
        <v>0</v>
      </c>
      <c r="D22" s="34">
        <f>IF($I$7="Mogas-eq (kbd)",SUMIFS(tPADD[mogas],tPADD[year],B22,tPADD[month],2,tPADD[key],$C$7,tPADD[type],$F$7),SUMIFS(tPADD[kbd],tPADD[year],B22,tPADD[month],2,tPADD[key],$C$7,tPADD[type],$F$7))</f>
        <v>0</v>
      </c>
      <c r="E22" s="34">
        <f>IF($I$7="Mogas-eq (kbd)",SUMIFS(tPADD[mogas],tPADD[year],B22,tPADD[month],3,tPADD[key],$C$7,tPADD[type],$F$7),SUMIFS(tPADD[kbd],tPADD[year],B22,tPADD[month],3,tPADD[key],$C$7,tPADD[type],$F$7))</f>
        <v>0</v>
      </c>
      <c r="F22" s="34">
        <f>IF($I$7="Mogas-eq (kbd)",SUMIFS(tPADD[mogas],tPADD[year],B22,tPADD[month],4,tPADD[key],$C$7,tPADD[type],$F$7),SUMIFS(tPADD[kbd],tPADD[year],B22,tPADD[month],4,tPADD[key],$C$7,tPADD[type],$F$7))</f>
        <v>0</v>
      </c>
      <c r="G22" s="34">
        <f>IF($I$7="Mogas-eq (kbd)",SUMIFS(tPADD[mogas],tPADD[year],B22,tPADD[month],5,tPADD[key],$C$7,tPADD[type],$F$7),SUMIFS(tPADD[kbd],tPADD[year],B22,tPADD[month],5,tPADD[key],$C$7,tPADD[type],$F$7))</f>
        <v>0</v>
      </c>
      <c r="H22" s="34">
        <f>IF($I$7="Mogas-eq (kbd)",SUMIFS(tPADD[mogas],tPADD[year],B22,tPADD[month],6,tPADD[key],$C$7,tPADD[type],$F$7),SUMIFS(tPADD[kbd],tPADD[year],B22,tPADD[month],6,tPADD[key],$C$7,tPADD[type],$F$7))</f>
        <v>0</v>
      </c>
      <c r="I22" s="34">
        <f>IF($I$7="Mogas-eq (kbd)",SUMIFS(tPADD[mogas],tPADD[year],B22,tPADD[month],7,tPADD[key],$C$7,tPADD[type],$F$7),SUMIFS(tPADD[kbd],tPADD[year],B22,tPADD[month],7,tPADD[key],$C$7,tPADD[type],$F$7))</f>
        <v>0</v>
      </c>
      <c r="J22" s="34">
        <f>IF($I$7="Mogas-eq (kbd)",SUMIFS(tPADD[mogas],tPADD[year],B22,tPADD[month],8,tPADD[key],$C$7,tPADD[type],$F$7),SUMIFS(tPADD[kbd],tPADD[year],B22,tPADD[month],8,tPADD[key],$C$7,tPADD[type],$F$7))</f>
        <v>0</v>
      </c>
      <c r="K22" s="34">
        <f>IF($I$7="Mogas-eq (kbd)",SUMIFS(tPADD[mogas],tPADD[year],B22,tPADD[month],9,tPADD[key],$C$7,tPADD[type],$F$7),SUMIFS(tPADD[kbd],tPADD[year],B22,tPADD[month],9,tPADD[key],$C$7,tPADD[type],$F$7))</f>
        <v>0</v>
      </c>
      <c r="L22" s="34">
        <f>IF($I$7="Mogas-eq (kbd)",SUMIFS(tPADD[mogas],tPADD[year],B22,tPADD[month],10,tPADD[key],$C$7,tPADD[type],$F$7),SUMIFS(tPADD[kbd],tPADD[year],B22,tPADD[month],10,tPADD[key],$C$7,tPADD[type],$F$7))</f>
        <v>0</v>
      </c>
      <c r="M22" s="34">
        <f>IF($I$7="Mogas-eq (kbd)",SUMIFS(tPADD[mogas],tPADD[year],B22,tPADD[month],11,tPADD[key],$C$7,tPADD[type],$F$7),SUMIFS(tPADD[kbd],tPADD[year],B22,tPADD[month],11,tPADD[key],$C$7,tPADD[type],$F$7))</f>
        <v>0</v>
      </c>
      <c r="N22" s="34">
        <f>IF($I$7="Mogas-eq (kbd)",SUMIFS(tPADD[mogas],tPADD[year],B22,tPADD[month],12,tPADD[key],$C$7,tPADD[type],$F$7),SUMIFS(tPADD[kbd],tPADD[year],B22,tPADD[month],12,tPADD[key],$C$7,tPADD[type],$F$7))</f>
        <v>0</v>
      </c>
      <c r="O22" s="34">
        <f>SUM(C22:N22)</f>
        <v>0</v>
      </c>
    </row>
    <row r="24" spans="2:15" ht="19" customHeight="1">
      <c r="B24" s="6" t="s">
        <v>115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2:15">
      <c r="B25" s="21" t="s">
        <v>90</v>
      </c>
      <c r="C25" s="22" t="s">
        <v>92</v>
      </c>
      <c r="D25" s="22" t="s">
        <v>93</v>
      </c>
      <c r="E25" s="22" t="s">
        <v>94</v>
      </c>
      <c r="F25" s="22" t="s">
        <v>95</v>
      </c>
      <c r="G25" s="22" t="s">
        <v>96</v>
      </c>
      <c r="H25" s="22" t="s">
        <v>97</v>
      </c>
      <c r="I25" s="22" t="s">
        <v>98</v>
      </c>
      <c r="J25" s="22" t="s">
        <v>99</v>
      </c>
      <c r="K25" s="22" t="s">
        <v>100</v>
      </c>
      <c r="L25" s="22" t="s">
        <v>101</v>
      </c>
      <c r="M25" s="22" t="s">
        <v>102</v>
      </c>
      <c r="N25" s="22" t="s">
        <v>103</v>
      </c>
    </row>
    <row r="26" spans="2:15">
      <c r="B26" s="31">
        <v>2016</v>
      </c>
      <c r="C26" s="35" t="s">
        <v>116</v>
      </c>
      <c r="D26" s="35" t="s">
        <v>116</v>
      </c>
      <c r="E26" s="35" t="s">
        <v>116</v>
      </c>
      <c r="F26" s="35" t="s">
        <v>116</v>
      </c>
      <c r="G26" s="35" t="s">
        <v>116</v>
      </c>
      <c r="H26" s="35" t="s">
        <v>116</v>
      </c>
      <c r="I26" s="35" t="s">
        <v>116</v>
      </c>
      <c r="J26" s="35" t="s">
        <v>116</v>
      </c>
      <c r="K26" s="35" t="s">
        <v>116</v>
      </c>
      <c r="L26" s="35" t="s">
        <v>116</v>
      </c>
      <c r="M26" s="35" t="s">
        <v>116</v>
      </c>
      <c r="N26" s="35" t="s">
        <v>116</v>
      </c>
    </row>
    <row r="27" spans="2:15">
      <c r="B27" s="31">
        <v>2017</v>
      </c>
      <c r="C27" s="36">
        <f>IF(C11=0,"n/a",(C12-C11)/C11)</f>
        <v>0</v>
      </c>
      <c r="D27" s="36">
        <f>IF(D11=0,"n/a",(D12-D11)/D11)</f>
        <v>0</v>
      </c>
      <c r="E27" s="36">
        <f>IF(E11=0,"n/a",(E12-E11)/E11)</f>
        <v>0</v>
      </c>
      <c r="F27" s="36">
        <f>IF(F11=0,"n/a",(F12-F11)/F11)</f>
        <v>0</v>
      </c>
      <c r="G27" s="36">
        <f>IF(G11=0,"n/a",(G12-G11)/G11)</f>
        <v>0</v>
      </c>
      <c r="H27" s="36">
        <f>IF(H11=0,"n/a",(H12-H11)/H11)</f>
        <v>0</v>
      </c>
      <c r="I27" s="36">
        <f>IF(I11=0,"n/a",(I12-I11)/I11)</f>
        <v>0</v>
      </c>
      <c r="J27" s="36">
        <f>IF(J11=0,"n/a",(J12-J11)/J11)</f>
        <v>0</v>
      </c>
      <c r="K27" s="36">
        <f>IF(K11=0,"n/a",(K12-K11)/K11)</f>
        <v>0</v>
      </c>
      <c r="L27" s="36">
        <f>IF(L11=0,"n/a",(L12-L11)/L11)</f>
        <v>0</v>
      </c>
      <c r="M27" s="36">
        <f>IF(M11=0,"n/a",(M12-M11)/M11)</f>
        <v>0</v>
      </c>
      <c r="N27" s="36">
        <f>IF(N11=0,"n/a",(N12-N11)/N11)</f>
        <v>0</v>
      </c>
    </row>
    <row r="28" spans="2:15">
      <c r="B28" s="31">
        <v>2018</v>
      </c>
      <c r="C28" s="36">
        <f>IF(C12=0,"n/a",(C13-C12)/C12)</f>
        <v>0</v>
      </c>
      <c r="D28" s="36">
        <f>IF(D12=0,"n/a",(D13-D12)/D12)</f>
        <v>0</v>
      </c>
      <c r="E28" s="36">
        <f>IF(E12=0,"n/a",(E13-E12)/E12)</f>
        <v>0</v>
      </c>
      <c r="F28" s="36">
        <f>IF(F12=0,"n/a",(F13-F12)/F12)</f>
        <v>0</v>
      </c>
      <c r="G28" s="36">
        <f>IF(G12=0,"n/a",(G13-G12)/G12)</f>
        <v>0</v>
      </c>
      <c r="H28" s="36">
        <f>IF(H12=0,"n/a",(H13-H12)/H12)</f>
        <v>0</v>
      </c>
      <c r="I28" s="36">
        <f>IF(I12=0,"n/a",(I13-I12)/I12)</f>
        <v>0</v>
      </c>
      <c r="J28" s="36">
        <f>IF(J12=0,"n/a",(J13-J12)/J12)</f>
        <v>0</v>
      </c>
      <c r="K28" s="36">
        <f>IF(K12=0,"n/a",(K13-K12)/K12)</f>
        <v>0</v>
      </c>
      <c r="L28" s="36">
        <f>IF(L12=0,"n/a",(L13-L12)/L12)</f>
        <v>0</v>
      </c>
      <c r="M28" s="36">
        <f>IF(M12=0,"n/a",(M13-M12)/M12)</f>
        <v>0</v>
      </c>
      <c r="N28" s="36">
        <f>IF(N12=0,"n/a",(N13-N12)/N12)</f>
        <v>0</v>
      </c>
    </row>
    <row r="29" spans="2:15">
      <c r="B29" s="31">
        <v>2019</v>
      </c>
      <c r="C29" s="36">
        <f>IF(C13=0,"n/a",(C14-C13)/C13)</f>
        <v>0</v>
      </c>
      <c r="D29" s="36">
        <f>IF(D13=0,"n/a",(D14-D13)/D13)</f>
        <v>0</v>
      </c>
      <c r="E29" s="36">
        <f>IF(E13=0,"n/a",(E14-E13)/E13)</f>
        <v>0</v>
      </c>
      <c r="F29" s="36">
        <f>IF(F13=0,"n/a",(F14-F13)/F13)</f>
        <v>0</v>
      </c>
      <c r="G29" s="36">
        <f>IF(G13=0,"n/a",(G14-G13)/G13)</f>
        <v>0</v>
      </c>
      <c r="H29" s="36">
        <f>IF(H13=0,"n/a",(H14-H13)/H13)</f>
        <v>0</v>
      </c>
      <c r="I29" s="36">
        <f>IF(I13=0,"n/a",(I14-I13)/I13)</f>
        <v>0</v>
      </c>
      <c r="J29" s="36">
        <f>IF(J13=0,"n/a",(J14-J13)/J13)</f>
        <v>0</v>
      </c>
      <c r="K29" s="36">
        <f>IF(K13=0,"n/a",(K14-K13)/K13)</f>
        <v>0</v>
      </c>
      <c r="L29" s="36">
        <f>IF(L13=0,"n/a",(L14-L13)/L13)</f>
        <v>0</v>
      </c>
      <c r="M29" s="36">
        <f>IF(M13=0,"n/a",(M14-M13)/M13)</f>
        <v>0</v>
      </c>
      <c r="N29" s="36">
        <f>IF(N13=0,"n/a",(N14-N13)/N13)</f>
        <v>0</v>
      </c>
    </row>
    <row r="30" spans="2:15">
      <c r="B30" s="31">
        <v>2020</v>
      </c>
      <c r="C30" s="36">
        <f>IF(C14=0,"n/a",(C15-C14)/C14)</f>
        <v>0</v>
      </c>
      <c r="D30" s="36">
        <f>IF(D14=0,"n/a",(D15-D14)/D14)</f>
        <v>0</v>
      </c>
      <c r="E30" s="36">
        <f>IF(E14=0,"n/a",(E15-E14)/E14)</f>
        <v>0</v>
      </c>
      <c r="F30" s="36">
        <f>IF(F14=0,"n/a",(F15-F14)/F14)</f>
        <v>0</v>
      </c>
      <c r="G30" s="36">
        <f>IF(G14=0,"n/a",(G15-G14)/G14)</f>
        <v>0</v>
      </c>
      <c r="H30" s="36">
        <f>IF(H14=0,"n/a",(H15-H14)/H14)</f>
        <v>0</v>
      </c>
      <c r="I30" s="36">
        <f>IF(I14=0,"n/a",(I15-I14)/I14)</f>
        <v>0</v>
      </c>
      <c r="J30" s="36">
        <f>IF(J14=0,"n/a",(J15-J14)/J14)</f>
        <v>0</v>
      </c>
      <c r="K30" s="36">
        <f>IF(K14=0,"n/a",(K15-K14)/K14)</f>
        <v>0</v>
      </c>
      <c r="L30" s="36">
        <f>IF(L14=0,"n/a",(L15-L14)/L14)</f>
        <v>0</v>
      </c>
      <c r="M30" s="36">
        <f>IF(M14=0,"n/a",(M15-M14)/M14)</f>
        <v>0</v>
      </c>
      <c r="N30" s="36">
        <f>IF(N14=0,"n/a",(N15-N14)/N14)</f>
        <v>0</v>
      </c>
    </row>
    <row r="31" spans="2:15">
      <c r="B31" s="31">
        <v>2021</v>
      </c>
      <c r="C31" s="36">
        <f>IF(C15=0,"n/a",(C16-C15)/C15)</f>
        <v>0</v>
      </c>
      <c r="D31" s="36">
        <f>IF(D15=0,"n/a",(D16-D15)/D15)</f>
        <v>0</v>
      </c>
      <c r="E31" s="36">
        <f>IF(E15=0,"n/a",(E16-E15)/E15)</f>
        <v>0</v>
      </c>
      <c r="F31" s="36">
        <f>IF(F15=0,"n/a",(F16-F15)/F15)</f>
        <v>0</v>
      </c>
      <c r="G31" s="36">
        <f>IF(G15=0,"n/a",(G16-G15)/G15)</f>
        <v>0</v>
      </c>
      <c r="H31" s="36">
        <f>IF(H15=0,"n/a",(H16-H15)/H15)</f>
        <v>0</v>
      </c>
      <c r="I31" s="36">
        <f>IF(I15=0,"n/a",(I16-I15)/I15)</f>
        <v>0</v>
      </c>
      <c r="J31" s="36">
        <f>IF(J15=0,"n/a",(J16-J15)/J15)</f>
        <v>0</v>
      </c>
      <c r="K31" s="36">
        <f>IF(K15=0,"n/a",(K16-K15)/K15)</f>
        <v>0</v>
      </c>
      <c r="L31" s="36">
        <f>IF(L15=0,"n/a",(L16-L15)/L15)</f>
        <v>0</v>
      </c>
      <c r="M31" s="36">
        <f>IF(M15=0,"n/a",(M16-M15)/M15)</f>
        <v>0</v>
      </c>
      <c r="N31" s="36">
        <f>IF(N15=0,"n/a",(N16-N15)/N15)</f>
        <v>0</v>
      </c>
    </row>
    <row r="32" spans="2:15">
      <c r="B32" s="31">
        <v>2022</v>
      </c>
      <c r="C32" s="36">
        <f>IF(C16=0,"n/a",(C17-C16)/C16)</f>
        <v>0</v>
      </c>
      <c r="D32" s="36">
        <f>IF(D16=0,"n/a",(D17-D16)/D16)</f>
        <v>0</v>
      </c>
      <c r="E32" s="36">
        <f>IF(E16=0,"n/a",(E17-E16)/E16)</f>
        <v>0</v>
      </c>
      <c r="F32" s="36">
        <f>IF(F16=0,"n/a",(F17-F16)/F16)</f>
        <v>0</v>
      </c>
      <c r="G32" s="36">
        <f>IF(G16=0,"n/a",(G17-G16)/G16)</f>
        <v>0</v>
      </c>
      <c r="H32" s="36">
        <f>IF(H16=0,"n/a",(H17-H16)/H16)</f>
        <v>0</v>
      </c>
      <c r="I32" s="36">
        <f>IF(I16=0,"n/a",(I17-I16)/I16)</f>
        <v>0</v>
      </c>
      <c r="J32" s="36">
        <f>IF(J16=0,"n/a",(J17-J16)/J16)</f>
        <v>0</v>
      </c>
      <c r="K32" s="36">
        <f>IF(K16=0,"n/a",(K17-K16)/K16)</f>
        <v>0</v>
      </c>
      <c r="L32" s="36">
        <f>IF(L16=0,"n/a",(L17-L16)/L16)</f>
        <v>0</v>
      </c>
      <c r="M32" s="36">
        <f>IF(M16=0,"n/a",(M17-M16)/M16)</f>
        <v>0</v>
      </c>
      <c r="N32" s="36">
        <f>IF(N16=0,"n/a",(N17-N16)/N16)</f>
        <v>0</v>
      </c>
    </row>
    <row r="33" spans="2:14">
      <c r="B33" s="31">
        <v>2023</v>
      </c>
      <c r="C33" s="36">
        <f>IF(C17=0,"n/a",(C18-C17)/C17)</f>
        <v>0</v>
      </c>
      <c r="D33" s="36">
        <f>IF(D17=0,"n/a",(D18-D17)/D17)</f>
        <v>0</v>
      </c>
      <c r="E33" s="36">
        <f>IF(E17=0,"n/a",(E18-E17)/E17)</f>
        <v>0</v>
      </c>
      <c r="F33" s="36">
        <f>IF(F17=0,"n/a",(F18-F17)/F17)</f>
        <v>0</v>
      </c>
      <c r="G33" s="36">
        <f>IF(G17=0,"n/a",(G18-G17)/G17)</f>
        <v>0</v>
      </c>
      <c r="H33" s="36">
        <f>IF(H17=0,"n/a",(H18-H17)/H17)</f>
        <v>0</v>
      </c>
      <c r="I33" s="36">
        <f>IF(I17=0,"n/a",(I18-I17)/I17)</f>
        <v>0</v>
      </c>
      <c r="J33" s="36">
        <f>IF(J17=0,"n/a",(J18-J17)/J17)</f>
        <v>0</v>
      </c>
      <c r="K33" s="36">
        <f>IF(K17=0,"n/a",(K18-K17)/K17)</f>
        <v>0</v>
      </c>
      <c r="L33" s="36">
        <f>IF(L17=0,"n/a",(L18-L17)/L17)</f>
        <v>0</v>
      </c>
      <c r="M33" s="36">
        <f>IF(M17=0,"n/a",(M18-M17)/M17)</f>
        <v>0</v>
      </c>
      <c r="N33" s="36">
        <f>IF(N17=0,"n/a",(N18-N17)/N17)</f>
        <v>0</v>
      </c>
    </row>
    <row r="34" spans="2:14">
      <c r="B34" s="31">
        <v>2024</v>
      </c>
      <c r="C34" s="36">
        <f>IF(C18=0,"n/a",(C19-C18)/C18)</f>
        <v>0</v>
      </c>
      <c r="D34" s="36">
        <f>IF(D18=0,"n/a",(D19-D18)/D18)</f>
        <v>0</v>
      </c>
      <c r="E34" s="36">
        <f>IF(E18=0,"n/a",(E19-E18)/E18)</f>
        <v>0</v>
      </c>
      <c r="F34" s="36">
        <f>IF(F18=0,"n/a",(F19-F18)/F18)</f>
        <v>0</v>
      </c>
      <c r="G34" s="36">
        <f>IF(G18=0,"n/a",(G19-G18)/G18)</f>
        <v>0</v>
      </c>
      <c r="H34" s="36">
        <f>IF(H18=0,"n/a",(H19-H18)/H18)</f>
        <v>0</v>
      </c>
      <c r="I34" s="36">
        <f>IF(I18=0,"n/a",(I19-I18)/I18)</f>
        <v>0</v>
      </c>
      <c r="J34" s="36">
        <f>IF(J18=0,"n/a",(J19-J18)/J18)</f>
        <v>0</v>
      </c>
      <c r="K34" s="36">
        <f>IF(K18=0,"n/a",(K19-K18)/K18)</f>
        <v>0</v>
      </c>
      <c r="L34" s="36">
        <f>IF(L18=0,"n/a",(L19-L18)/L18)</f>
        <v>0</v>
      </c>
      <c r="M34" s="36">
        <f>IF(M18=0,"n/a",(M19-M18)/M18)</f>
        <v>0</v>
      </c>
      <c r="N34" s="36">
        <f>IF(N18=0,"n/a",(N19-N18)/N18)</f>
        <v>0</v>
      </c>
    </row>
    <row r="35" spans="2:14">
      <c r="B35" s="31">
        <v>2025</v>
      </c>
      <c r="C35" s="36">
        <f>IF(C19=0,"n/a",(C20-C19)/C19)</f>
        <v>0</v>
      </c>
      <c r="D35" s="36">
        <f>IF(D19=0,"n/a",(D20-D19)/D19)</f>
        <v>0</v>
      </c>
      <c r="E35" s="36">
        <f>IF(E19=0,"n/a",(E20-E19)/E19)</f>
        <v>0</v>
      </c>
      <c r="F35" s="36">
        <f>IF(F19=0,"n/a",(F20-F19)/F19)</f>
        <v>0</v>
      </c>
      <c r="G35" s="36">
        <f>IF(G19=0,"n/a",(G20-G19)/G19)</f>
        <v>0</v>
      </c>
      <c r="H35" s="36">
        <f>IF(H19=0,"n/a",(H20-H19)/H19)</f>
        <v>0</v>
      </c>
      <c r="I35" s="36">
        <f>IF(I19=0,"n/a",(I20-I19)/I19)</f>
        <v>0</v>
      </c>
      <c r="J35" s="36">
        <f>IF(J19=0,"n/a",(J20-J19)/J19)</f>
        <v>0</v>
      </c>
      <c r="K35" s="36">
        <f>IF(K19=0,"n/a",(K20-K19)/K19)</f>
        <v>0</v>
      </c>
      <c r="L35" s="36">
        <f>IF(L19=0,"n/a",(L20-L19)/L19)</f>
        <v>0</v>
      </c>
      <c r="M35" s="36">
        <f>IF(M19=0,"n/a",(M20-M19)/M19)</f>
        <v>0</v>
      </c>
      <c r="N35" s="36">
        <f>IF(N19=0,"n/a",(N20-N19)/N19)</f>
        <v>0</v>
      </c>
    </row>
    <row r="36" spans="2:14">
      <c r="B36" s="33">
        <v>2026</v>
      </c>
      <c r="C36" s="37">
        <f>IF(C20=0,"n/a",(C21-C20)/C20)</f>
        <v>0</v>
      </c>
      <c r="D36" s="37">
        <f>IF(D20=0,"n/a",(D21-D20)/D20)</f>
        <v>0</v>
      </c>
      <c r="E36" s="37">
        <f>IF(E20=0,"n/a",(E21-E20)/E20)</f>
        <v>0</v>
      </c>
      <c r="F36" s="37">
        <f>IF(F20=0,"n/a",(F21-F20)/F20)</f>
        <v>0</v>
      </c>
      <c r="G36" s="37">
        <f>IF(G20=0,"n/a",(G21-G20)/G20)</f>
        <v>0</v>
      </c>
      <c r="H36" s="37">
        <f>IF(H20=0,"n/a",(H21-H20)/H20)</f>
        <v>0</v>
      </c>
      <c r="I36" s="37">
        <f>IF(I20=0,"n/a",(I21-I20)/I20)</f>
        <v>0</v>
      </c>
      <c r="J36" s="37">
        <f>IF(J20=0,"n/a",(J21-J20)/J20)</f>
        <v>0</v>
      </c>
      <c r="K36" s="37">
        <f>IF(K20=0,"n/a",(K21-K20)/K20)</f>
        <v>0</v>
      </c>
      <c r="L36" s="37">
        <f>IF(L20=0,"n/a",(L21-L20)/L20)</f>
        <v>0</v>
      </c>
      <c r="M36" s="37">
        <f>IF(M20=0,"n/a",(M21-M20)/M20)</f>
        <v>0</v>
      </c>
      <c r="N36" s="37">
        <f>IF(N20=0,"n/a",(N21-N20)/N20)</f>
        <v>0</v>
      </c>
    </row>
    <row r="37" spans="2:14">
      <c r="B37" s="33">
        <v>2027</v>
      </c>
      <c r="C37" s="37">
        <f>IF(C21=0,"n/a",(C22-C21)/C21)</f>
        <v>0</v>
      </c>
      <c r="D37" s="37">
        <f>IF(D21=0,"n/a",(D22-D21)/D21)</f>
        <v>0</v>
      </c>
      <c r="E37" s="37">
        <f>IF(E21=0,"n/a",(E22-E21)/E21)</f>
        <v>0</v>
      </c>
      <c r="F37" s="37">
        <f>IF(F21=0,"n/a",(F22-F21)/F21)</f>
        <v>0</v>
      </c>
      <c r="G37" s="37">
        <f>IF(G21=0,"n/a",(G22-G21)/G21)</f>
        <v>0</v>
      </c>
      <c r="H37" s="37">
        <f>IF(H21=0,"n/a",(H22-H21)/H21)</f>
        <v>0</v>
      </c>
      <c r="I37" s="37">
        <f>IF(I21=0,"n/a",(I22-I21)/I21)</f>
        <v>0</v>
      </c>
      <c r="J37" s="37">
        <f>IF(J21=0,"n/a",(J22-J21)/J21)</f>
        <v>0</v>
      </c>
      <c r="K37" s="37">
        <f>IF(K21=0,"n/a",(K22-K21)/K21)</f>
        <v>0</v>
      </c>
      <c r="L37" s="37">
        <f>IF(L21=0,"n/a",(L22-L21)/L21)</f>
        <v>0</v>
      </c>
      <c r="M37" s="37">
        <f>IF(M21=0,"n/a",(M22-M21)/M21)</f>
        <v>0</v>
      </c>
      <c r="N37" s="37">
        <f>IF(N21=0,"n/a",(N22-N21)/N21)</f>
        <v>0</v>
      </c>
    </row>
    <row r="56" spans="2:15" ht="19" customHeight="1">
      <c r="B56" s="38" t="s">
        <v>117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2:15">
      <c r="B57" s="27" t="s">
        <v>108</v>
      </c>
      <c r="C57" s="28" t="s">
        <v>15</v>
      </c>
      <c r="D57" s="28"/>
      <c r="E57" s="27" t="s">
        <v>109</v>
      </c>
      <c r="F57" s="28" t="s">
        <v>3</v>
      </c>
      <c r="G57" s="28"/>
      <c r="H57" s="27" t="s">
        <v>110</v>
      </c>
      <c r="I57" s="28" t="s">
        <v>111</v>
      </c>
      <c r="J57" s="28"/>
      <c r="K57" s="28"/>
      <c r="M57" s="3" t="s">
        <v>112</v>
      </c>
      <c r="N57" s="29">
        <f>O70</f>
        <v>0</v>
      </c>
    </row>
    <row r="58" spans="2:15">
      <c r="B58" s="30">
        <f>"▶  Showing:   "&amp;$C$57&amp;"   ·   "&amp;$F$57&amp;"   ·   "&amp;$I$57&amp;"      (monthly kbd by year - hover a yellow cell for tips)"</f>
        <v>0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spans="2:15" ht="19" customHeight="1">
      <c r="B59" s="8" t="s">
        <v>113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2:15">
      <c r="B60" s="21" t="s">
        <v>90</v>
      </c>
      <c r="C60" s="22" t="s">
        <v>92</v>
      </c>
      <c r="D60" s="22" t="s">
        <v>93</v>
      </c>
      <c r="E60" s="22" t="s">
        <v>94</v>
      </c>
      <c r="F60" s="22" t="s">
        <v>95</v>
      </c>
      <c r="G60" s="22" t="s">
        <v>96</v>
      </c>
      <c r="H60" s="22" t="s">
        <v>97</v>
      </c>
      <c r="I60" s="22" t="s">
        <v>98</v>
      </c>
      <c r="J60" s="22" t="s">
        <v>99</v>
      </c>
      <c r="K60" s="22" t="s">
        <v>100</v>
      </c>
      <c r="L60" s="22" t="s">
        <v>101</v>
      </c>
      <c r="M60" s="22" t="s">
        <v>102</v>
      </c>
      <c r="N60" s="22" t="s">
        <v>103</v>
      </c>
      <c r="O60" s="22" t="s">
        <v>114</v>
      </c>
    </row>
    <row r="61" spans="2:15">
      <c r="B61" s="31">
        <v>2016</v>
      </c>
      <c r="C61" s="24">
        <f>IF($I$57="Mogas-eq (kbd)",SUMIFS(tUNIT[mogas],tUNIT[year],B61,tUNIT[month],1,tUNIT[key],$C$57,tUNIT[type],$F$57),SUMIFS(tUNIT[kbd],tUNIT[year],B61,tUNIT[month],1,tUNIT[key],$C$57,tUNIT[type],$F$57))</f>
        <v>0</v>
      </c>
      <c r="D61" s="24">
        <f>IF($I$57="Mogas-eq (kbd)",SUMIFS(tUNIT[mogas],tUNIT[year],B61,tUNIT[month],2,tUNIT[key],$C$57,tUNIT[type],$F$57),SUMIFS(tUNIT[kbd],tUNIT[year],B61,tUNIT[month],2,tUNIT[key],$C$57,tUNIT[type],$F$57))</f>
        <v>0</v>
      </c>
      <c r="E61" s="24">
        <f>IF($I$57="Mogas-eq (kbd)",SUMIFS(tUNIT[mogas],tUNIT[year],B61,tUNIT[month],3,tUNIT[key],$C$57,tUNIT[type],$F$57),SUMIFS(tUNIT[kbd],tUNIT[year],B61,tUNIT[month],3,tUNIT[key],$C$57,tUNIT[type],$F$57))</f>
        <v>0</v>
      </c>
      <c r="F61" s="24">
        <f>IF($I$57="Mogas-eq (kbd)",SUMIFS(tUNIT[mogas],tUNIT[year],B61,tUNIT[month],4,tUNIT[key],$C$57,tUNIT[type],$F$57),SUMIFS(tUNIT[kbd],tUNIT[year],B61,tUNIT[month],4,tUNIT[key],$C$57,tUNIT[type],$F$57))</f>
        <v>0</v>
      </c>
      <c r="G61" s="24">
        <f>IF($I$57="Mogas-eq (kbd)",SUMIFS(tUNIT[mogas],tUNIT[year],B61,tUNIT[month],5,tUNIT[key],$C$57,tUNIT[type],$F$57),SUMIFS(tUNIT[kbd],tUNIT[year],B61,tUNIT[month],5,tUNIT[key],$C$57,tUNIT[type],$F$57))</f>
        <v>0</v>
      </c>
      <c r="H61" s="24">
        <f>IF($I$57="Mogas-eq (kbd)",SUMIFS(tUNIT[mogas],tUNIT[year],B61,tUNIT[month],6,tUNIT[key],$C$57,tUNIT[type],$F$57),SUMIFS(tUNIT[kbd],tUNIT[year],B61,tUNIT[month],6,tUNIT[key],$C$57,tUNIT[type],$F$57))</f>
        <v>0</v>
      </c>
      <c r="I61" s="24">
        <f>IF($I$57="Mogas-eq (kbd)",SUMIFS(tUNIT[mogas],tUNIT[year],B61,tUNIT[month],7,tUNIT[key],$C$57,tUNIT[type],$F$57),SUMIFS(tUNIT[kbd],tUNIT[year],B61,tUNIT[month],7,tUNIT[key],$C$57,tUNIT[type],$F$57))</f>
        <v>0</v>
      </c>
      <c r="J61" s="24">
        <f>IF($I$57="Mogas-eq (kbd)",SUMIFS(tUNIT[mogas],tUNIT[year],B61,tUNIT[month],8,tUNIT[key],$C$57,tUNIT[type],$F$57),SUMIFS(tUNIT[kbd],tUNIT[year],B61,tUNIT[month],8,tUNIT[key],$C$57,tUNIT[type],$F$57))</f>
        <v>0</v>
      </c>
      <c r="K61" s="24">
        <f>IF($I$57="Mogas-eq (kbd)",SUMIFS(tUNIT[mogas],tUNIT[year],B61,tUNIT[month],9,tUNIT[key],$C$57,tUNIT[type],$F$57),SUMIFS(tUNIT[kbd],tUNIT[year],B61,tUNIT[month],9,tUNIT[key],$C$57,tUNIT[type],$F$57))</f>
        <v>0</v>
      </c>
      <c r="L61" s="24">
        <f>IF($I$57="Mogas-eq (kbd)",SUMIFS(tUNIT[mogas],tUNIT[year],B61,tUNIT[month],10,tUNIT[key],$C$57,tUNIT[type],$F$57),SUMIFS(tUNIT[kbd],tUNIT[year],B61,tUNIT[month],10,tUNIT[key],$C$57,tUNIT[type],$F$57))</f>
        <v>0</v>
      </c>
      <c r="M61" s="24">
        <f>IF($I$57="Mogas-eq (kbd)",SUMIFS(tUNIT[mogas],tUNIT[year],B61,tUNIT[month],11,tUNIT[key],$C$57,tUNIT[type],$F$57),SUMIFS(tUNIT[kbd],tUNIT[year],B61,tUNIT[month],11,tUNIT[key],$C$57,tUNIT[type],$F$57))</f>
        <v>0</v>
      </c>
      <c r="N61" s="24">
        <f>IF($I$57="Mogas-eq (kbd)",SUMIFS(tUNIT[mogas],tUNIT[year],B61,tUNIT[month],12,tUNIT[key],$C$57,tUNIT[type],$F$57),SUMIFS(tUNIT[kbd],tUNIT[year],B61,tUNIT[month],12,tUNIT[key],$C$57,tUNIT[type],$F$57))</f>
        <v>0</v>
      </c>
      <c r="O61" s="32">
        <f>SUM(C61:N61)</f>
        <v>0</v>
      </c>
    </row>
    <row r="62" spans="2:15">
      <c r="B62" s="31">
        <v>2017</v>
      </c>
      <c r="C62" s="24">
        <f>IF($I$57="Mogas-eq (kbd)",SUMIFS(tUNIT[mogas],tUNIT[year],B62,tUNIT[month],1,tUNIT[key],$C$57,tUNIT[type],$F$57),SUMIFS(tUNIT[kbd],tUNIT[year],B62,tUNIT[month],1,tUNIT[key],$C$57,tUNIT[type],$F$57))</f>
        <v>0</v>
      </c>
      <c r="D62" s="24">
        <f>IF($I$57="Mogas-eq (kbd)",SUMIFS(tUNIT[mogas],tUNIT[year],B62,tUNIT[month],2,tUNIT[key],$C$57,tUNIT[type],$F$57),SUMIFS(tUNIT[kbd],tUNIT[year],B62,tUNIT[month],2,tUNIT[key],$C$57,tUNIT[type],$F$57))</f>
        <v>0</v>
      </c>
      <c r="E62" s="24">
        <f>IF($I$57="Mogas-eq (kbd)",SUMIFS(tUNIT[mogas],tUNIT[year],B62,tUNIT[month],3,tUNIT[key],$C$57,tUNIT[type],$F$57),SUMIFS(tUNIT[kbd],tUNIT[year],B62,tUNIT[month],3,tUNIT[key],$C$57,tUNIT[type],$F$57))</f>
        <v>0</v>
      </c>
      <c r="F62" s="24">
        <f>IF($I$57="Mogas-eq (kbd)",SUMIFS(tUNIT[mogas],tUNIT[year],B62,tUNIT[month],4,tUNIT[key],$C$57,tUNIT[type],$F$57),SUMIFS(tUNIT[kbd],tUNIT[year],B62,tUNIT[month],4,tUNIT[key],$C$57,tUNIT[type],$F$57))</f>
        <v>0</v>
      </c>
      <c r="G62" s="24">
        <f>IF($I$57="Mogas-eq (kbd)",SUMIFS(tUNIT[mogas],tUNIT[year],B62,tUNIT[month],5,tUNIT[key],$C$57,tUNIT[type],$F$57),SUMIFS(tUNIT[kbd],tUNIT[year],B62,tUNIT[month],5,tUNIT[key],$C$57,tUNIT[type],$F$57))</f>
        <v>0</v>
      </c>
      <c r="H62" s="24">
        <f>IF($I$57="Mogas-eq (kbd)",SUMIFS(tUNIT[mogas],tUNIT[year],B62,tUNIT[month],6,tUNIT[key],$C$57,tUNIT[type],$F$57),SUMIFS(tUNIT[kbd],tUNIT[year],B62,tUNIT[month],6,tUNIT[key],$C$57,tUNIT[type],$F$57))</f>
        <v>0</v>
      </c>
      <c r="I62" s="24">
        <f>IF($I$57="Mogas-eq (kbd)",SUMIFS(tUNIT[mogas],tUNIT[year],B62,tUNIT[month],7,tUNIT[key],$C$57,tUNIT[type],$F$57),SUMIFS(tUNIT[kbd],tUNIT[year],B62,tUNIT[month],7,tUNIT[key],$C$57,tUNIT[type],$F$57))</f>
        <v>0</v>
      </c>
      <c r="J62" s="24">
        <f>IF($I$57="Mogas-eq (kbd)",SUMIFS(tUNIT[mogas],tUNIT[year],B62,tUNIT[month],8,tUNIT[key],$C$57,tUNIT[type],$F$57),SUMIFS(tUNIT[kbd],tUNIT[year],B62,tUNIT[month],8,tUNIT[key],$C$57,tUNIT[type],$F$57))</f>
        <v>0</v>
      </c>
      <c r="K62" s="24">
        <f>IF($I$57="Mogas-eq (kbd)",SUMIFS(tUNIT[mogas],tUNIT[year],B62,tUNIT[month],9,tUNIT[key],$C$57,tUNIT[type],$F$57),SUMIFS(tUNIT[kbd],tUNIT[year],B62,tUNIT[month],9,tUNIT[key],$C$57,tUNIT[type],$F$57))</f>
        <v>0</v>
      </c>
      <c r="L62" s="24">
        <f>IF($I$57="Mogas-eq (kbd)",SUMIFS(tUNIT[mogas],tUNIT[year],B62,tUNIT[month],10,tUNIT[key],$C$57,tUNIT[type],$F$57),SUMIFS(tUNIT[kbd],tUNIT[year],B62,tUNIT[month],10,tUNIT[key],$C$57,tUNIT[type],$F$57))</f>
        <v>0</v>
      </c>
      <c r="M62" s="24">
        <f>IF($I$57="Mogas-eq (kbd)",SUMIFS(tUNIT[mogas],tUNIT[year],B62,tUNIT[month],11,tUNIT[key],$C$57,tUNIT[type],$F$57),SUMIFS(tUNIT[kbd],tUNIT[year],B62,tUNIT[month],11,tUNIT[key],$C$57,tUNIT[type],$F$57))</f>
        <v>0</v>
      </c>
      <c r="N62" s="24">
        <f>IF($I$57="Mogas-eq (kbd)",SUMIFS(tUNIT[mogas],tUNIT[year],B62,tUNIT[month],12,tUNIT[key],$C$57,tUNIT[type],$F$57),SUMIFS(tUNIT[kbd],tUNIT[year],B62,tUNIT[month],12,tUNIT[key],$C$57,tUNIT[type],$F$57))</f>
        <v>0</v>
      </c>
      <c r="O62" s="32">
        <f>SUM(C62:N62)</f>
        <v>0</v>
      </c>
    </row>
    <row r="63" spans="2:15">
      <c r="B63" s="31">
        <v>2018</v>
      </c>
      <c r="C63" s="24">
        <f>IF($I$57="Mogas-eq (kbd)",SUMIFS(tUNIT[mogas],tUNIT[year],B63,tUNIT[month],1,tUNIT[key],$C$57,tUNIT[type],$F$57),SUMIFS(tUNIT[kbd],tUNIT[year],B63,tUNIT[month],1,tUNIT[key],$C$57,tUNIT[type],$F$57))</f>
        <v>0</v>
      </c>
      <c r="D63" s="24">
        <f>IF($I$57="Mogas-eq (kbd)",SUMIFS(tUNIT[mogas],tUNIT[year],B63,tUNIT[month],2,tUNIT[key],$C$57,tUNIT[type],$F$57),SUMIFS(tUNIT[kbd],tUNIT[year],B63,tUNIT[month],2,tUNIT[key],$C$57,tUNIT[type],$F$57))</f>
        <v>0</v>
      </c>
      <c r="E63" s="24">
        <f>IF($I$57="Mogas-eq (kbd)",SUMIFS(tUNIT[mogas],tUNIT[year],B63,tUNIT[month],3,tUNIT[key],$C$57,tUNIT[type],$F$57),SUMIFS(tUNIT[kbd],tUNIT[year],B63,tUNIT[month],3,tUNIT[key],$C$57,tUNIT[type],$F$57))</f>
        <v>0</v>
      </c>
      <c r="F63" s="24">
        <f>IF($I$57="Mogas-eq (kbd)",SUMIFS(tUNIT[mogas],tUNIT[year],B63,tUNIT[month],4,tUNIT[key],$C$57,tUNIT[type],$F$57),SUMIFS(tUNIT[kbd],tUNIT[year],B63,tUNIT[month],4,tUNIT[key],$C$57,tUNIT[type],$F$57))</f>
        <v>0</v>
      </c>
      <c r="G63" s="24">
        <f>IF($I$57="Mogas-eq (kbd)",SUMIFS(tUNIT[mogas],tUNIT[year],B63,tUNIT[month],5,tUNIT[key],$C$57,tUNIT[type],$F$57),SUMIFS(tUNIT[kbd],tUNIT[year],B63,tUNIT[month],5,tUNIT[key],$C$57,tUNIT[type],$F$57))</f>
        <v>0</v>
      </c>
      <c r="H63" s="24">
        <f>IF($I$57="Mogas-eq (kbd)",SUMIFS(tUNIT[mogas],tUNIT[year],B63,tUNIT[month],6,tUNIT[key],$C$57,tUNIT[type],$F$57),SUMIFS(tUNIT[kbd],tUNIT[year],B63,tUNIT[month],6,tUNIT[key],$C$57,tUNIT[type],$F$57))</f>
        <v>0</v>
      </c>
      <c r="I63" s="24">
        <f>IF($I$57="Mogas-eq (kbd)",SUMIFS(tUNIT[mogas],tUNIT[year],B63,tUNIT[month],7,tUNIT[key],$C$57,tUNIT[type],$F$57),SUMIFS(tUNIT[kbd],tUNIT[year],B63,tUNIT[month],7,tUNIT[key],$C$57,tUNIT[type],$F$57))</f>
        <v>0</v>
      </c>
      <c r="J63" s="24">
        <f>IF($I$57="Mogas-eq (kbd)",SUMIFS(tUNIT[mogas],tUNIT[year],B63,tUNIT[month],8,tUNIT[key],$C$57,tUNIT[type],$F$57),SUMIFS(tUNIT[kbd],tUNIT[year],B63,tUNIT[month],8,tUNIT[key],$C$57,tUNIT[type],$F$57))</f>
        <v>0</v>
      </c>
      <c r="K63" s="24">
        <f>IF($I$57="Mogas-eq (kbd)",SUMIFS(tUNIT[mogas],tUNIT[year],B63,tUNIT[month],9,tUNIT[key],$C$57,tUNIT[type],$F$57),SUMIFS(tUNIT[kbd],tUNIT[year],B63,tUNIT[month],9,tUNIT[key],$C$57,tUNIT[type],$F$57))</f>
        <v>0</v>
      </c>
      <c r="L63" s="24">
        <f>IF($I$57="Mogas-eq (kbd)",SUMIFS(tUNIT[mogas],tUNIT[year],B63,tUNIT[month],10,tUNIT[key],$C$57,tUNIT[type],$F$57),SUMIFS(tUNIT[kbd],tUNIT[year],B63,tUNIT[month],10,tUNIT[key],$C$57,tUNIT[type],$F$57))</f>
        <v>0</v>
      </c>
      <c r="M63" s="24">
        <f>IF($I$57="Mogas-eq (kbd)",SUMIFS(tUNIT[mogas],tUNIT[year],B63,tUNIT[month],11,tUNIT[key],$C$57,tUNIT[type],$F$57),SUMIFS(tUNIT[kbd],tUNIT[year],B63,tUNIT[month],11,tUNIT[key],$C$57,tUNIT[type],$F$57))</f>
        <v>0</v>
      </c>
      <c r="N63" s="24">
        <f>IF($I$57="Mogas-eq (kbd)",SUMIFS(tUNIT[mogas],tUNIT[year],B63,tUNIT[month],12,tUNIT[key],$C$57,tUNIT[type],$F$57),SUMIFS(tUNIT[kbd],tUNIT[year],B63,tUNIT[month],12,tUNIT[key],$C$57,tUNIT[type],$F$57))</f>
        <v>0</v>
      </c>
      <c r="O63" s="32">
        <f>SUM(C63:N63)</f>
        <v>0</v>
      </c>
    </row>
    <row r="64" spans="2:15">
      <c r="B64" s="31">
        <v>2019</v>
      </c>
      <c r="C64" s="24">
        <f>IF($I$57="Mogas-eq (kbd)",SUMIFS(tUNIT[mogas],tUNIT[year],B64,tUNIT[month],1,tUNIT[key],$C$57,tUNIT[type],$F$57),SUMIFS(tUNIT[kbd],tUNIT[year],B64,tUNIT[month],1,tUNIT[key],$C$57,tUNIT[type],$F$57))</f>
        <v>0</v>
      </c>
      <c r="D64" s="24">
        <f>IF($I$57="Mogas-eq (kbd)",SUMIFS(tUNIT[mogas],tUNIT[year],B64,tUNIT[month],2,tUNIT[key],$C$57,tUNIT[type],$F$57),SUMIFS(tUNIT[kbd],tUNIT[year],B64,tUNIT[month],2,tUNIT[key],$C$57,tUNIT[type],$F$57))</f>
        <v>0</v>
      </c>
      <c r="E64" s="24">
        <f>IF($I$57="Mogas-eq (kbd)",SUMIFS(tUNIT[mogas],tUNIT[year],B64,tUNIT[month],3,tUNIT[key],$C$57,tUNIT[type],$F$57),SUMIFS(tUNIT[kbd],tUNIT[year],B64,tUNIT[month],3,tUNIT[key],$C$57,tUNIT[type],$F$57))</f>
        <v>0</v>
      </c>
      <c r="F64" s="24">
        <f>IF($I$57="Mogas-eq (kbd)",SUMIFS(tUNIT[mogas],tUNIT[year],B64,tUNIT[month],4,tUNIT[key],$C$57,tUNIT[type],$F$57),SUMIFS(tUNIT[kbd],tUNIT[year],B64,tUNIT[month],4,tUNIT[key],$C$57,tUNIT[type],$F$57))</f>
        <v>0</v>
      </c>
      <c r="G64" s="24">
        <f>IF($I$57="Mogas-eq (kbd)",SUMIFS(tUNIT[mogas],tUNIT[year],B64,tUNIT[month],5,tUNIT[key],$C$57,tUNIT[type],$F$57),SUMIFS(tUNIT[kbd],tUNIT[year],B64,tUNIT[month],5,tUNIT[key],$C$57,tUNIT[type],$F$57))</f>
        <v>0</v>
      </c>
      <c r="H64" s="24">
        <f>IF($I$57="Mogas-eq (kbd)",SUMIFS(tUNIT[mogas],tUNIT[year],B64,tUNIT[month],6,tUNIT[key],$C$57,tUNIT[type],$F$57),SUMIFS(tUNIT[kbd],tUNIT[year],B64,tUNIT[month],6,tUNIT[key],$C$57,tUNIT[type],$F$57))</f>
        <v>0</v>
      </c>
      <c r="I64" s="24">
        <f>IF($I$57="Mogas-eq (kbd)",SUMIFS(tUNIT[mogas],tUNIT[year],B64,tUNIT[month],7,tUNIT[key],$C$57,tUNIT[type],$F$57),SUMIFS(tUNIT[kbd],tUNIT[year],B64,tUNIT[month],7,tUNIT[key],$C$57,tUNIT[type],$F$57))</f>
        <v>0</v>
      </c>
      <c r="J64" s="24">
        <f>IF($I$57="Mogas-eq (kbd)",SUMIFS(tUNIT[mogas],tUNIT[year],B64,tUNIT[month],8,tUNIT[key],$C$57,tUNIT[type],$F$57),SUMIFS(tUNIT[kbd],tUNIT[year],B64,tUNIT[month],8,tUNIT[key],$C$57,tUNIT[type],$F$57))</f>
        <v>0</v>
      </c>
      <c r="K64" s="24">
        <f>IF($I$57="Mogas-eq (kbd)",SUMIFS(tUNIT[mogas],tUNIT[year],B64,tUNIT[month],9,tUNIT[key],$C$57,tUNIT[type],$F$57),SUMIFS(tUNIT[kbd],tUNIT[year],B64,tUNIT[month],9,tUNIT[key],$C$57,tUNIT[type],$F$57))</f>
        <v>0</v>
      </c>
      <c r="L64" s="24">
        <f>IF($I$57="Mogas-eq (kbd)",SUMIFS(tUNIT[mogas],tUNIT[year],B64,tUNIT[month],10,tUNIT[key],$C$57,tUNIT[type],$F$57),SUMIFS(tUNIT[kbd],tUNIT[year],B64,tUNIT[month],10,tUNIT[key],$C$57,tUNIT[type],$F$57))</f>
        <v>0</v>
      </c>
      <c r="M64" s="24">
        <f>IF($I$57="Mogas-eq (kbd)",SUMIFS(tUNIT[mogas],tUNIT[year],B64,tUNIT[month],11,tUNIT[key],$C$57,tUNIT[type],$F$57),SUMIFS(tUNIT[kbd],tUNIT[year],B64,tUNIT[month],11,tUNIT[key],$C$57,tUNIT[type],$F$57))</f>
        <v>0</v>
      </c>
      <c r="N64" s="24">
        <f>IF($I$57="Mogas-eq (kbd)",SUMIFS(tUNIT[mogas],tUNIT[year],B64,tUNIT[month],12,tUNIT[key],$C$57,tUNIT[type],$F$57),SUMIFS(tUNIT[kbd],tUNIT[year],B64,tUNIT[month],12,tUNIT[key],$C$57,tUNIT[type],$F$57))</f>
        <v>0</v>
      </c>
      <c r="O64" s="32">
        <f>SUM(C64:N64)</f>
        <v>0</v>
      </c>
    </row>
    <row r="65" spans="2:15">
      <c r="B65" s="31">
        <v>2020</v>
      </c>
      <c r="C65" s="24">
        <f>IF($I$57="Mogas-eq (kbd)",SUMIFS(tUNIT[mogas],tUNIT[year],B65,tUNIT[month],1,tUNIT[key],$C$57,tUNIT[type],$F$57),SUMIFS(tUNIT[kbd],tUNIT[year],B65,tUNIT[month],1,tUNIT[key],$C$57,tUNIT[type],$F$57))</f>
        <v>0</v>
      </c>
      <c r="D65" s="24">
        <f>IF($I$57="Mogas-eq (kbd)",SUMIFS(tUNIT[mogas],tUNIT[year],B65,tUNIT[month],2,tUNIT[key],$C$57,tUNIT[type],$F$57),SUMIFS(tUNIT[kbd],tUNIT[year],B65,tUNIT[month],2,tUNIT[key],$C$57,tUNIT[type],$F$57))</f>
        <v>0</v>
      </c>
      <c r="E65" s="24">
        <f>IF($I$57="Mogas-eq (kbd)",SUMIFS(tUNIT[mogas],tUNIT[year],B65,tUNIT[month],3,tUNIT[key],$C$57,tUNIT[type],$F$57),SUMIFS(tUNIT[kbd],tUNIT[year],B65,tUNIT[month],3,tUNIT[key],$C$57,tUNIT[type],$F$57))</f>
        <v>0</v>
      </c>
      <c r="F65" s="24">
        <f>IF($I$57="Mogas-eq (kbd)",SUMIFS(tUNIT[mogas],tUNIT[year],B65,tUNIT[month],4,tUNIT[key],$C$57,tUNIT[type],$F$57),SUMIFS(tUNIT[kbd],tUNIT[year],B65,tUNIT[month],4,tUNIT[key],$C$57,tUNIT[type],$F$57))</f>
        <v>0</v>
      </c>
      <c r="G65" s="24">
        <f>IF($I$57="Mogas-eq (kbd)",SUMIFS(tUNIT[mogas],tUNIT[year],B65,tUNIT[month],5,tUNIT[key],$C$57,tUNIT[type],$F$57),SUMIFS(tUNIT[kbd],tUNIT[year],B65,tUNIT[month],5,tUNIT[key],$C$57,tUNIT[type],$F$57))</f>
        <v>0</v>
      </c>
      <c r="H65" s="24">
        <f>IF($I$57="Mogas-eq (kbd)",SUMIFS(tUNIT[mogas],tUNIT[year],B65,tUNIT[month],6,tUNIT[key],$C$57,tUNIT[type],$F$57),SUMIFS(tUNIT[kbd],tUNIT[year],B65,tUNIT[month],6,tUNIT[key],$C$57,tUNIT[type],$F$57))</f>
        <v>0</v>
      </c>
      <c r="I65" s="24">
        <f>IF($I$57="Mogas-eq (kbd)",SUMIFS(tUNIT[mogas],tUNIT[year],B65,tUNIT[month],7,tUNIT[key],$C$57,tUNIT[type],$F$57),SUMIFS(tUNIT[kbd],tUNIT[year],B65,tUNIT[month],7,tUNIT[key],$C$57,tUNIT[type],$F$57))</f>
        <v>0</v>
      </c>
      <c r="J65" s="24">
        <f>IF($I$57="Mogas-eq (kbd)",SUMIFS(tUNIT[mogas],tUNIT[year],B65,tUNIT[month],8,tUNIT[key],$C$57,tUNIT[type],$F$57),SUMIFS(tUNIT[kbd],tUNIT[year],B65,tUNIT[month],8,tUNIT[key],$C$57,tUNIT[type],$F$57))</f>
        <v>0</v>
      </c>
      <c r="K65" s="24">
        <f>IF($I$57="Mogas-eq (kbd)",SUMIFS(tUNIT[mogas],tUNIT[year],B65,tUNIT[month],9,tUNIT[key],$C$57,tUNIT[type],$F$57),SUMIFS(tUNIT[kbd],tUNIT[year],B65,tUNIT[month],9,tUNIT[key],$C$57,tUNIT[type],$F$57))</f>
        <v>0</v>
      </c>
      <c r="L65" s="24">
        <f>IF($I$57="Mogas-eq (kbd)",SUMIFS(tUNIT[mogas],tUNIT[year],B65,tUNIT[month],10,tUNIT[key],$C$57,tUNIT[type],$F$57),SUMIFS(tUNIT[kbd],tUNIT[year],B65,tUNIT[month],10,tUNIT[key],$C$57,tUNIT[type],$F$57))</f>
        <v>0</v>
      </c>
      <c r="M65" s="24">
        <f>IF($I$57="Mogas-eq (kbd)",SUMIFS(tUNIT[mogas],tUNIT[year],B65,tUNIT[month],11,tUNIT[key],$C$57,tUNIT[type],$F$57),SUMIFS(tUNIT[kbd],tUNIT[year],B65,tUNIT[month],11,tUNIT[key],$C$57,tUNIT[type],$F$57))</f>
        <v>0</v>
      </c>
      <c r="N65" s="24">
        <f>IF($I$57="Mogas-eq (kbd)",SUMIFS(tUNIT[mogas],tUNIT[year],B65,tUNIT[month],12,tUNIT[key],$C$57,tUNIT[type],$F$57),SUMIFS(tUNIT[kbd],tUNIT[year],B65,tUNIT[month],12,tUNIT[key],$C$57,tUNIT[type],$F$57))</f>
        <v>0</v>
      </c>
      <c r="O65" s="32">
        <f>SUM(C65:N65)</f>
        <v>0</v>
      </c>
    </row>
    <row r="66" spans="2:15">
      <c r="B66" s="31">
        <v>2021</v>
      </c>
      <c r="C66" s="24">
        <f>IF($I$57="Mogas-eq (kbd)",SUMIFS(tUNIT[mogas],tUNIT[year],B66,tUNIT[month],1,tUNIT[key],$C$57,tUNIT[type],$F$57),SUMIFS(tUNIT[kbd],tUNIT[year],B66,tUNIT[month],1,tUNIT[key],$C$57,tUNIT[type],$F$57))</f>
        <v>0</v>
      </c>
      <c r="D66" s="24">
        <f>IF($I$57="Mogas-eq (kbd)",SUMIFS(tUNIT[mogas],tUNIT[year],B66,tUNIT[month],2,tUNIT[key],$C$57,tUNIT[type],$F$57),SUMIFS(tUNIT[kbd],tUNIT[year],B66,tUNIT[month],2,tUNIT[key],$C$57,tUNIT[type],$F$57))</f>
        <v>0</v>
      </c>
      <c r="E66" s="24">
        <f>IF($I$57="Mogas-eq (kbd)",SUMIFS(tUNIT[mogas],tUNIT[year],B66,tUNIT[month],3,tUNIT[key],$C$57,tUNIT[type],$F$57),SUMIFS(tUNIT[kbd],tUNIT[year],B66,tUNIT[month],3,tUNIT[key],$C$57,tUNIT[type],$F$57))</f>
        <v>0</v>
      </c>
      <c r="F66" s="24">
        <f>IF($I$57="Mogas-eq (kbd)",SUMIFS(tUNIT[mogas],tUNIT[year],B66,tUNIT[month],4,tUNIT[key],$C$57,tUNIT[type],$F$57),SUMIFS(tUNIT[kbd],tUNIT[year],B66,tUNIT[month],4,tUNIT[key],$C$57,tUNIT[type],$F$57))</f>
        <v>0</v>
      </c>
      <c r="G66" s="24">
        <f>IF($I$57="Mogas-eq (kbd)",SUMIFS(tUNIT[mogas],tUNIT[year],B66,tUNIT[month],5,tUNIT[key],$C$57,tUNIT[type],$F$57),SUMIFS(tUNIT[kbd],tUNIT[year],B66,tUNIT[month],5,tUNIT[key],$C$57,tUNIT[type],$F$57))</f>
        <v>0</v>
      </c>
      <c r="H66" s="24">
        <f>IF($I$57="Mogas-eq (kbd)",SUMIFS(tUNIT[mogas],tUNIT[year],B66,tUNIT[month],6,tUNIT[key],$C$57,tUNIT[type],$F$57),SUMIFS(tUNIT[kbd],tUNIT[year],B66,tUNIT[month],6,tUNIT[key],$C$57,tUNIT[type],$F$57))</f>
        <v>0</v>
      </c>
      <c r="I66" s="24">
        <f>IF($I$57="Mogas-eq (kbd)",SUMIFS(tUNIT[mogas],tUNIT[year],B66,tUNIT[month],7,tUNIT[key],$C$57,tUNIT[type],$F$57),SUMIFS(tUNIT[kbd],tUNIT[year],B66,tUNIT[month],7,tUNIT[key],$C$57,tUNIT[type],$F$57))</f>
        <v>0</v>
      </c>
      <c r="J66" s="24">
        <f>IF($I$57="Mogas-eq (kbd)",SUMIFS(tUNIT[mogas],tUNIT[year],B66,tUNIT[month],8,tUNIT[key],$C$57,tUNIT[type],$F$57),SUMIFS(tUNIT[kbd],tUNIT[year],B66,tUNIT[month],8,tUNIT[key],$C$57,tUNIT[type],$F$57))</f>
        <v>0</v>
      </c>
      <c r="K66" s="24">
        <f>IF($I$57="Mogas-eq (kbd)",SUMIFS(tUNIT[mogas],tUNIT[year],B66,tUNIT[month],9,tUNIT[key],$C$57,tUNIT[type],$F$57),SUMIFS(tUNIT[kbd],tUNIT[year],B66,tUNIT[month],9,tUNIT[key],$C$57,tUNIT[type],$F$57))</f>
        <v>0</v>
      </c>
      <c r="L66" s="24">
        <f>IF($I$57="Mogas-eq (kbd)",SUMIFS(tUNIT[mogas],tUNIT[year],B66,tUNIT[month],10,tUNIT[key],$C$57,tUNIT[type],$F$57),SUMIFS(tUNIT[kbd],tUNIT[year],B66,tUNIT[month],10,tUNIT[key],$C$57,tUNIT[type],$F$57))</f>
        <v>0</v>
      </c>
      <c r="M66" s="24">
        <f>IF($I$57="Mogas-eq (kbd)",SUMIFS(tUNIT[mogas],tUNIT[year],B66,tUNIT[month],11,tUNIT[key],$C$57,tUNIT[type],$F$57),SUMIFS(tUNIT[kbd],tUNIT[year],B66,tUNIT[month],11,tUNIT[key],$C$57,tUNIT[type],$F$57))</f>
        <v>0</v>
      </c>
      <c r="N66" s="24">
        <f>IF($I$57="Mogas-eq (kbd)",SUMIFS(tUNIT[mogas],tUNIT[year],B66,tUNIT[month],12,tUNIT[key],$C$57,tUNIT[type],$F$57),SUMIFS(tUNIT[kbd],tUNIT[year],B66,tUNIT[month],12,tUNIT[key],$C$57,tUNIT[type],$F$57))</f>
        <v>0</v>
      </c>
      <c r="O66" s="32">
        <f>SUM(C66:N66)</f>
        <v>0</v>
      </c>
    </row>
    <row r="67" spans="2:15">
      <c r="B67" s="31">
        <v>2022</v>
      </c>
      <c r="C67" s="24">
        <f>IF($I$57="Mogas-eq (kbd)",SUMIFS(tUNIT[mogas],tUNIT[year],B67,tUNIT[month],1,tUNIT[key],$C$57,tUNIT[type],$F$57),SUMIFS(tUNIT[kbd],tUNIT[year],B67,tUNIT[month],1,tUNIT[key],$C$57,tUNIT[type],$F$57))</f>
        <v>0</v>
      </c>
      <c r="D67" s="24">
        <f>IF($I$57="Mogas-eq (kbd)",SUMIFS(tUNIT[mogas],tUNIT[year],B67,tUNIT[month],2,tUNIT[key],$C$57,tUNIT[type],$F$57),SUMIFS(tUNIT[kbd],tUNIT[year],B67,tUNIT[month],2,tUNIT[key],$C$57,tUNIT[type],$F$57))</f>
        <v>0</v>
      </c>
      <c r="E67" s="24">
        <f>IF($I$57="Mogas-eq (kbd)",SUMIFS(tUNIT[mogas],tUNIT[year],B67,tUNIT[month],3,tUNIT[key],$C$57,tUNIT[type],$F$57),SUMIFS(tUNIT[kbd],tUNIT[year],B67,tUNIT[month],3,tUNIT[key],$C$57,tUNIT[type],$F$57))</f>
        <v>0</v>
      </c>
      <c r="F67" s="24">
        <f>IF($I$57="Mogas-eq (kbd)",SUMIFS(tUNIT[mogas],tUNIT[year],B67,tUNIT[month],4,tUNIT[key],$C$57,tUNIT[type],$F$57),SUMIFS(tUNIT[kbd],tUNIT[year],B67,tUNIT[month],4,tUNIT[key],$C$57,tUNIT[type],$F$57))</f>
        <v>0</v>
      </c>
      <c r="G67" s="24">
        <f>IF($I$57="Mogas-eq (kbd)",SUMIFS(tUNIT[mogas],tUNIT[year],B67,tUNIT[month],5,tUNIT[key],$C$57,tUNIT[type],$F$57),SUMIFS(tUNIT[kbd],tUNIT[year],B67,tUNIT[month],5,tUNIT[key],$C$57,tUNIT[type],$F$57))</f>
        <v>0</v>
      </c>
      <c r="H67" s="24">
        <f>IF($I$57="Mogas-eq (kbd)",SUMIFS(tUNIT[mogas],tUNIT[year],B67,tUNIT[month],6,tUNIT[key],$C$57,tUNIT[type],$F$57),SUMIFS(tUNIT[kbd],tUNIT[year],B67,tUNIT[month],6,tUNIT[key],$C$57,tUNIT[type],$F$57))</f>
        <v>0</v>
      </c>
      <c r="I67" s="24">
        <f>IF($I$57="Mogas-eq (kbd)",SUMIFS(tUNIT[mogas],tUNIT[year],B67,tUNIT[month],7,tUNIT[key],$C$57,tUNIT[type],$F$57),SUMIFS(tUNIT[kbd],tUNIT[year],B67,tUNIT[month],7,tUNIT[key],$C$57,tUNIT[type],$F$57))</f>
        <v>0</v>
      </c>
      <c r="J67" s="24">
        <f>IF($I$57="Mogas-eq (kbd)",SUMIFS(tUNIT[mogas],tUNIT[year],B67,tUNIT[month],8,tUNIT[key],$C$57,tUNIT[type],$F$57),SUMIFS(tUNIT[kbd],tUNIT[year],B67,tUNIT[month],8,tUNIT[key],$C$57,tUNIT[type],$F$57))</f>
        <v>0</v>
      </c>
      <c r="K67" s="24">
        <f>IF($I$57="Mogas-eq (kbd)",SUMIFS(tUNIT[mogas],tUNIT[year],B67,tUNIT[month],9,tUNIT[key],$C$57,tUNIT[type],$F$57),SUMIFS(tUNIT[kbd],tUNIT[year],B67,tUNIT[month],9,tUNIT[key],$C$57,tUNIT[type],$F$57))</f>
        <v>0</v>
      </c>
      <c r="L67" s="24">
        <f>IF($I$57="Mogas-eq (kbd)",SUMIFS(tUNIT[mogas],tUNIT[year],B67,tUNIT[month],10,tUNIT[key],$C$57,tUNIT[type],$F$57),SUMIFS(tUNIT[kbd],tUNIT[year],B67,tUNIT[month],10,tUNIT[key],$C$57,tUNIT[type],$F$57))</f>
        <v>0</v>
      </c>
      <c r="M67" s="24">
        <f>IF($I$57="Mogas-eq (kbd)",SUMIFS(tUNIT[mogas],tUNIT[year],B67,tUNIT[month],11,tUNIT[key],$C$57,tUNIT[type],$F$57),SUMIFS(tUNIT[kbd],tUNIT[year],B67,tUNIT[month],11,tUNIT[key],$C$57,tUNIT[type],$F$57))</f>
        <v>0</v>
      </c>
      <c r="N67" s="24">
        <f>IF($I$57="Mogas-eq (kbd)",SUMIFS(tUNIT[mogas],tUNIT[year],B67,tUNIT[month],12,tUNIT[key],$C$57,tUNIT[type],$F$57),SUMIFS(tUNIT[kbd],tUNIT[year],B67,tUNIT[month],12,tUNIT[key],$C$57,tUNIT[type],$F$57))</f>
        <v>0</v>
      </c>
      <c r="O67" s="32">
        <f>SUM(C67:N67)</f>
        <v>0</v>
      </c>
    </row>
    <row r="68" spans="2:15">
      <c r="B68" s="31">
        <v>2023</v>
      </c>
      <c r="C68" s="24">
        <f>IF($I$57="Mogas-eq (kbd)",SUMIFS(tUNIT[mogas],tUNIT[year],B68,tUNIT[month],1,tUNIT[key],$C$57,tUNIT[type],$F$57),SUMIFS(tUNIT[kbd],tUNIT[year],B68,tUNIT[month],1,tUNIT[key],$C$57,tUNIT[type],$F$57))</f>
        <v>0</v>
      </c>
      <c r="D68" s="24">
        <f>IF($I$57="Mogas-eq (kbd)",SUMIFS(tUNIT[mogas],tUNIT[year],B68,tUNIT[month],2,tUNIT[key],$C$57,tUNIT[type],$F$57),SUMIFS(tUNIT[kbd],tUNIT[year],B68,tUNIT[month],2,tUNIT[key],$C$57,tUNIT[type],$F$57))</f>
        <v>0</v>
      </c>
      <c r="E68" s="24">
        <f>IF($I$57="Mogas-eq (kbd)",SUMIFS(tUNIT[mogas],tUNIT[year],B68,tUNIT[month],3,tUNIT[key],$C$57,tUNIT[type],$F$57),SUMIFS(tUNIT[kbd],tUNIT[year],B68,tUNIT[month],3,tUNIT[key],$C$57,tUNIT[type],$F$57))</f>
        <v>0</v>
      </c>
      <c r="F68" s="24">
        <f>IF($I$57="Mogas-eq (kbd)",SUMIFS(tUNIT[mogas],tUNIT[year],B68,tUNIT[month],4,tUNIT[key],$C$57,tUNIT[type],$F$57),SUMIFS(tUNIT[kbd],tUNIT[year],B68,tUNIT[month],4,tUNIT[key],$C$57,tUNIT[type],$F$57))</f>
        <v>0</v>
      </c>
      <c r="G68" s="24">
        <f>IF($I$57="Mogas-eq (kbd)",SUMIFS(tUNIT[mogas],tUNIT[year],B68,tUNIT[month],5,tUNIT[key],$C$57,tUNIT[type],$F$57),SUMIFS(tUNIT[kbd],tUNIT[year],B68,tUNIT[month],5,tUNIT[key],$C$57,tUNIT[type],$F$57))</f>
        <v>0</v>
      </c>
      <c r="H68" s="24">
        <f>IF($I$57="Mogas-eq (kbd)",SUMIFS(tUNIT[mogas],tUNIT[year],B68,tUNIT[month],6,tUNIT[key],$C$57,tUNIT[type],$F$57),SUMIFS(tUNIT[kbd],tUNIT[year],B68,tUNIT[month],6,tUNIT[key],$C$57,tUNIT[type],$F$57))</f>
        <v>0</v>
      </c>
      <c r="I68" s="24">
        <f>IF($I$57="Mogas-eq (kbd)",SUMIFS(tUNIT[mogas],tUNIT[year],B68,tUNIT[month],7,tUNIT[key],$C$57,tUNIT[type],$F$57),SUMIFS(tUNIT[kbd],tUNIT[year],B68,tUNIT[month],7,tUNIT[key],$C$57,tUNIT[type],$F$57))</f>
        <v>0</v>
      </c>
      <c r="J68" s="24">
        <f>IF($I$57="Mogas-eq (kbd)",SUMIFS(tUNIT[mogas],tUNIT[year],B68,tUNIT[month],8,tUNIT[key],$C$57,tUNIT[type],$F$57),SUMIFS(tUNIT[kbd],tUNIT[year],B68,tUNIT[month],8,tUNIT[key],$C$57,tUNIT[type],$F$57))</f>
        <v>0</v>
      </c>
      <c r="K68" s="24">
        <f>IF($I$57="Mogas-eq (kbd)",SUMIFS(tUNIT[mogas],tUNIT[year],B68,tUNIT[month],9,tUNIT[key],$C$57,tUNIT[type],$F$57),SUMIFS(tUNIT[kbd],tUNIT[year],B68,tUNIT[month],9,tUNIT[key],$C$57,tUNIT[type],$F$57))</f>
        <v>0</v>
      </c>
      <c r="L68" s="24">
        <f>IF($I$57="Mogas-eq (kbd)",SUMIFS(tUNIT[mogas],tUNIT[year],B68,tUNIT[month],10,tUNIT[key],$C$57,tUNIT[type],$F$57),SUMIFS(tUNIT[kbd],tUNIT[year],B68,tUNIT[month],10,tUNIT[key],$C$57,tUNIT[type],$F$57))</f>
        <v>0</v>
      </c>
      <c r="M68" s="24">
        <f>IF($I$57="Mogas-eq (kbd)",SUMIFS(tUNIT[mogas],tUNIT[year],B68,tUNIT[month],11,tUNIT[key],$C$57,tUNIT[type],$F$57),SUMIFS(tUNIT[kbd],tUNIT[year],B68,tUNIT[month],11,tUNIT[key],$C$57,tUNIT[type],$F$57))</f>
        <v>0</v>
      </c>
      <c r="N68" s="24">
        <f>IF($I$57="Mogas-eq (kbd)",SUMIFS(tUNIT[mogas],tUNIT[year],B68,tUNIT[month],12,tUNIT[key],$C$57,tUNIT[type],$F$57),SUMIFS(tUNIT[kbd],tUNIT[year],B68,tUNIT[month],12,tUNIT[key],$C$57,tUNIT[type],$F$57))</f>
        <v>0</v>
      </c>
      <c r="O68" s="32">
        <f>SUM(C68:N68)</f>
        <v>0</v>
      </c>
    </row>
    <row r="69" spans="2:15">
      <c r="B69" s="31">
        <v>2024</v>
      </c>
      <c r="C69" s="24">
        <f>IF($I$57="Mogas-eq (kbd)",SUMIFS(tUNIT[mogas],tUNIT[year],B69,tUNIT[month],1,tUNIT[key],$C$57,tUNIT[type],$F$57),SUMIFS(tUNIT[kbd],tUNIT[year],B69,tUNIT[month],1,tUNIT[key],$C$57,tUNIT[type],$F$57))</f>
        <v>0</v>
      </c>
      <c r="D69" s="24">
        <f>IF($I$57="Mogas-eq (kbd)",SUMIFS(tUNIT[mogas],tUNIT[year],B69,tUNIT[month],2,tUNIT[key],$C$57,tUNIT[type],$F$57),SUMIFS(tUNIT[kbd],tUNIT[year],B69,tUNIT[month],2,tUNIT[key],$C$57,tUNIT[type],$F$57))</f>
        <v>0</v>
      </c>
      <c r="E69" s="24">
        <f>IF($I$57="Mogas-eq (kbd)",SUMIFS(tUNIT[mogas],tUNIT[year],B69,tUNIT[month],3,tUNIT[key],$C$57,tUNIT[type],$F$57),SUMIFS(tUNIT[kbd],tUNIT[year],B69,tUNIT[month],3,tUNIT[key],$C$57,tUNIT[type],$F$57))</f>
        <v>0</v>
      </c>
      <c r="F69" s="24">
        <f>IF($I$57="Mogas-eq (kbd)",SUMIFS(tUNIT[mogas],tUNIT[year],B69,tUNIT[month],4,tUNIT[key],$C$57,tUNIT[type],$F$57),SUMIFS(tUNIT[kbd],tUNIT[year],B69,tUNIT[month],4,tUNIT[key],$C$57,tUNIT[type],$F$57))</f>
        <v>0</v>
      </c>
      <c r="G69" s="24">
        <f>IF($I$57="Mogas-eq (kbd)",SUMIFS(tUNIT[mogas],tUNIT[year],B69,tUNIT[month],5,tUNIT[key],$C$57,tUNIT[type],$F$57),SUMIFS(tUNIT[kbd],tUNIT[year],B69,tUNIT[month],5,tUNIT[key],$C$57,tUNIT[type],$F$57))</f>
        <v>0</v>
      </c>
      <c r="H69" s="24">
        <f>IF($I$57="Mogas-eq (kbd)",SUMIFS(tUNIT[mogas],tUNIT[year],B69,tUNIT[month],6,tUNIT[key],$C$57,tUNIT[type],$F$57),SUMIFS(tUNIT[kbd],tUNIT[year],B69,tUNIT[month],6,tUNIT[key],$C$57,tUNIT[type],$F$57))</f>
        <v>0</v>
      </c>
      <c r="I69" s="24">
        <f>IF($I$57="Mogas-eq (kbd)",SUMIFS(tUNIT[mogas],tUNIT[year],B69,tUNIT[month],7,tUNIT[key],$C$57,tUNIT[type],$F$57),SUMIFS(tUNIT[kbd],tUNIT[year],B69,tUNIT[month],7,tUNIT[key],$C$57,tUNIT[type],$F$57))</f>
        <v>0</v>
      </c>
      <c r="J69" s="24">
        <f>IF($I$57="Mogas-eq (kbd)",SUMIFS(tUNIT[mogas],tUNIT[year],B69,tUNIT[month],8,tUNIT[key],$C$57,tUNIT[type],$F$57),SUMIFS(tUNIT[kbd],tUNIT[year],B69,tUNIT[month],8,tUNIT[key],$C$57,tUNIT[type],$F$57))</f>
        <v>0</v>
      </c>
      <c r="K69" s="24">
        <f>IF($I$57="Mogas-eq (kbd)",SUMIFS(tUNIT[mogas],tUNIT[year],B69,tUNIT[month],9,tUNIT[key],$C$57,tUNIT[type],$F$57),SUMIFS(tUNIT[kbd],tUNIT[year],B69,tUNIT[month],9,tUNIT[key],$C$57,tUNIT[type],$F$57))</f>
        <v>0</v>
      </c>
      <c r="L69" s="24">
        <f>IF($I$57="Mogas-eq (kbd)",SUMIFS(tUNIT[mogas],tUNIT[year],B69,tUNIT[month],10,tUNIT[key],$C$57,tUNIT[type],$F$57),SUMIFS(tUNIT[kbd],tUNIT[year],B69,tUNIT[month],10,tUNIT[key],$C$57,tUNIT[type],$F$57))</f>
        <v>0</v>
      </c>
      <c r="M69" s="24">
        <f>IF($I$57="Mogas-eq (kbd)",SUMIFS(tUNIT[mogas],tUNIT[year],B69,tUNIT[month],11,tUNIT[key],$C$57,tUNIT[type],$F$57),SUMIFS(tUNIT[kbd],tUNIT[year],B69,tUNIT[month],11,tUNIT[key],$C$57,tUNIT[type],$F$57))</f>
        <v>0</v>
      </c>
      <c r="N69" s="24">
        <f>IF($I$57="Mogas-eq (kbd)",SUMIFS(tUNIT[mogas],tUNIT[year],B69,tUNIT[month],12,tUNIT[key],$C$57,tUNIT[type],$F$57),SUMIFS(tUNIT[kbd],tUNIT[year],B69,tUNIT[month],12,tUNIT[key],$C$57,tUNIT[type],$F$57))</f>
        <v>0</v>
      </c>
      <c r="O69" s="32">
        <f>SUM(C69:N69)</f>
        <v>0</v>
      </c>
    </row>
    <row r="70" spans="2:15">
      <c r="B70" s="31">
        <v>2025</v>
      </c>
      <c r="C70" s="24">
        <f>IF($I$57="Mogas-eq (kbd)",SUMIFS(tUNIT[mogas],tUNIT[year],B70,tUNIT[month],1,tUNIT[key],$C$57,tUNIT[type],$F$57),SUMIFS(tUNIT[kbd],tUNIT[year],B70,tUNIT[month],1,tUNIT[key],$C$57,tUNIT[type],$F$57))</f>
        <v>0</v>
      </c>
      <c r="D70" s="24">
        <f>IF($I$57="Mogas-eq (kbd)",SUMIFS(tUNIT[mogas],tUNIT[year],B70,tUNIT[month],2,tUNIT[key],$C$57,tUNIT[type],$F$57),SUMIFS(tUNIT[kbd],tUNIT[year],B70,tUNIT[month],2,tUNIT[key],$C$57,tUNIT[type],$F$57))</f>
        <v>0</v>
      </c>
      <c r="E70" s="24">
        <f>IF($I$57="Mogas-eq (kbd)",SUMIFS(tUNIT[mogas],tUNIT[year],B70,tUNIT[month],3,tUNIT[key],$C$57,tUNIT[type],$F$57),SUMIFS(tUNIT[kbd],tUNIT[year],B70,tUNIT[month],3,tUNIT[key],$C$57,tUNIT[type],$F$57))</f>
        <v>0</v>
      </c>
      <c r="F70" s="24">
        <f>IF($I$57="Mogas-eq (kbd)",SUMIFS(tUNIT[mogas],tUNIT[year],B70,tUNIT[month],4,tUNIT[key],$C$57,tUNIT[type],$F$57),SUMIFS(tUNIT[kbd],tUNIT[year],B70,tUNIT[month],4,tUNIT[key],$C$57,tUNIT[type],$F$57))</f>
        <v>0</v>
      </c>
      <c r="G70" s="24">
        <f>IF($I$57="Mogas-eq (kbd)",SUMIFS(tUNIT[mogas],tUNIT[year],B70,tUNIT[month],5,tUNIT[key],$C$57,tUNIT[type],$F$57),SUMIFS(tUNIT[kbd],tUNIT[year],B70,tUNIT[month],5,tUNIT[key],$C$57,tUNIT[type],$F$57))</f>
        <v>0</v>
      </c>
      <c r="H70" s="24">
        <f>IF($I$57="Mogas-eq (kbd)",SUMIFS(tUNIT[mogas],tUNIT[year],B70,tUNIT[month],6,tUNIT[key],$C$57,tUNIT[type],$F$57),SUMIFS(tUNIT[kbd],tUNIT[year],B70,tUNIT[month],6,tUNIT[key],$C$57,tUNIT[type],$F$57))</f>
        <v>0</v>
      </c>
      <c r="I70" s="24">
        <f>IF($I$57="Mogas-eq (kbd)",SUMIFS(tUNIT[mogas],tUNIT[year],B70,tUNIT[month],7,tUNIT[key],$C$57,tUNIT[type],$F$57),SUMIFS(tUNIT[kbd],tUNIT[year],B70,tUNIT[month],7,tUNIT[key],$C$57,tUNIT[type],$F$57))</f>
        <v>0</v>
      </c>
      <c r="J70" s="24">
        <f>IF($I$57="Mogas-eq (kbd)",SUMIFS(tUNIT[mogas],tUNIT[year],B70,tUNIT[month],8,tUNIT[key],$C$57,tUNIT[type],$F$57),SUMIFS(tUNIT[kbd],tUNIT[year],B70,tUNIT[month],8,tUNIT[key],$C$57,tUNIT[type],$F$57))</f>
        <v>0</v>
      </c>
      <c r="K70" s="24">
        <f>IF($I$57="Mogas-eq (kbd)",SUMIFS(tUNIT[mogas],tUNIT[year],B70,tUNIT[month],9,tUNIT[key],$C$57,tUNIT[type],$F$57),SUMIFS(tUNIT[kbd],tUNIT[year],B70,tUNIT[month],9,tUNIT[key],$C$57,tUNIT[type],$F$57))</f>
        <v>0</v>
      </c>
      <c r="L70" s="24">
        <f>IF($I$57="Mogas-eq (kbd)",SUMIFS(tUNIT[mogas],tUNIT[year],B70,tUNIT[month],10,tUNIT[key],$C$57,tUNIT[type],$F$57),SUMIFS(tUNIT[kbd],tUNIT[year],B70,tUNIT[month],10,tUNIT[key],$C$57,tUNIT[type],$F$57))</f>
        <v>0</v>
      </c>
      <c r="M70" s="24">
        <f>IF($I$57="Mogas-eq (kbd)",SUMIFS(tUNIT[mogas],tUNIT[year],B70,tUNIT[month],11,tUNIT[key],$C$57,tUNIT[type],$F$57),SUMIFS(tUNIT[kbd],tUNIT[year],B70,tUNIT[month],11,tUNIT[key],$C$57,tUNIT[type],$F$57))</f>
        <v>0</v>
      </c>
      <c r="N70" s="24">
        <f>IF($I$57="Mogas-eq (kbd)",SUMIFS(tUNIT[mogas],tUNIT[year],B70,tUNIT[month],12,tUNIT[key],$C$57,tUNIT[type],$F$57),SUMIFS(tUNIT[kbd],tUNIT[year],B70,tUNIT[month],12,tUNIT[key],$C$57,tUNIT[type],$F$57))</f>
        <v>0</v>
      </c>
      <c r="O70" s="32">
        <f>SUM(C70:N70)</f>
        <v>0</v>
      </c>
    </row>
    <row r="71" spans="2:15">
      <c r="B71" s="33">
        <v>2026</v>
      </c>
      <c r="C71" s="34">
        <f>IF($I$57="Mogas-eq (kbd)",SUMIFS(tUNIT[mogas],tUNIT[year],B71,tUNIT[month],1,tUNIT[key],$C$57,tUNIT[type],$F$57),SUMIFS(tUNIT[kbd],tUNIT[year],B71,tUNIT[month],1,tUNIT[key],$C$57,tUNIT[type],$F$57))</f>
        <v>0</v>
      </c>
      <c r="D71" s="34">
        <f>IF($I$57="Mogas-eq (kbd)",SUMIFS(tUNIT[mogas],tUNIT[year],B71,tUNIT[month],2,tUNIT[key],$C$57,tUNIT[type],$F$57),SUMIFS(tUNIT[kbd],tUNIT[year],B71,tUNIT[month],2,tUNIT[key],$C$57,tUNIT[type],$F$57))</f>
        <v>0</v>
      </c>
      <c r="E71" s="34">
        <f>IF($I$57="Mogas-eq (kbd)",SUMIFS(tUNIT[mogas],tUNIT[year],B71,tUNIT[month],3,tUNIT[key],$C$57,tUNIT[type],$F$57),SUMIFS(tUNIT[kbd],tUNIT[year],B71,tUNIT[month],3,tUNIT[key],$C$57,tUNIT[type],$F$57))</f>
        <v>0</v>
      </c>
      <c r="F71" s="34">
        <f>IF($I$57="Mogas-eq (kbd)",SUMIFS(tUNIT[mogas],tUNIT[year],B71,tUNIT[month],4,tUNIT[key],$C$57,tUNIT[type],$F$57),SUMIFS(tUNIT[kbd],tUNIT[year],B71,tUNIT[month],4,tUNIT[key],$C$57,tUNIT[type],$F$57))</f>
        <v>0</v>
      </c>
      <c r="G71" s="34">
        <f>IF($I$57="Mogas-eq (kbd)",SUMIFS(tUNIT[mogas],tUNIT[year],B71,tUNIT[month],5,tUNIT[key],$C$57,tUNIT[type],$F$57),SUMIFS(tUNIT[kbd],tUNIT[year],B71,tUNIT[month],5,tUNIT[key],$C$57,tUNIT[type],$F$57))</f>
        <v>0</v>
      </c>
      <c r="H71" s="34">
        <f>IF($I$57="Mogas-eq (kbd)",SUMIFS(tUNIT[mogas],tUNIT[year],B71,tUNIT[month],6,tUNIT[key],$C$57,tUNIT[type],$F$57),SUMIFS(tUNIT[kbd],tUNIT[year],B71,tUNIT[month],6,tUNIT[key],$C$57,tUNIT[type],$F$57))</f>
        <v>0</v>
      </c>
      <c r="I71" s="34">
        <f>IF($I$57="Mogas-eq (kbd)",SUMIFS(tUNIT[mogas],tUNIT[year],B71,tUNIT[month],7,tUNIT[key],$C$57,tUNIT[type],$F$57),SUMIFS(tUNIT[kbd],tUNIT[year],B71,tUNIT[month],7,tUNIT[key],$C$57,tUNIT[type],$F$57))</f>
        <v>0</v>
      </c>
      <c r="J71" s="34">
        <f>IF($I$57="Mogas-eq (kbd)",SUMIFS(tUNIT[mogas],tUNIT[year],B71,tUNIT[month],8,tUNIT[key],$C$57,tUNIT[type],$F$57),SUMIFS(tUNIT[kbd],tUNIT[year],B71,tUNIT[month],8,tUNIT[key],$C$57,tUNIT[type],$F$57))</f>
        <v>0</v>
      </c>
      <c r="K71" s="34">
        <f>IF($I$57="Mogas-eq (kbd)",SUMIFS(tUNIT[mogas],tUNIT[year],B71,tUNIT[month],9,tUNIT[key],$C$57,tUNIT[type],$F$57),SUMIFS(tUNIT[kbd],tUNIT[year],B71,tUNIT[month],9,tUNIT[key],$C$57,tUNIT[type],$F$57))</f>
        <v>0</v>
      </c>
      <c r="L71" s="34">
        <f>IF($I$57="Mogas-eq (kbd)",SUMIFS(tUNIT[mogas],tUNIT[year],B71,tUNIT[month],10,tUNIT[key],$C$57,tUNIT[type],$F$57),SUMIFS(tUNIT[kbd],tUNIT[year],B71,tUNIT[month],10,tUNIT[key],$C$57,tUNIT[type],$F$57))</f>
        <v>0</v>
      </c>
      <c r="M71" s="34">
        <f>IF($I$57="Mogas-eq (kbd)",SUMIFS(tUNIT[mogas],tUNIT[year],B71,tUNIT[month],11,tUNIT[key],$C$57,tUNIT[type],$F$57),SUMIFS(tUNIT[kbd],tUNIT[year],B71,tUNIT[month],11,tUNIT[key],$C$57,tUNIT[type],$F$57))</f>
        <v>0</v>
      </c>
      <c r="N71" s="34">
        <f>IF($I$57="Mogas-eq (kbd)",SUMIFS(tUNIT[mogas],tUNIT[year],B71,tUNIT[month],12,tUNIT[key],$C$57,tUNIT[type],$F$57),SUMIFS(tUNIT[kbd],tUNIT[year],B71,tUNIT[month],12,tUNIT[key],$C$57,tUNIT[type],$F$57))</f>
        <v>0</v>
      </c>
      <c r="O71" s="34">
        <f>SUM(C71:N71)</f>
        <v>0</v>
      </c>
    </row>
    <row r="72" spans="2:15">
      <c r="B72" s="33">
        <v>2027</v>
      </c>
      <c r="C72" s="34">
        <f>IF($I$57="Mogas-eq (kbd)",SUMIFS(tUNIT[mogas],tUNIT[year],B72,tUNIT[month],1,tUNIT[key],$C$57,tUNIT[type],$F$57),SUMIFS(tUNIT[kbd],tUNIT[year],B72,tUNIT[month],1,tUNIT[key],$C$57,tUNIT[type],$F$57))</f>
        <v>0</v>
      </c>
      <c r="D72" s="34">
        <f>IF($I$57="Mogas-eq (kbd)",SUMIFS(tUNIT[mogas],tUNIT[year],B72,tUNIT[month],2,tUNIT[key],$C$57,tUNIT[type],$F$57),SUMIFS(tUNIT[kbd],tUNIT[year],B72,tUNIT[month],2,tUNIT[key],$C$57,tUNIT[type],$F$57))</f>
        <v>0</v>
      </c>
      <c r="E72" s="34">
        <f>IF($I$57="Mogas-eq (kbd)",SUMIFS(tUNIT[mogas],tUNIT[year],B72,tUNIT[month],3,tUNIT[key],$C$57,tUNIT[type],$F$57),SUMIFS(tUNIT[kbd],tUNIT[year],B72,tUNIT[month],3,tUNIT[key],$C$57,tUNIT[type],$F$57))</f>
        <v>0</v>
      </c>
      <c r="F72" s="34">
        <f>IF($I$57="Mogas-eq (kbd)",SUMIFS(tUNIT[mogas],tUNIT[year],B72,tUNIT[month],4,tUNIT[key],$C$57,tUNIT[type],$F$57),SUMIFS(tUNIT[kbd],tUNIT[year],B72,tUNIT[month],4,tUNIT[key],$C$57,tUNIT[type],$F$57))</f>
        <v>0</v>
      </c>
      <c r="G72" s="34">
        <f>IF($I$57="Mogas-eq (kbd)",SUMIFS(tUNIT[mogas],tUNIT[year],B72,tUNIT[month],5,tUNIT[key],$C$57,tUNIT[type],$F$57),SUMIFS(tUNIT[kbd],tUNIT[year],B72,tUNIT[month],5,tUNIT[key],$C$57,tUNIT[type],$F$57))</f>
        <v>0</v>
      </c>
      <c r="H72" s="34">
        <f>IF($I$57="Mogas-eq (kbd)",SUMIFS(tUNIT[mogas],tUNIT[year],B72,tUNIT[month],6,tUNIT[key],$C$57,tUNIT[type],$F$57),SUMIFS(tUNIT[kbd],tUNIT[year],B72,tUNIT[month],6,tUNIT[key],$C$57,tUNIT[type],$F$57))</f>
        <v>0</v>
      </c>
      <c r="I72" s="34">
        <f>IF($I$57="Mogas-eq (kbd)",SUMIFS(tUNIT[mogas],tUNIT[year],B72,tUNIT[month],7,tUNIT[key],$C$57,tUNIT[type],$F$57),SUMIFS(tUNIT[kbd],tUNIT[year],B72,tUNIT[month],7,tUNIT[key],$C$57,tUNIT[type],$F$57))</f>
        <v>0</v>
      </c>
      <c r="J72" s="34">
        <f>IF($I$57="Mogas-eq (kbd)",SUMIFS(tUNIT[mogas],tUNIT[year],B72,tUNIT[month],8,tUNIT[key],$C$57,tUNIT[type],$F$57),SUMIFS(tUNIT[kbd],tUNIT[year],B72,tUNIT[month],8,tUNIT[key],$C$57,tUNIT[type],$F$57))</f>
        <v>0</v>
      </c>
      <c r="K72" s="34">
        <f>IF($I$57="Mogas-eq (kbd)",SUMIFS(tUNIT[mogas],tUNIT[year],B72,tUNIT[month],9,tUNIT[key],$C$57,tUNIT[type],$F$57),SUMIFS(tUNIT[kbd],tUNIT[year],B72,tUNIT[month],9,tUNIT[key],$C$57,tUNIT[type],$F$57))</f>
        <v>0</v>
      </c>
      <c r="L72" s="34">
        <f>IF($I$57="Mogas-eq (kbd)",SUMIFS(tUNIT[mogas],tUNIT[year],B72,tUNIT[month],10,tUNIT[key],$C$57,tUNIT[type],$F$57),SUMIFS(tUNIT[kbd],tUNIT[year],B72,tUNIT[month],10,tUNIT[key],$C$57,tUNIT[type],$F$57))</f>
        <v>0</v>
      </c>
      <c r="M72" s="34">
        <f>IF($I$57="Mogas-eq (kbd)",SUMIFS(tUNIT[mogas],tUNIT[year],B72,tUNIT[month],11,tUNIT[key],$C$57,tUNIT[type],$F$57),SUMIFS(tUNIT[kbd],tUNIT[year],B72,tUNIT[month],11,tUNIT[key],$C$57,tUNIT[type],$F$57))</f>
        <v>0</v>
      </c>
      <c r="N72" s="34">
        <f>IF($I$57="Mogas-eq (kbd)",SUMIFS(tUNIT[mogas],tUNIT[year],B72,tUNIT[month],12,tUNIT[key],$C$57,tUNIT[type],$F$57),SUMIFS(tUNIT[kbd],tUNIT[year],B72,tUNIT[month],12,tUNIT[key],$C$57,tUNIT[type],$F$57))</f>
        <v>0</v>
      </c>
      <c r="O72" s="34">
        <f>SUM(C72:N72)</f>
        <v>0</v>
      </c>
    </row>
    <row r="74" spans="2:15" ht="19" customHeight="1">
      <c r="B74" s="6" t="s">
        <v>115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2:15">
      <c r="B75" s="21" t="s">
        <v>90</v>
      </c>
      <c r="C75" s="22" t="s">
        <v>92</v>
      </c>
      <c r="D75" s="22" t="s">
        <v>93</v>
      </c>
      <c r="E75" s="22" t="s">
        <v>94</v>
      </c>
      <c r="F75" s="22" t="s">
        <v>95</v>
      </c>
      <c r="G75" s="22" t="s">
        <v>96</v>
      </c>
      <c r="H75" s="22" t="s">
        <v>97</v>
      </c>
      <c r="I75" s="22" t="s">
        <v>98</v>
      </c>
      <c r="J75" s="22" t="s">
        <v>99</v>
      </c>
      <c r="K75" s="22" t="s">
        <v>100</v>
      </c>
      <c r="L75" s="22" t="s">
        <v>101</v>
      </c>
      <c r="M75" s="22" t="s">
        <v>102</v>
      </c>
      <c r="N75" s="22" t="s">
        <v>103</v>
      </c>
    </row>
    <row r="76" spans="2:15">
      <c r="B76" s="31">
        <v>2016</v>
      </c>
      <c r="C76" s="35" t="s">
        <v>116</v>
      </c>
      <c r="D76" s="35" t="s">
        <v>116</v>
      </c>
      <c r="E76" s="35" t="s">
        <v>116</v>
      </c>
      <c r="F76" s="35" t="s">
        <v>116</v>
      </c>
      <c r="G76" s="35" t="s">
        <v>116</v>
      </c>
      <c r="H76" s="35" t="s">
        <v>116</v>
      </c>
      <c r="I76" s="35" t="s">
        <v>116</v>
      </c>
      <c r="J76" s="35" t="s">
        <v>116</v>
      </c>
      <c r="K76" s="35" t="s">
        <v>116</v>
      </c>
      <c r="L76" s="35" t="s">
        <v>116</v>
      </c>
      <c r="M76" s="35" t="s">
        <v>116</v>
      </c>
      <c r="N76" s="35" t="s">
        <v>116</v>
      </c>
    </row>
    <row r="77" spans="2:15">
      <c r="B77" s="31">
        <v>2017</v>
      </c>
      <c r="C77" s="36">
        <f>IF(C61=0,"n/a",(C62-C61)/C61)</f>
        <v>0</v>
      </c>
      <c r="D77" s="36">
        <f>IF(D61=0,"n/a",(D62-D61)/D61)</f>
        <v>0</v>
      </c>
      <c r="E77" s="36">
        <f>IF(E61=0,"n/a",(E62-E61)/E61)</f>
        <v>0</v>
      </c>
      <c r="F77" s="36">
        <f>IF(F61=0,"n/a",(F62-F61)/F61)</f>
        <v>0</v>
      </c>
      <c r="G77" s="36">
        <f>IF(G61=0,"n/a",(G62-G61)/G61)</f>
        <v>0</v>
      </c>
      <c r="H77" s="36">
        <f>IF(H61=0,"n/a",(H62-H61)/H61)</f>
        <v>0</v>
      </c>
      <c r="I77" s="36">
        <f>IF(I61=0,"n/a",(I62-I61)/I61)</f>
        <v>0</v>
      </c>
      <c r="J77" s="36">
        <f>IF(J61=0,"n/a",(J62-J61)/J61)</f>
        <v>0</v>
      </c>
      <c r="K77" s="36">
        <f>IF(K61=0,"n/a",(K62-K61)/K61)</f>
        <v>0</v>
      </c>
      <c r="L77" s="36">
        <f>IF(L61=0,"n/a",(L62-L61)/L61)</f>
        <v>0</v>
      </c>
      <c r="M77" s="36">
        <f>IF(M61=0,"n/a",(M62-M61)/M61)</f>
        <v>0</v>
      </c>
      <c r="N77" s="36">
        <f>IF(N61=0,"n/a",(N62-N61)/N61)</f>
        <v>0</v>
      </c>
    </row>
    <row r="78" spans="2:15">
      <c r="B78" s="31">
        <v>2018</v>
      </c>
      <c r="C78" s="36">
        <f>IF(C62=0,"n/a",(C63-C62)/C62)</f>
        <v>0</v>
      </c>
      <c r="D78" s="36">
        <f>IF(D62=0,"n/a",(D63-D62)/D62)</f>
        <v>0</v>
      </c>
      <c r="E78" s="36">
        <f>IF(E62=0,"n/a",(E63-E62)/E62)</f>
        <v>0</v>
      </c>
      <c r="F78" s="36">
        <f>IF(F62=0,"n/a",(F63-F62)/F62)</f>
        <v>0</v>
      </c>
      <c r="G78" s="36">
        <f>IF(G62=0,"n/a",(G63-G62)/G62)</f>
        <v>0</v>
      </c>
      <c r="H78" s="36">
        <f>IF(H62=0,"n/a",(H63-H62)/H62)</f>
        <v>0</v>
      </c>
      <c r="I78" s="36">
        <f>IF(I62=0,"n/a",(I63-I62)/I62)</f>
        <v>0</v>
      </c>
      <c r="J78" s="36">
        <f>IF(J62=0,"n/a",(J63-J62)/J62)</f>
        <v>0</v>
      </c>
      <c r="K78" s="36">
        <f>IF(K62=0,"n/a",(K63-K62)/K62)</f>
        <v>0</v>
      </c>
      <c r="L78" s="36">
        <f>IF(L62=0,"n/a",(L63-L62)/L62)</f>
        <v>0</v>
      </c>
      <c r="M78" s="36">
        <f>IF(M62=0,"n/a",(M63-M62)/M62)</f>
        <v>0</v>
      </c>
      <c r="N78" s="36">
        <f>IF(N62=0,"n/a",(N63-N62)/N62)</f>
        <v>0</v>
      </c>
    </row>
    <row r="79" spans="2:15">
      <c r="B79" s="31">
        <v>2019</v>
      </c>
      <c r="C79" s="36">
        <f>IF(C63=0,"n/a",(C64-C63)/C63)</f>
        <v>0</v>
      </c>
      <c r="D79" s="36">
        <f>IF(D63=0,"n/a",(D64-D63)/D63)</f>
        <v>0</v>
      </c>
      <c r="E79" s="36">
        <f>IF(E63=0,"n/a",(E64-E63)/E63)</f>
        <v>0</v>
      </c>
      <c r="F79" s="36">
        <f>IF(F63=0,"n/a",(F64-F63)/F63)</f>
        <v>0</v>
      </c>
      <c r="G79" s="36">
        <f>IF(G63=0,"n/a",(G64-G63)/G63)</f>
        <v>0</v>
      </c>
      <c r="H79" s="36">
        <f>IF(H63=0,"n/a",(H64-H63)/H63)</f>
        <v>0</v>
      </c>
      <c r="I79" s="36">
        <f>IF(I63=0,"n/a",(I64-I63)/I63)</f>
        <v>0</v>
      </c>
      <c r="J79" s="36">
        <f>IF(J63=0,"n/a",(J64-J63)/J63)</f>
        <v>0</v>
      </c>
      <c r="K79" s="36">
        <f>IF(K63=0,"n/a",(K64-K63)/K63)</f>
        <v>0</v>
      </c>
      <c r="L79" s="36">
        <f>IF(L63=0,"n/a",(L64-L63)/L63)</f>
        <v>0</v>
      </c>
      <c r="M79" s="36">
        <f>IF(M63=0,"n/a",(M64-M63)/M63)</f>
        <v>0</v>
      </c>
      <c r="N79" s="36">
        <f>IF(N63=0,"n/a",(N64-N63)/N63)</f>
        <v>0</v>
      </c>
    </row>
    <row r="80" spans="2:15">
      <c r="B80" s="31">
        <v>2020</v>
      </c>
      <c r="C80" s="36">
        <f>IF(C64=0,"n/a",(C65-C64)/C64)</f>
        <v>0</v>
      </c>
      <c r="D80" s="36">
        <f>IF(D64=0,"n/a",(D65-D64)/D64)</f>
        <v>0</v>
      </c>
      <c r="E80" s="36">
        <f>IF(E64=0,"n/a",(E65-E64)/E64)</f>
        <v>0</v>
      </c>
      <c r="F80" s="36">
        <f>IF(F64=0,"n/a",(F65-F64)/F64)</f>
        <v>0</v>
      </c>
      <c r="G80" s="36">
        <f>IF(G64=0,"n/a",(G65-G64)/G64)</f>
        <v>0</v>
      </c>
      <c r="H80" s="36">
        <f>IF(H64=0,"n/a",(H65-H64)/H64)</f>
        <v>0</v>
      </c>
      <c r="I80" s="36">
        <f>IF(I64=0,"n/a",(I65-I64)/I64)</f>
        <v>0</v>
      </c>
      <c r="J80" s="36">
        <f>IF(J64=0,"n/a",(J65-J64)/J64)</f>
        <v>0</v>
      </c>
      <c r="K80" s="36">
        <f>IF(K64=0,"n/a",(K65-K64)/K64)</f>
        <v>0</v>
      </c>
      <c r="L80" s="36">
        <f>IF(L64=0,"n/a",(L65-L64)/L64)</f>
        <v>0</v>
      </c>
      <c r="M80" s="36">
        <f>IF(M64=0,"n/a",(M65-M64)/M64)</f>
        <v>0</v>
      </c>
      <c r="N80" s="36">
        <f>IF(N64=0,"n/a",(N65-N64)/N64)</f>
        <v>0</v>
      </c>
    </row>
    <row r="81" spans="2:14">
      <c r="B81" s="31">
        <v>2021</v>
      </c>
      <c r="C81" s="36">
        <f>IF(C65=0,"n/a",(C66-C65)/C65)</f>
        <v>0</v>
      </c>
      <c r="D81" s="36">
        <f>IF(D65=0,"n/a",(D66-D65)/D65)</f>
        <v>0</v>
      </c>
      <c r="E81" s="36">
        <f>IF(E65=0,"n/a",(E66-E65)/E65)</f>
        <v>0</v>
      </c>
      <c r="F81" s="36">
        <f>IF(F65=0,"n/a",(F66-F65)/F65)</f>
        <v>0</v>
      </c>
      <c r="G81" s="36">
        <f>IF(G65=0,"n/a",(G66-G65)/G65)</f>
        <v>0</v>
      </c>
      <c r="H81" s="36">
        <f>IF(H65=0,"n/a",(H66-H65)/H65)</f>
        <v>0</v>
      </c>
      <c r="I81" s="36">
        <f>IF(I65=0,"n/a",(I66-I65)/I65)</f>
        <v>0</v>
      </c>
      <c r="J81" s="36">
        <f>IF(J65=0,"n/a",(J66-J65)/J65)</f>
        <v>0</v>
      </c>
      <c r="K81" s="36">
        <f>IF(K65=0,"n/a",(K66-K65)/K65)</f>
        <v>0</v>
      </c>
      <c r="L81" s="36">
        <f>IF(L65=0,"n/a",(L66-L65)/L65)</f>
        <v>0</v>
      </c>
      <c r="M81" s="36">
        <f>IF(M65=0,"n/a",(M66-M65)/M65)</f>
        <v>0</v>
      </c>
      <c r="N81" s="36">
        <f>IF(N65=0,"n/a",(N66-N65)/N65)</f>
        <v>0</v>
      </c>
    </row>
    <row r="82" spans="2:14">
      <c r="B82" s="31">
        <v>2022</v>
      </c>
      <c r="C82" s="36">
        <f>IF(C66=0,"n/a",(C67-C66)/C66)</f>
        <v>0</v>
      </c>
      <c r="D82" s="36">
        <f>IF(D66=0,"n/a",(D67-D66)/D66)</f>
        <v>0</v>
      </c>
      <c r="E82" s="36">
        <f>IF(E66=0,"n/a",(E67-E66)/E66)</f>
        <v>0</v>
      </c>
      <c r="F82" s="36">
        <f>IF(F66=0,"n/a",(F67-F66)/F66)</f>
        <v>0</v>
      </c>
      <c r="G82" s="36">
        <f>IF(G66=0,"n/a",(G67-G66)/G66)</f>
        <v>0</v>
      </c>
      <c r="H82" s="36">
        <f>IF(H66=0,"n/a",(H67-H66)/H66)</f>
        <v>0</v>
      </c>
      <c r="I82" s="36">
        <f>IF(I66=0,"n/a",(I67-I66)/I66)</f>
        <v>0</v>
      </c>
      <c r="J82" s="36">
        <f>IF(J66=0,"n/a",(J67-J66)/J66)</f>
        <v>0</v>
      </c>
      <c r="K82" s="36">
        <f>IF(K66=0,"n/a",(K67-K66)/K66)</f>
        <v>0</v>
      </c>
      <c r="L82" s="36">
        <f>IF(L66=0,"n/a",(L67-L66)/L66)</f>
        <v>0</v>
      </c>
      <c r="M82" s="36">
        <f>IF(M66=0,"n/a",(M67-M66)/M66)</f>
        <v>0</v>
      </c>
      <c r="N82" s="36">
        <f>IF(N66=0,"n/a",(N67-N66)/N66)</f>
        <v>0</v>
      </c>
    </row>
    <row r="83" spans="2:14">
      <c r="B83" s="31">
        <v>2023</v>
      </c>
      <c r="C83" s="36">
        <f>IF(C67=0,"n/a",(C68-C67)/C67)</f>
        <v>0</v>
      </c>
      <c r="D83" s="36">
        <f>IF(D67=0,"n/a",(D68-D67)/D67)</f>
        <v>0</v>
      </c>
      <c r="E83" s="36">
        <f>IF(E67=0,"n/a",(E68-E67)/E67)</f>
        <v>0</v>
      </c>
      <c r="F83" s="36">
        <f>IF(F67=0,"n/a",(F68-F67)/F67)</f>
        <v>0</v>
      </c>
      <c r="G83" s="36">
        <f>IF(G67=0,"n/a",(G68-G67)/G67)</f>
        <v>0</v>
      </c>
      <c r="H83" s="36">
        <f>IF(H67=0,"n/a",(H68-H67)/H67)</f>
        <v>0</v>
      </c>
      <c r="I83" s="36">
        <f>IF(I67=0,"n/a",(I68-I67)/I67)</f>
        <v>0</v>
      </c>
      <c r="J83" s="36">
        <f>IF(J67=0,"n/a",(J68-J67)/J67)</f>
        <v>0</v>
      </c>
      <c r="K83" s="36">
        <f>IF(K67=0,"n/a",(K68-K67)/K67)</f>
        <v>0</v>
      </c>
      <c r="L83" s="36">
        <f>IF(L67=0,"n/a",(L68-L67)/L67)</f>
        <v>0</v>
      </c>
      <c r="M83" s="36">
        <f>IF(M67=0,"n/a",(M68-M67)/M67)</f>
        <v>0</v>
      </c>
      <c r="N83" s="36">
        <f>IF(N67=0,"n/a",(N68-N67)/N67)</f>
        <v>0</v>
      </c>
    </row>
    <row r="84" spans="2:14">
      <c r="B84" s="31">
        <v>2024</v>
      </c>
      <c r="C84" s="36">
        <f>IF(C68=0,"n/a",(C69-C68)/C68)</f>
        <v>0</v>
      </c>
      <c r="D84" s="36">
        <f>IF(D68=0,"n/a",(D69-D68)/D68)</f>
        <v>0</v>
      </c>
      <c r="E84" s="36">
        <f>IF(E68=0,"n/a",(E69-E68)/E68)</f>
        <v>0</v>
      </c>
      <c r="F84" s="36">
        <f>IF(F68=0,"n/a",(F69-F68)/F68)</f>
        <v>0</v>
      </c>
      <c r="G84" s="36">
        <f>IF(G68=0,"n/a",(G69-G68)/G68)</f>
        <v>0</v>
      </c>
      <c r="H84" s="36">
        <f>IF(H68=0,"n/a",(H69-H68)/H68)</f>
        <v>0</v>
      </c>
      <c r="I84" s="36">
        <f>IF(I68=0,"n/a",(I69-I68)/I68)</f>
        <v>0</v>
      </c>
      <c r="J84" s="36">
        <f>IF(J68=0,"n/a",(J69-J68)/J68)</f>
        <v>0</v>
      </c>
      <c r="K84" s="36">
        <f>IF(K68=0,"n/a",(K69-K68)/K68)</f>
        <v>0</v>
      </c>
      <c r="L84" s="36">
        <f>IF(L68=0,"n/a",(L69-L68)/L68)</f>
        <v>0</v>
      </c>
      <c r="M84" s="36">
        <f>IF(M68=0,"n/a",(M69-M68)/M68)</f>
        <v>0</v>
      </c>
      <c r="N84" s="36">
        <f>IF(N68=0,"n/a",(N69-N68)/N68)</f>
        <v>0</v>
      </c>
    </row>
    <row r="85" spans="2:14">
      <c r="B85" s="31">
        <v>2025</v>
      </c>
      <c r="C85" s="36">
        <f>IF(C69=0,"n/a",(C70-C69)/C69)</f>
        <v>0</v>
      </c>
      <c r="D85" s="36">
        <f>IF(D69=0,"n/a",(D70-D69)/D69)</f>
        <v>0</v>
      </c>
      <c r="E85" s="36">
        <f>IF(E69=0,"n/a",(E70-E69)/E69)</f>
        <v>0</v>
      </c>
      <c r="F85" s="36">
        <f>IF(F69=0,"n/a",(F70-F69)/F69)</f>
        <v>0</v>
      </c>
      <c r="G85" s="36">
        <f>IF(G69=0,"n/a",(G70-G69)/G69)</f>
        <v>0</v>
      </c>
      <c r="H85" s="36">
        <f>IF(H69=0,"n/a",(H70-H69)/H69)</f>
        <v>0</v>
      </c>
      <c r="I85" s="36">
        <f>IF(I69=0,"n/a",(I70-I69)/I69)</f>
        <v>0</v>
      </c>
      <c r="J85" s="36">
        <f>IF(J69=0,"n/a",(J70-J69)/J69)</f>
        <v>0</v>
      </c>
      <c r="K85" s="36">
        <f>IF(K69=0,"n/a",(K70-K69)/K69)</f>
        <v>0</v>
      </c>
      <c r="L85" s="36">
        <f>IF(L69=0,"n/a",(L70-L69)/L69)</f>
        <v>0</v>
      </c>
      <c r="M85" s="36">
        <f>IF(M69=0,"n/a",(M70-M69)/M69)</f>
        <v>0</v>
      </c>
      <c r="N85" s="36">
        <f>IF(N69=0,"n/a",(N70-N69)/N69)</f>
        <v>0</v>
      </c>
    </row>
    <row r="86" spans="2:14">
      <c r="B86" s="33">
        <v>2026</v>
      </c>
      <c r="C86" s="37">
        <f>IF(C70=0,"n/a",(C71-C70)/C70)</f>
        <v>0</v>
      </c>
      <c r="D86" s="37">
        <f>IF(D70=0,"n/a",(D71-D70)/D70)</f>
        <v>0</v>
      </c>
      <c r="E86" s="37">
        <f>IF(E70=0,"n/a",(E71-E70)/E70)</f>
        <v>0</v>
      </c>
      <c r="F86" s="37">
        <f>IF(F70=0,"n/a",(F71-F70)/F70)</f>
        <v>0</v>
      </c>
      <c r="G86" s="37">
        <f>IF(G70=0,"n/a",(G71-G70)/G70)</f>
        <v>0</v>
      </c>
      <c r="H86" s="37">
        <f>IF(H70=0,"n/a",(H71-H70)/H70)</f>
        <v>0</v>
      </c>
      <c r="I86" s="37">
        <f>IF(I70=0,"n/a",(I71-I70)/I70)</f>
        <v>0</v>
      </c>
      <c r="J86" s="37">
        <f>IF(J70=0,"n/a",(J71-J70)/J70)</f>
        <v>0</v>
      </c>
      <c r="K86" s="37">
        <f>IF(K70=0,"n/a",(K71-K70)/K70)</f>
        <v>0</v>
      </c>
      <c r="L86" s="37">
        <f>IF(L70=0,"n/a",(L71-L70)/L70)</f>
        <v>0</v>
      </c>
      <c r="M86" s="37">
        <f>IF(M70=0,"n/a",(M71-M70)/M70)</f>
        <v>0</v>
      </c>
      <c r="N86" s="37">
        <f>IF(N70=0,"n/a",(N71-N70)/N70)</f>
        <v>0</v>
      </c>
    </row>
    <row r="87" spans="2:14">
      <c r="B87" s="33">
        <v>2027</v>
      </c>
      <c r="C87" s="37">
        <f>IF(C71=0,"n/a",(C72-C71)/C71)</f>
        <v>0</v>
      </c>
      <c r="D87" s="37">
        <f>IF(D71=0,"n/a",(D72-D71)/D71)</f>
        <v>0</v>
      </c>
      <c r="E87" s="37">
        <f>IF(E71=0,"n/a",(E72-E71)/E71)</f>
        <v>0</v>
      </c>
      <c r="F87" s="37">
        <f>IF(F71=0,"n/a",(F72-F71)/F71)</f>
        <v>0</v>
      </c>
      <c r="G87" s="37">
        <f>IF(G71=0,"n/a",(G72-G71)/G71)</f>
        <v>0</v>
      </c>
      <c r="H87" s="37">
        <f>IF(H71=0,"n/a",(H72-H71)/H71)</f>
        <v>0</v>
      </c>
      <c r="I87" s="37">
        <f>IF(I71=0,"n/a",(I72-I71)/I71)</f>
        <v>0</v>
      </c>
      <c r="J87" s="37">
        <f>IF(J71=0,"n/a",(J72-J71)/J71)</f>
        <v>0</v>
      </c>
      <c r="K87" s="37">
        <f>IF(K71=0,"n/a",(K72-K71)/K71)</f>
        <v>0</v>
      </c>
      <c r="L87" s="37">
        <f>IF(L71=0,"n/a",(L72-L71)/L71)</f>
        <v>0</v>
      </c>
      <c r="M87" s="37">
        <f>IF(M71=0,"n/a",(M72-M71)/M71)</f>
        <v>0</v>
      </c>
      <c r="N87" s="37">
        <f>IF(N71=0,"n/a",(N72-N71)/N71)</f>
        <v>0</v>
      </c>
    </row>
  </sheetData>
  <mergeCells count="18">
    <mergeCell ref="J1:O1"/>
    <mergeCell ref="B2:O2"/>
    <mergeCell ref="B3:O3"/>
    <mergeCell ref="B4:O4"/>
    <mergeCell ref="B6:O6"/>
    <mergeCell ref="C7:D7"/>
    <mergeCell ref="F7:G7"/>
    <mergeCell ref="I7:K7"/>
    <mergeCell ref="B8:O8"/>
    <mergeCell ref="B9:O9"/>
    <mergeCell ref="B24:N24"/>
    <mergeCell ref="B56:O56"/>
    <mergeCell ref="C57:D57"/>
    <mergeCell ref="F57:G57"/>
    <mergeCell ref="I57:K57"/>
    <mergeCell ref="B58:O58"/>
    <mergeCell ref="B59:O59"/>
    <mergeCell ref="B74:N74"/>
  </mergeCells>
  <conditionalFormatting sqref="C11:N22">
    <cfRule type="colorScale" priority="1">
      <colorScale>
        <cfvo type="num" val="0"/>
        <cfvo type="max" val="0"/>
        <color rgb="FFFFFFFF"/>
        <color rgb="FF9DC3E6"/>
      </colorScale>
    </cfRule>
  </conditionalFormatting>
  <conditionalFormatting sqref="C26:N37">
    <cfRule type="colorScale" priority="2">
      <colorScale>
        <cfvo type="min" val="0"/>
        <cfvo type="percentile" val="50"/>
        <cfvo type="max" val="0"/>
        <color rgb="FF63BE7B"/>
        <color rgb="FFFFFFFF"/>
        <color rgb="FFF8696B"/>
      </colorScale>
    </cfRule>
    <cfRule type="iconSet" priority="3">
      <iconSet iconSet="3ArrowsGray">
        <cfvo type="percent" val="0"/>
        <cfvo type="num" val="-0.02"/>
        <cfvo type="num" val="0.02"/>
      </iconSet>
    </cfRule>
  </conditionalFormatting>
  <conditionalFormatting sqref="C61:N72">
    <cfRule type="colorScale" priority="4">
      <colorScale>
        <cfvo type="num" val="0"/>
        <cfvo type="max" val="0"/>
        <color rgb="FFFFFFFF"/>
        <color rgb="FF9DC3E6"/>
      </colorScale>
    </cfRule>
  </conditionalFormatting>
  <conditionalFormatting sqref="C76:N87">
    <cfRule type="colorScale" priority="5">
      <colorScale>
        <cfvo type="min" val="0"/>
        <cfvo type="percentile" val="50"/>
        <cfvo type="max" val="0"/>
        <color rgb="FF63BE7B"/>
        <color rgb="FFFFFFFF"/>
        <color rgb="FFF8696B"/>
      </colorScale>
    </cfRule>
    <cfRule type="iconSet" priority="6">
      <iconSet iconSet="3ArrowsGray">
        <cfvo type="percent" val="0"/>
        <cfvo type="num" val="-0.02"/>
        <cfvo type="num" val="0.02"/>
      </iconSet>
    </cfRule>
  </conditionalFormatting>
  <dataValidations count="6">
    <dataValidation type="list" allowBlank="1" showInputMessage="1" showErrorMessage="1" promptTitle="Pick what to view" prompt="The monthly grid, the YoY% and the chart all recompute." sqref="C7">
      <formula1>"Total US,PADD 1,PADD 2,PADD 3,PADD 4,PADD 5"</formula1>
    </dataValidation>
    <dataValidation type="list" allowBlank="1" showInputMessage="1" showErrorMessage="1" promptTitle="Outage type" prompt="All = planned + unplanned. Unplanned = the surprise/risk piece." sqref="F7">
      <formula1>"All,Planned,Unplanned"</formula1>
    </dataValidation>
    <dataValidation type="list" allowBlank="1" showInputMessage="1" showErrorMessage="1" promptTitle="Measure" prompt="Switch between total capacity offline and gasoline-equivalent." sqref="I7">
      <formula1>"Capacity (kbd),Mogas-eq (kbd)"</formula1>
    </dataValidation>
    <dataValidation type="list" allowBlank="1" showInputMessage="1" showErrorMessage="1" promptTitle="Pick what to view" prompt="The monthly grid, the YoY% and the chart all recompute." sqref="C57">
      <formula1>"All Units,ALKYLATION,AROMATICS,ASPHALT,ATMOS DISTILLATION,BTX,COKING,FLUID CAT CRACKING,GAS PROCESSING,HYDROCRACKING,HYDROTREATING,ISOMERIZATION,MTBE,OTHER,REFORMING,RESID_HYDROCRACKING,THERM CRACKING, VISBREAKING,VACUUM DISTILLATION"</formula1>
    </dataValidation>
    <dataValidation type="list" allowBlank="1" showInputMessage="1" showErrorMessage="1" promptTitle="Outage type" prompt="All = planned + unplanned. Unplanned = the surprise/risk piece." sqref="F57">
      <formula1>"All,Planned,Unplanned"</formula1>
    </dataValidation>
    <dataValidation type="list" allowBlank="1" showInputMessage="1" showErrorMessage="1" promptTitle="Measure" prompt="Switch between total capacity offline and gasoline-equivalent." sqref="I57">
      <formula1>"Capacity (kbd),Mogas-eq (kbd)"</formula1>
    </dataValidation>
  </dataValidations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5496"/>
    <pageSetUpPr fitToPage="1"/>
  </sheetPr>
  <dimension ref="B1:P108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9.7109375" customWidth="1"/>
    <col min="3" max="14" width="7.85546875" customWidth="1"/>
    <col min="15" max="15" width="9.7109375" customWidth="1"/>
    <col min="16" max="16" width="8.7109375" customWidth="1"/>
  </cols>
  <sheetData>
    <row r="1" spans="2:16">
      <c r="B1" s="9" t="s">
        <v>77</v>
      </c>
      <c r="K1" s="14" t="s">
        <v>78</v>
      </c>
      <c r="L1" s="14"/>
      <c r="M1" s="14"/>
      <c r="N1" s="14"/>
      <c r="O1" s="14"/>
      <c r="P1" s="14"/>
    </row>
    <row r="2" spans="2:16">
      <c r="B2" s="1" t="s">
        <v>118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6">
      <c r="B3" s="2" t="s">
        <v>119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6" spans="2:16" ht="19" customHeight="1">
      <c r="B6" s="8" t="s">
        <v>120</v>
      </c>
      <c r="C6" s="8"/>
      <c r="D6" s="8"/>
      <c r="E6" s="8"/>
      <c r="F6" s="8"/>
      <c r="G6" s="8"/>
      <c r="H6" s="8"/>
      <c r="I6" s="8"/>
    </row>
    <row r="7" spans="2:16">
      <c r="B7" s="21" t="s">
        <v>90</v>
      </c>
      <c r="C7" s="22" t="s">
        <v>2</v>
      </c>
      <c r="D7" s="22" t="s">
        <v>3</v>
      </c>
      <c r="E7" s="22" t="s">
        <v>114</v>
      </c>
      <c r="F7" s="22" t="s">
        <v>121</v>
      </c>
      <c r="G7" s="22" t="s">
        <v>122</v>
      </c>
      <c r="H7" s="22" t="s">
        <v>123</v>
      </c>
      <c r="I7" s="22" t="s">
        <v>124</v>
      </c>
    </row>
    <row r="8" spans="2:16">
      <c r="B8" s="23">
        <v>2016</v>
      </c>
      <c r="C8" s="24">
        <v>18970.5414</v>
      </c>
      <c r="D8" s="24">
        <v>10026.5576</v>
      </c>
      <c r="E8" s="24">
        <f>C8+D8</f>
        <v>0</v>
      </c>
      <c r="F8" s="24">
        <v>1027</v>
      </c>
      <c r="G8" s="39">
        <f>IF(E8=0,0,D8/E8)</f>
        <v>0</v>
      </c>
      <c r="H8" s="24"/>
      <c r="I8" s="39"/>
    </row>
    <row r="9" spans="2:16">
      <c r="B9" s="23">
        <v>2017</v>
      </c>
      <c r="C9" s="24">
        <v>19379.438</v>
      </c>
      <c r="D9" s="24">
        <v>17806.1563</v>
      </c>
      <c r="E9" s="24">
        <f>C9+D9</f>
        <v>0</v>
      </c>
      <c r="F9" s="24">
        <v>1482</v>
      </c>
      <c r="G9" s="39">
        <f>IF(E9=0,0,D9/E9)</f>
        <v>0</v>
      </c>
      <c r="H9" s="24">
        <f>E9-E8</f>
        <v>0</v>
      </c>
      <c r="I9" s="36">
        <f>IF(E8=0,0,H9/E8)</f>
        <v>0</v>
      </c>
    </row>
    <row r="10" spans="2:16">
      <c r="B10" s="23">
        <v>2018</v>
      </c>
      <c r="C10" s="24">
        <v>20666.8937</v>
      </c>
      <c r="D10" s="24">
        <v>11368.5909</v>
      </c>
      <c r="E10" s="24">
        <f>C10+D10</f>
        <v>0</v>
      </c>
      <c r="F10" s="24">
        <v>1360</v>
      </c>
      <c r="G10" s="39">
        <f>IF(E10=0,0,D10/E10)</f>
        <v>0</v>
      </c>
      <c r="H10" s="24">
        <f>E10-E9</f>
        <v>0</v>
      </c>
      <c r="I10" s="36">
        <f>IF(E9=0,0,H10/E9)</f>
        <v>0</v>
      </c>
    </row>
    <row r="11" spans="2:16">
      <c r="B11" s="23">
        <v>2019</v>
      </c>
      <c r="C11" s="24">
        <v>24322.1946</v>
      </c>
      <c r="D11" s="24">
        <v>18335.4043</v>
      </c>
      <c r="E11" s="24">
        <f>C11+D11</f>
        <v>0</v>
      </c>
      <c r="F11" s="24">
        <v>1432</v>
      </c>
      <c r="G11" s="39">
        <f>IF(E11=0,0,D11/E11)</f>
        <v>0</v>
      </c>
      <c r="H11" s="24">
        <f>E11-E10</f>
        <v>0</v>
      </c>
      <c r="I11" s="36">
        <f>IF(E10=0,0,H11/E10)</f>
        <v>0</v>
      </c>
    </row>
    <row r="12" spans="2:16">
      <c r="B12" s="23">
        <v>2020</v>
      </c>
      <c r="C12" s="24">
        <v>25471.7365</v>
      </c>
      <c r="D12" s="24">
        <v>124780.2455</v>
      </c>
      <c r="E12" s="24">
        <f>C12+D12</f>
        <v>0</v>
      </c>
      <c r="F12" s="24">
        <v>3177</v>
      </c>
      <c r="G12" s="39">
        <f>IF(E12=0,0,D12/E12)</f>
        <v>0</v>
      </c>
      <c r="H12" s="24">
        <f>E12-E11</f>
        <v>0</v>
      </c>
      <c r="I12" s="36">
        <f>IF(E11=0,0,H12/E11)</f>
        <v>0</v>
      </c>
    </row>
    <row r="13" spans="2:16">
      <c r="B13" s="23">
        <v>2021</v>
      </c>
      <c r="C13" s="24">
        <v>25740.7337</v>
      </c>
      <c r="D13" s="24">
        <v>67571.4237</v>
      </c>
      <c r="E13" s="24">
        <f>C13+D13</f>
        <v>0</v>
      </c>
      <c r="F13" s="24">
        <v>3060</v>
      </c>
      <c r="G13" s="39">
        <f>IF(E13=0,0,D13/E13)</f>
        <v>0</v>
      </c>
      <c r="H13" s="24">
        <f>E13-E12</f>
        <v>0</v>
      </c>
      <c r="I13" s="36">
        <f>IF(E12=0,0,H13/E12)</f>
        <v>0</v>
      </c>
    </row>
    <row r="14" spans="2:16">
      <c r="B14" s="23">
        <v>2022</v>
      </c>
      <c r="C14" s="24">
        <v>24430.7107</v>
      </c>
      <c r="D14" s="24">
        <v>22628.5092</v>
      </c>
      <c r="E14" s="24">
        <f>C14+D14</f>
        <v>0</v>
      </c>
      <c r="F14" s="24">
        <v>1407</v>
      </c>
      <c r="G14" s="39">
        <f>IF(E14=0,0,D14/E14)</f>
        <v>0</v>
      </c>
      <c r="H14" s="24">
        <f>E14-E13</f>
        <v>0</v>
      </c>
      <c r="I14" s="36">
        <f>IF(E13=0,0,H14/E13)</f>
        <v>0</v>
      </c>
    </row>
    <row r="15" spans="2:16">
      <c r="B15" s="23">
        <v>2023</v>
      </c>
      <c r="C15" s="24">
        <v>26140.2458</v>
      </c>
      <c r="D15" s="24">
        <v>23692.1589</v>
      </c>
      <c r="E15" s="24">
        <f>C15+D15</f>
        <v>0</v>
      </c>
      <c r="F15" s="24">
        <v>1442</v>
      </c>
      <c r="G15" s="39">
        <f>IF(E15=0,0,D15/E15)</f>
        <v>0</v>
      </c>
      <c r="H15" s="24">
        <f>E15-E14</f>
        <v>0</v>
      </c>
      <c r="I15" s="36">
        <f>IF(E14=0,0,H15/E14)</f>
        <v>0</v>
      </c>
    </row>
    <row r="16" spans="2:16">
      <c r="B16" s="23">
        <v>2024</v>
      </c>
      <c r="C16" s="24">
        <v>20382.4957</v>
      </c>
      <c r="D16" s="24">
        <v>21582.5668</v>
      </c>
      <c r="E16" s="24">
        <f>C16+D16</f>
        <v>0</v>
      </c>
      <c r="F16" s="24">
        <v>1529</v>
      </c>
      <c r="G16" s="39">
        <f>IF(E16=0,0,D16/E16)</f>
        <v>0</v>
      </c>
      <c r="H16" s="24">
        <f>E16-E15</f>
        <v>0</v>
      </c>
      <c r="I16" s="36">
        <f>IF(E15=0,0,H16/E15)</f>
        <v>0</v>
      </c>
    </row>
    <row r="17" spans="2:9">
      <c r="B17" s="23">
        <v>2025</v>
      </c>
      <c r="C17" s="24">
        <v>19416.5201</v>
      </c>
      <c r="D17" s="24">
        <v>19257.5535</v>
      </c>
      <c r="E17" s="24">
        <f>C17+D17</f>
        <v>0</v>
      </c>
      <c r="F17" s="24">
        <v>1213</v>
      </c>
      <c r="G17" s="39">
        <f>IF(E17=0,0,D17/E17)</f>
        <v>0</v>
      </c>
      <c r="H17" s="24">
        <f>E17-E16</f>
        <v>0</v>
      </c>
      <c r="I17" s="36">
        <f>IF(E16=0,0,H17/E16)</f>
        <v>0</v>
      </c>
    </row>
    <row r="18" spans="2:9">
      <c r="B18" s="40">
        <v>2026</v>
      </c>
      <c r="C18" s="34">
        <v>12029.062</v>
      </c>
      <c r="D18" s="34">
        <v>8249.7958</v>
      </c>
      <c r="E18" s="34">
        <f>C18+D18</f>
        <v>0</v>
      </c>
      <c r="F18" s="34">
        <v>762</v>
      </c>
      <c r="G18" s="37">
        <f>IF(E18=0,0,D18/E18)</f>
        <v>0</v>
      </c>
      <c r="H18" s="34">
        <f>E18-E17</f>
        <v>0</v>
      </c>
      <c r="I18" s="37">
        <f>IF(E17=0,0,H18/E17)</f>
        <v>0</v>
      </c>
    </row>
    <row r="19" spans="2:9">
      <c r="B19" s="40">
        <v>2027</v>
      </c>
      <c r="C19" s="34">
        <v>15923.1696</v>
      </c>
      <c r="D19" s="34">
        <v>0</v>
      </c>
      <c r="E19" s="34">
        <f>C19+D19</f>
        <v>0</v>
      </c>
      <c r="F19" s="34">
        <v>295</v>
      </c>
      <c r="G19" s="37">
        <f>IF(E19=0,0,D19/E19)</f>
        <v>0</v>
      </c>
      <c r="H19" s="34">
        <f>E19-E18</f>
        <v>0</v>
      </c>
      <c r="I19" s="37">
        <f>IF(E18=0,0,H19/E18)</f>
        <v>0</v>
      </c>
    </row>
    <row r="21" spans="2:9" ht="19" customHeight="1">
      <c r="B21" s="8" t="s">
        <v>125</v>
      </c>
      <c r="C21" s="8"/>
      <c r="D21" s="8"/>
      <c r="E21" s="8"/>
      <c r="F21" s="8"/>
    </row>
    <row r="22" spans="2:9">
      <c r="B22" s="41" t="s">
        <v>126</v>
      </c>
      <c r="C22" s="22" t="s">
        <v>127</v>
      </c>
      <c r="D22" s="22" t="s">
        <v>128</v>
      </c>
      <c r="E22" s="22" t="s">
        <v>129</v>
      </c>
      <c r="F22" s="22" t="s">
        <v>130</v>
      </c>
    </row>
    <row r="23" spans="2:9">
      <c r="B23" s="25" t="s">
        <v>131</v>
      </c>
      <c r="C23" s="24">
        <v>38674.0736</v>
      </c>
      <c r="D23" s="24">
        <v>20278.8578</v>
      </c>
      <c r="E23" s="24">
        <f>D23-C23</f>
        <v>0</v>
      </c>
      <c r="F23" s="36">
        <f>IF(C23=0,0,E23/C23)</f>
        <v>0</v>
      </c>
    </row>
    <row r="24" spans="2:9">
      <c r="B24" s="25" t="s">
        <v>2</v>
      </c>
      <c r="C24" s="24">
        <v>19416.5201</v>
      </c>
      <c r="D24" s="24">
        <v>12029.062</v>
      </c>
      <c r="E24" s="24">
        <f>D24-C24</f>
        <v>0</v>
      </c>
      <c r="F24" s="36">
        <f>IF(C24=0,0,E24/C24)</f>
        <v>0</v>
      </c>
    </row>
    <row r="25" spans="2:9">
      <c r="B25" s="25" t="s">
        <v>3</v>
      </c>
      <c r="C25" s="24">
        <v>19257.5535</v>
      </c>
      <c r="D25" s="24">
        <v>8249.7958</v>
      </c>
      <c r="E25" s="24">
        <f>D25-C25</f>
        <v>0</v>
      </c>
      <c r="F25" s="36">
        <f>IF(C25=0,0,E25/C25)</f>
        <v>0</v>
      </c>
    </row>
    <row r="26" spans="2:9">
      <c r="B26" s="41" t="s">
        <v>132</v>
      </c>
      <c r="C26" s="22" t="s">
        <v>127</v>
      </c>
      <c r="D26" s="22" t="s">
        <v>133</v>
      </c>
      <c r="E26" s="22" t="s">
        <v>129</v>
      </c>
      <c r="F26" s="22" t="s">
        <v>130</v>
      </c>
    </row>
    <row r="27" spans="2:9">
      <c r="B27" s="25" t="s">
        <v>131</v>
      </c>
      <c r="C27" s="24">
        <v>38674.0736</v>
      </c>
      <c r="D27" s="35" t="s">
        <v>134</v>
      </c>
      <c r="E27" s="35" t="s">
        <v>134</v>
      </c>
      <c r="F27" s="35" t="s">
        <v>134</v>
      </c>
    </row>
    <row r="28" spans="2:9">
      <c r="B28" s="25" t="s">
        <v>2</v>
      </c>
      <c r="C28" s="24">
        <v>19416.5201</v>
      </c>
      <c r="D28" s="24">
        <v>15923.1696</v>
      </c>
      <c r="E28" s="24">
        <f>D28-C28</f>
        <v>0</v>
      </c>
      <c r="F28" s="36">
        <f>IF(C28=0,0,E28/C28)</f>
        <v>0</v>
      </c>
    </row>
    <row r="29" spans="2:9">
      <c r="B29" s="25" t="s">
        <v>3</v>
      </c>
      <c r="C29" s="24">
        <v>19257.5535</v>
      </c>
      <c r="D29" s="35" t="s">
        <v>134</v>
      </c>
      <c r="E29" s="35" t="s">
        <v>134</v>
      </c>
      <c r="F29" s="35" t="s">
        <v>134</v>
      </c>
    </row>
    <row r="30" spans="2:9">
      <c r="B30" s="41" t="s">
        <v>135</v>
      </c>
      <c r="C30" s="22" t="s">
        <v>128</v>
      </c>
      <c r="D30" s="22" t="s">
        <v>133</v>
      </c>
      <c r="E30" s="22" t="s">
        <v>129</v>
      </c>
      <c r="F30" s="22" t="s">
        <v>130</v>
      </c>
    </row>
    <row r="31" spans="2:9">
      <c r="B31" s="25" t="s">
        <v>131</v>
      </c>
      <c r="C31" s="24">
        <v>20278.8578</v>
      </c>
      <c r="D31" s="35" t="s">
        <v>134</v>
      </c>
      <c r="E31" s="35" t="s">
        <v>134</v>
      </c>
      <c r="F31" s="35" t="s">
        <v>134</v>
      </c>
    </row>
    <row r="32" spans="2:9">
      <c r="B32" s="25" t="s">
        <v>2</v>
      </c>
      <c r="C32" s="24">
        <v>12029.062</v>
      </c>
      <c r="D32" s="24">
        <v>15923.1696</v>
      </c>
      <c r="E32" s="24">
        <f>D32-C32</f>
        <v>0</v>
      </c>
      <c r="F32" s="36">
        <f>IF(C32=0,0,E32/C32)</f>
        <v>0</v>
      </c>
    </row>
    <row r="33" spans="2:16">
      <c r="B33" s="25" t="s">
        <v>3</v>
      </c>
      <c r="C33" s="24">
        <v>8249.7958</v>
      </c>
      <c r="D33" s="35" t="s">
        <v>134</v>
      </c>
      <c r="E33" s="35" t="s">
        <v>134</v>
      </c>
      <c r="F33" s="35" t="s">
        <v>134</v>
      </c>
    </row>
    <row r="35" spans="2:16" ht="19" customHeight="1">
      <c r="B35" s="8" t="s">
        <v>136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>
      <c r="B36" s="21" t="s">
        <v>90</v>
      </c>
      <c r="C36" s="22" t="s">
        <v>92</v>
      </c>
      <c r="D36" s="22" t="s">
        <v>93</v>
      </c>
      <c r="E36" s="22" t="s">
        <v>94</v>
      </c>
      <c r="F36" s="22" t="s">
        <v>95</v>
      </c>
      <c r="G36" s="22" t="s">
        <v>96</v>
      </c>
      <c r="H36" s="22" t="s">
        <v>97</v>
      </c>
      <c r="I36" s="22" t="s">
        <v>98</v>
      </c>
      <c r="J36" s="22" t="s">
        <v>99</v>
      </c>
      <c r="K36" s="22" t="s">
        <v>100</v>
      </c>
      <c r="L36" s="22" t="s">
        <v>101</v>
      </c>
      <c r="M36" s="22" t="s">
        <v>102</v>
      </c>
      <c r="N36" s="22" t="s">
        <v>103</v>
      </c>
      <c r="O36" s="22" t="s">
        <v>114</v>
      </c>
      <c r="P36" s="22" t="s">
        <v>137</v>
      </c>
    </row>
    <row r="37" spans="2:16">
      <c r="B37" s="23">
        <v>2016</v>
      </c>
      <c r="C37" s="24">
        <v>2860.983</v>
      </c>
      <c r="D37" s="24">
        <v>3378.2843</v>
      </c>
      <c r="E37" s="24">
        <v>2856.6649</v>
      </c>
      <c r="F37" s="24">
        <v>3420.6431</v>
      </c>
      <c r="G37" s="24">
        <v>2686.364</v>
      </c>
      <c r="H37" s="24">
        <v>1393.9105</v>
      </c>
      <c r="I37" s="24">
        <v>1169.45</v>
      </c>
      <c r="J37" s="24">
        <v>1157.1605</v>
      </c>
      <c r="K37" s="24">
        <v>2368.8943</v>
      </c>
      <c r="L37" s="24">
        <v>4515.0891</v>
      </c>
      <c r="M37" s="24">
        <v>2142.3115</v>
      </c>
      <c r="N37" s="24">
        <v>1047.3438</v>
      </c>
      <c r="O37" s="32">
        <f>SUM(C37:N37)</f>
        <v>0</v>
      </c>
    </row>
    <row r="38" spans="2:16">
      <c r="B38" s="23">
        <v>2017</v>
      </c>
      <c r="C38" s="24">
        <v>2701.2162</v>
      </c>
      <c r="D38" s="24">
        <v>4727.1466</v>
      </c>
      <c r="E38" s="24">
        <v>4391.0779</v>
      </c>
      <c r="F38" s="24">
        <v>2546.959</v>
      </c>
      <c r="G38" s="24">
        <v>2036.6085</v>
      </c>
      <c r="H38" s="24">
        <v>1271.599</v>
      </c>
      <c r="I38" s="24">
        <v>949.1197999999999</v>
      </c>
      <c r="J38" s="24">
        <v>2815.6721</v>
      </c>
      <c r="K38" s="24">
        <v>7943.7785</v>
      </c>
      <c r="L38" s="24">
        <v>4559.5532</v>
      </c>
      <c r="M38" s="24">
        <v>2616.032</v>
      </c>
      <c r="N38" s="24">
        <v>626.8315</v>
      </c>
      <c r="O38" s="32">
        <f>SUM(C38:N38)</f>
        <v>0</v>
      </c>
    </row>
    <row r="39" spans="2:16">
      <c r="B39" s="23">
        <v>2018</v>
      </c>
      <c r="C39" s="24">
        <v>1861.8575</v>
      </c>
      <c r="D39" s="24">
        <v>4385.2274</v>
      </c>
      <c r="E39" s="24">
        <v>3891.1352</v>
      </c>
      <c r="F39" s="24">
        <v>3200.5971</v>
      </c>
      <c r="G39" s="24">
        <v>2830.4237</v>
      </c>
      <c r="H39" s="24">
        <v>1361.831</v>
      </c>
      <c r="I39" s="24">
        <v>2025.8086</v>
      </c>
      <c r="J39" s="24">
        <v>1681.6739</v>
      </c>
      <c r="K39" s="24">
        <v>2841.9706</v>
      </c>
      <c r="L39" s="24">
        <v>4856.704</v>
      </c>
      <c r="M39" s="24">
        <v>2295.9006</v>
      </c>
      <c r="N39" s="24">
        <v>802.355</v>
      </c>
      <c r="O39" s="32">
        <f>SUM(C39:N39)</f>
        <v>0</v>
      </c>
    </row>
    <row r="40" spans="2:16">
      <c r="B40" s="23">
        <v>2019</v>
      </c>
      <c r="C40" s="24">
        <v>2650.7318</v>
      </c>
      <c r="D40" s="24">
        <v>4505.4825</v>
      </c>
      <c r="E40" s="24">
        <v>4628.2857</v>
      </c>
      <c r="F40" s="24">
        <v>5013.3596</v>
      </c>
      <c r="G40" s="24">
        <v>3580.2703</v>
      </c>
      <c r="H40" s="24">
        <v>2407.915</v>
      </c>
      <c r="I40" s="24">
        <v>1950.0196</v>
      </c>
      <c r="J40" s="24">
        <v>1652.1333</v>
      </c>
      <c r="K40" s="24">
        <v>4505.1194</v>
      </c>
      <c r="L40" s="24">
        <v>6169.3255</v>
      </c>
      <c r="M40" s="24">
        <v>4039.216</v>
      </c>
      <c r="N40" s="24">
        <v>1555.7402</v>
      </c>
      <c r="O40" s="32">
        <f>SUM(C40:N40)</f>
        <v>0</v>
      </c>
    </row>
    <row r="41" spans="2:16">
      <c r="B41" s="23">
        <v>2020</v>
      </c>
      <c r="C41" s="24">
        <v>2838.8157</v>
      </c>
      <c r="D41" s="24">
        <v>4560.7311</v>
      </c>
      <c r="E41" s="24">
        <v>5991.9393</v>
      </c>
      <c r="F41" s="24">
        <v>15337.4971</v>
      </c>
      <c r="G41" s="24">
        <v>15952.9304</v>
      </c>
      <c r="H41" s="24">
        <v>15478.4185</v>
      </c>
      <c r="I41" s="24">
        <v>14921.496</v>
      </c>
      <c r="J41" s="24">
        <v>14559.4961</v>
      </c>
      <c r="K41" s="24">
        <v>16522.4</v>
      </c>
      <c r="L41" s="24">
        <v>15931.9618</v>
      </c>
      <c r="M41" s="24">
        <v>13964.7123</v>
      </c>
      <c r="N41" s="24">
        <v>14191.5837</v>
      </c>
      <c r="O41" s="32">
        <f>SUM(C41:N41)</f>
        <v>0</v>
      </c>
    </row>
    <row r="42" spans="2:16">
      <c r="B42" s="23">
        <v>2021</v>
      </c>
      <c r="C42" s="24">
        <v>14117.8485</v>
      </c>
      <c r="D42" s="24">
        <v>19542.5115</v>
      </c>
      <c r="E42" s="24">
        <v>14144.8712</v>
      </c>
      <c r="F42" s="24">
        <v>8194.8163</v>
      </c>
      <c r="G42" s="24">
        <v>4675.9324</v>
      </c>
      <c r="H42" s="24">
        <v>3726.4132</v>
      </c>
      <c r="I42" s="24">
        <v>3463.5479</v>
      </c>
      <c r="J42" s="24">
        <v>3911.2804</v>
      </c>
      <c r="K42" s="24">
        <v>7484.5812</v>
      </c>
      <c r="L42" s="24">
        <v>7180.2097</v>
      </c>
      <c r="M42" s="24">
        <v>4198.3709</v>
      </c>
      <c r="N42" s="24">
        <v>2671.7742</v>
      </c>
      <c r="O42" s="32">
        <f>SUM(C42:N42)</f>
        <v>0</v>
      </c>
    </row>
    <row r="43" spans="2:16">
      <c r="B43" s="23">
        <v>2022</v>
      </c>
      <c r="C43" s="24">
        <v>3778.1429</v>
      </c>
      <c r="D43" s="24">
        <v>4947.385</v>
      </c>
      <c r="E43" s="24">
        <v>4010.1805</v>
      </c>
      <c r="F43" s="24">
        <v>4468.467</v>
      </c>
      <c r="G43" s="24">
        <v>4077.0188</v>
      </c>
      <c r="H43" s="24">
        <v>3033.2868</v>
      </c>
      <c r="I43" s="24">
        <v>3119.4187</v>
      </c>
      <c r="J43" s="24">
        <v>3037.9164</v>
      </c>
      <c r="K43" s="24">
        <v>3377.7149</v>
      </c>
      <c r="L43" s="24">
        <v>5566.1522</v>
      </c>
      <c r="M43" s="24">
        <v>3205.2054</v>
      </c>
      <c r="N43" s="24">
        <v>4438.3313</v>
      </c>
      <c r="O43" s="32">
        <f>SUM(C43:N43)</f>
        <v>0</v>
      </c>
    </row>
    <row r="44" spans="2:16">
      <c r="B44" s="23">
        <v>2023</v>
      </c>
      <c r="C44" s="24">
        <v>5712.3266</v>
      </c>
      <c r="D44" s="24">
        <v>6813.7157</v>
      </c>
      <c r="E44" s="24">
        <v>6741.2225</v>
      </c>
      <c r="F44" s="24">
        <v>6116.2489</v>
      </c>
      <c r="G44" s="24">
        <v>3819.9794</v>
      </c>
      <c r="H44" s="24">
        <v>2289.9731</v>
      </c>
      <c r="I44" s="24">
        <v>1647.0638</v>
      </c>
      <c r="J44" s="24">
        <v>1759.571</v>
      </c>
      <c r="K44" s="24">
        <v>3954.8585</v>
      </c>
      <c r="L44" s="24">
        <v>6931.9118</v>
      </c>
      <c r="M44" s="24">
        <v>3069.4329</v>
      </c>
      <c r="N44" s="24">
        <v>976.1005</v>
      </c>
      <c r="O44" s="32">
        <f>SUM(C44:N44)</f>
        <v>0</v>
      </c>
    </row>
    <row r="45" spans="2:16">
      <c r="B45" s="23">
        <v>2024</v>
      </c>
      <c r="C45" s="24">
        <v>4684.8428</v>
      </c>
      <c r="D45" s="24">
        <v>8792.021000000001</v>
      </c>
      <c r="E45" s="24">
        <v>4695.105</v>
      </c>
      <c r="F45" s="24">
        <v>4532.5513</v>
      </c>
      <c r="G45" s="24">
        <v>2481.8625</v>
      </c>
      <c r="H45" s="24">
        <v>2108.9555</v>
      </c>
      <c r="I45" s="24">
        <v>1985.748</v>
      </c>
      <c r="J45" s="24">
        <v>1698.4168</v>
      </c>
      <c r="K45" s="24">
        <v>3566.3252</v>
      </c>
      <c r="L45" s="24">
        <v>4409.9705</v>
      </c>
      <c r="M45" s="24">
        <v>2230.0646</v>
      </c>
      <c r="N45" s="24">
        <v>779.1993</v>
      </c>
      <c r="O45" s="32">
        <f>SUM(C45:N45)</f>
        <v>0</v>
      </c>
    </row>
    <row r="46" spans="2:16">
      <c r="B46" s="23">
        <v>2025</v>
      </c>
      <c r="C46" s="24">
        <v>3521.0971</v>
      </c>
      <c r="D46" s="24">
        <v>5027.1616</v>
      </c>
      <c r="E46" s="24">
        <v>4431.0635</v>
      </c>
      <c r="F46" s="24">
        <v>5302.0811</v>
      </c>
      <c r="G46" s="24">
        <v>2654.0926</v>
      </c>
      <c r="H46" s="24">
        <v>1540.4157</v>
      </c>
      <c r="I46" s="24">
        <v>1195.17</v>
      </c>
      <c r="J46" s="24">
        <v>1609.1225</v>
      </c>
      <c r="K46" s="24">
        <v>3544.1765</v>
      </c>
      <c r="L46" s="24">
        <v>5848.478</v>
      </c>
      <c r="M46" s="24">
        <v>3057.862</v>
      </c>
      <c r="N46" s="24">
        <v>943.3530000000001</v>
      </c>
      <c r="O46" s="32">
        <f>SUM(C46:N46)</f>
        <v>0</v>
      </c>
    </row>
    <row r="47" spans="2:16">
      <c r="B47" s="40">
        <v>2026</v>
      </c>
      <c r="C47" s="34">
        <v>1849.6688</v>
      </c>
      <c r="D47" s="34">
        <v>3739.2241</v>
      </c>
      <c r="E47" s="34">
        <v>3152.1816</v>
      </c>
      <c r="F47" s="34">
        <v>3982.502</v>
      </c>
      <c r="G47" s="34">
        <v>2203.7437</v>
      </c>
      <c r="H47" s="34">
        <v>1158.8167</v>
      </c>
      <c r="I47" s="34">
        <v>375.506</v>
      </c>
      <c r="J47" s="34">
        <v>251.11</v>
      </c>
      <c r="K47" s="34">
        <v>1218.8349</v>
      </c>
      <c r="L47" s="34">
        <v>1640.294</v>
      </c>
      <c r="M47" s="34">
        <v>697.476</v>
      </c>
      <c r="N47" s="34">
        <v>9.5</v>
      </c>
      <c r="O47" s="34">
        <f>SUM(C47:N47)</f>
        <v>0</v>
      </c>
    </row>
    <row r="48" spans="2:16">
      <c r="B48" s="40">
        <v>2027</v>
      </c>
      <c r="C48" s="34">
        <v>1088.333</v>
      </c>
      <c r="D48" s="34">
        <v>2092.4001</v>
      </c>
      <c r="E48" s="34">
        <v>2910.1523</v>
      </c>
      <c r="F48" s="34">
        <v>2004.0124</v>
      </c>
      <c r="G48" s="34">
        <v>901.152</v>
      </c>
      <c r="H48" s="34">
        <v>215.305</v>
      </c>
      <c r="I48" s="34">
        <v>167.5</v>
      </c>
      <c r="J48" s="34">
        <v>51.06</v>
      </c>
      <c r="K48" s="34">
        <v>2986.8719</v>
      </c>
      <c r="L48" s="34">
        <v>2955.9469</v>
      </c>
      <c r="M48" s="34">
        <v>546.936</v>
      </c>
      <c r="N48" s="34">
        <v>3.5</v>
      </c>
      <c r="O48" s="34">
        <f>SUM(C48:N48)</f>
        <v>0</v>
      </c>
    </row>
    <row r="50" spans="2:16" ht="19" customHeight="1">
      <c r="B50" s="42" t="s">
        <v>138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2:16">
      <c r="B51" s="21" t="s">
        <v>90</v>
      </c>
      <c r="C51" s="22" t="s">
        <v>92</v>
      </c>
      <c r="D51" s="22" t="s">
        <v>93</v>
      </c>
      <c r="E51" s="22" t="s">
        <v>94</v>
      </c>
      <c r="F51" s="22" t="s">
        <v>95</v>
      </c>
      <c r="G51" s="22" t="s">
        <v>96</v>
      </c>
      <c r="H51" s="22" t="s">
        <v>97</v>
      </c>
      <c r="I51" s="22" t="s">
        <v>98</v>
      </c>
      <c r="J51" s="22" t="s">
        <v>99</v>
      </c>
      <c r="K51" s="22" t="s">
        <v>100</v>
      </c>
      <c r="L51" s="22" t="s">
        <v>101</v>
      </c>
      <c r="M51" s="22" t="s">
        <v>102</v>
      </c>
      <c r="N51" s="22" t="s">
        <v>103</v>
      </c>
      <c r="O51" s="22" t="s">
        <v>114</v>
      </c>
      <c r="P51" s="22" t="s">
        <v>137</v>
      </c>
    </row>
    <row r="52" spans="2:16">
      <c r="B52" s="23">
        <v>2016</v>
      </c>
      <c r="C52" s="24">
        <v>1355.891</v>
      </c>
      <c r="D52" s="24">
        <v>2356.0528</v>
      </c>
      <c r="E52" s="24">
        <v>2262.4363</v>
      </c>
      <c r="F52" s="24">
        <v>2214.6495</v>
      </c>
      <c r="G52" s="24">
        <v>1929.2655</v>
      </c>
      <c r="H52" s="24">
        <v>1012.4665</v>
      </c>
      <c r="I52" s="24">
        <v>879.146</v>
      </c>
      <c r="J52" s="24">
        <v>620.196</v>
      </c>
      <c r="K52" s="24">
        <v>1425.7288</v>
      </c>
      <c r="L52" s="24">
        <v>3211.355</v>
      </c>
      <c r="M52" s="24">
        <v>1231.044</v>
      </c>
      <c r="N52" s="24">
        <v>472.31</v>
      </c>
      <c r="O52" s="32">
        <f>SUM(C52:N52)</f>
        <v>0</v>
      </c>
    </row>
    <row r="53" spans="2:16">
      <c r="B53" s="23">
        <v>2017</v>
      </c>
      <c r="C53" s="24">
        <v>1478.053</v>
      </c>
      <c r="D53" s="24">
        <v>3349.4491</v>
      </c>
      <c r="E53" s="24">
        <v>3292.1979</v>
      </c>
      <c r="F53" s="24">
        <v>2000.6345</v>
      </c>
      <c r="G53" s="24">
        <v>1280.778</v>
      </c>
      <c r="H53" s="24">
        <v>956.689</v>
      </c>
      <c r="I53" s="24">
        <v>546.001</v>
      </c>
      <c r="J53" s="24">
        <v>431.277</v>
      </c>
      <c r="K53" s="24">
        <v>839.385</v>
      </c>
      <c r="L53" s="24">
        <v>3165.263</v>
      </c>
      <c r="M53" s="24">
        <v>1753.448</v>
      </c>
      <c r="N53" s="24">
        <v>286.2625</v>
      </c>
      <c r="O53" s="32">
        <f>SUM(C53:N53)</f>
        <v>0</v>
      </c>
    </row>
    <row r="54" spans="2:16">
      <c r="B54" s="23">
        <v>2018</v>
      </c>
      <c r="C54" s="24">
        <v>1009.223</v>
      </c>
      <c r="D54" s="24">
        <v>2931.315</v>
      </c>
      <c r="E54" s="24">
        <v>2998.0815</v>
      </c>
      <c r="F54" s="24">
        <v>2219.0596</v>
      </c>
      <c r="G54" s="24">
        <v>1972.1564</v>
      </c>
      <c r="H54" s="24">
        <v>735.282</v>
      </c>
      <c r="I54" s="24">
        <v>780.6709999999999</v>
      </c>
      <c r="J54" s="24">
        <v>608.745</v>
      </c>
      <c r="K54" s="24">
        <v>1625.1402</v>
      </c>
      <c r="L54" s="24">
        <v>3857.713</v>
      </c>
      <c r="M54" s="24">
        <v>1616.16</v>
      </c>
      <c r="N54" s="24">
        <v>313.347</v>
      </c>
      <c r="O54" s="32">
        <f>SUM(C54:N54)</f>
        <v>0</v>
      </c>
    </row>
    <row r="55" spans="2:16">
      <c r="B55" s="23">
        <v>2019</v>
      </c>
      <c r="C55" s="24">
        <v>1032.795</v>
      </c>
      <c r="D55" s="24">
        <v>1639.525</v>
      </c>
      <c r="E55" s="24">
        <v>2278.0599</v>
      </c>
      <c r="F55" s="24">
        <v>2767.0536</v>
      </c>
      <c r="G55" s="24">
        <v>2038.469</v>
      </c>
      <c r="H55" s="24">
        <v>1165.339</v>
      </c>
      <c r="I55" s="24">
        <v>867.252</v>
      </c>
      <c r="J55" s="24">
        <v>1015.743</v>
      </c>
      <c r="K55" s="24">
        <v>3000.6745</v>
      </c>
      <c r="L55" s="24">
        <v>4596.3532</v>
      </c>
      <c r="M55" s="24">
        <v>2940.571</v>
      </c>
      <c r="N55" s="24">
        <v>980.3593999999999</v>
      </c>
      <c r="O55" s="32">
        <f>SUM(C55:N55)</f>
        <v>0</v>
      </c>
    </row>
    <row r="56" spans="2:16">
      <c r="B56" s="23">
        <v>2020</v>
      </c>
      <c r="C56" s="24">
        <v>1606.7775</v>
      </c>
      <c r="D56" s="24">
        <v>2668.176</v>
      </c>
      <c r="E56" s="24">
        <v>2867.6665</v>
      </c>
      <c r="F56" s="24">
        <v>2237.0325</v>
      </c>
      <c r="G56" s="24">
        <v>2650.3255</v>
      </c>
      <c r="H56" s="24">
        <v>2469.553</v>
      </c>
      <c r="I56" s="24">
        <v>2067.135</v>
      </c>
      <c r="J56" s="24">
        <v>988.502</v>
      </c>
      <c r="K56" s="24">
        <v>1794.3145</v>
      </c>
      <c r="L56" s="24">
        <v>2196.246</v>
      </c>
      <c r="M56" s="24">
        <v>1840.298</v>
      </c>
      <c r="N56" s="24">
        <v>2085.71</v>
      </c>
      <c r="O56" s="32">
        <f>SUM(C56:N56)</f>
        <v>0</v>
      </c>
    </row>
    <row r="57" spans="2:16">
      <c r="B57" s="23">
        <v>2021</v>
      </c>
      <c r="C57" s="24">
        <v>2121.436</v>
      </c>
      <c r="D57" s="24">
        <v>2520.3674</v>
      </c>
      <c r="E57" s="24">
        <v>2787.1875</v>
      </c>
      <c r="F57" s="24">
        <v>2794.8713</v>
      </c>
      <c r="G57" s="24">
        <v>2380.9854</v>
      </c>
      <c r="H57" s="24">
        <v>1469.715</v>
      </c>
      <c r="I57" s="24">
        <v>1742.8955</v>
      </c>
      <c r="J57" s="24">
        <v>1674.8782</v>
      </c>
      <c r="K57" s="24">
        <v>2474.59</v>
      </c>
      <c r="L57" s="24">
        <v>3247.2525</v>
      </c>
      <c r="M57" s="24">
        <v>1662.6349</v>
      </c>
      <c r="N57" s="24">
        <v>863.92</v>
      </c>
      <c r="O57" s="32">
        <f>SUM(C57:N57)</f>
        <v>0</v>
      </c>
    </row>
    <row r="58" spans="2:16">
      <c r="B58" s="23">
        <v>2022</v>
      </c>
      <c r="C58" s="24">
        <v>1641.7355</v>
      </c>
      <c r="D58" s="24">
        <v>2387.247</v>
      </c>
      <c r="E58" s="24">
        <v>2112.384</v>
      </c>
      <c r="F58" s="24">
        <v>2341.9101</v>
      </c>
      <c r="G58" s="24">
        <v>2161.212</v>
      </c>
      <c r="H58" s="24">
        <v>1667.875</v>
      </c>
      <c r="I58" s="24">
        <v>1781.1225</v>
      </c>
      <c r="J58" s="24">
        <v>1690.934</v>
      </c>
      <c r="K58" s="24">
        <v>2179.5036</v>
      </c>
      <c r="L58" s="24">
        <v>3762.534</v>
      </c>
      <c r="M58" s="24">
        <v>1548.049</v>
      </c>
      <c r="N58" s="24">
        <v>1156.204</v>
      </c>
      <c r="O58" s="32">
        <f>SUM(C58:N58)</f>
        <v>0</v>
      </c>
    </row>
    <row r="59" spans="2:16">
      <c r="B59" s="23">
        <v>2023</v>
      </c>
      <c r="C59" s="24">
        <v>2552.9085</v>
      </c>
      <c r="D59" s="24">
        <v>4134.309</v>
      </c>
      <c r="E59" s="24">
        <v>3664.6845</v>
      </c>
      <c r="F59" s="24">
        <v>3647.546</v>
      </c>
      <c r="G59" s="24">
        <v>2071.2518</v>
      </c>
      <c r="H59" s="24">
        <v>368.477</v>
      </c>
      <c r="I59" s="24">
        <v>171.937</v>
      </c>
      <c r="J59" s="24">
        <v>315.56</v>
      </c>
      <c r="K59" s="24">
        <v>2423.3365</v>
      </c>
      <c r="L59" s="24">
        <v>4943.1683</v>
      </c>
      <c r="M59" s="24">
        <v>1718.509</v>
      </c>
      <c r="N59" s="24">
        <v>128.5582</v>
      </c>
      <c r="O59" s="32">
        <f>SUM(C59:N59)</f>
        <v>0</v>
      </c>
    </row>
    <row r="60" spans="2:16">
      <c r="B60" s="23">
        <v>2024</v>
      </c>
      <c r="C60" s="24">
        <v>2251.219</v>
      </c>
      <c r="D60" s="24">
        <v>3766.8788</v>
      </c>
      <c r="E60" s="24">
        <v>2643.9494</v>
      </c>
      <c r="F60" s="24">
        <v>2651.0149</v>
      </c>
      <c r="G60" s="24">
        <v>1541.172</v>
      </c>
      <c r="H60" s="24">
        <v>1085.2415</v>
      </c>
      <c r="I60" s="24">
        <v>512.8795</v>
      </c>
      <c r="J60" s="24">
        <v>486.4172</v>
      </c>
      <c r="K60" s="24">
        <v>1721.3308</v>
      </c>
      <c r="L60" s="24">
        <v>2469.8125</v>
      </c>
      <c r="M60" s="24">
        <v>1183.0576</v>
      </c>
      <c r="N60" s="24">
        <v>69.52250000000001</v>
      </c>
      <c r="O60" s="32">
        <f>SUM(C60:N60)</f>
        <v>0</v>
      </c>
    </row>
    <row r="61" spans="2:16">
      <c r="B61" s="23">
        <v>2025</v>
      </c>
      <c r="C61" s="24">
        <v>2120.1022</v>
      </c>
      <c r="D61" s="24">
        <v>3003.7811</v>
      </c>
      <c r="E61" s="24">
        <v>2202.617</v>
      </c>
      <c r="F61" s="24">
        <v>2680.846</v>
      </c>
      <c r="G61" s="24">
        <v>900.91</v>
      </c>
      <c r="H61" s="24">
        <v>370.8306</v>
      </c>
      <c r="I61" s="24">
        <v>255.7162</v>
      </c>
      <c r="J61" s="24">
        <v>629.405</v>
      </c>
      <c r="K61" s="24">
        <v>2057.151</v>
      </c>
      <c r="L61" s="24">
        <v>3379.727</v>
      </c>
      <c r="M61" s="24">
        <v>1733.814</v>
      </c>
      <c r="N61" s="24">
        <v>81.62</v>
      </c>
      <c r="O61" s="32">
        <f>SUM(C61:N61)</f>
        <v>0</v>
      </c>
    </row>
    <row r="62" spans="2:16">
      <c r="B62" s="40">
        <v>2026</v>
      </c>
      <c r="C62" s="34">
        <v>1062.6823</v>
      </c>
      <c r="D62" s="34">
        <v>1946.2561</v>
      </c>
      <c r="E62" s="34">
        <v>2033.7659</v>
      </c>
      <c r="F62" s="34">
        <v>1938.51</v>
      </c>
      <c r="G62" s="34">
        <v>1001.3308</v>
      </c>
      <c r="H62" s="34">
        <v>179.03</v>
      </c>
      <c r="I62" s="34">
        <v>233.572</v>
      </c>
      <c r="J62" s="34">
        <v>204.11</v>
      </c>
      <c r="K62" s="34">
        <v>1171.8349</v>
      </c>
      <c r="L62" s="34">
        <v>1593.294</v>
      </c>
      <c r="M62" s="34">
        <v>655.176</v>
      </c>
      <c r="N62" s="34">
        <v>9.5</v>
      </c>
      <c r="O62" s="34">
        <f>SUM(C62:N62)</f>
        <v>0</v>
      </c>
    </row>
    <row r="63" spans="2:16">
      <c r="B63" s="40">
        <v>2027</v>
      </c>
      <c r="C63" s="34">
        <v>1088.333</v>
      </c>
      <c r="D63" s="34">
        <v>2092.4001</v>
      </c>
      <c r="E63" s="34">
        <v>2910.1523</v>
      </c>
      <c r="F63" s="34">
        <v>2004.0124</v>
      </c>
      <c r="G63" s="34">
        <v>901.152</v>
      </c>
      <c r="H63" s="34">
        <v>215.305</v>
      </c>
      <c r="I63" s="34">
        <v>167.5</v>
      </c>
      <c r="J63" s="34">
        <v>51.06</v>
      </c>
      <c r="K63" s="34">
        <v>2986.8719</v>
      </c>
      <c r="L63" s="34">
        <v>2955.9469</v>
      </c>
      <c r="M63" s="34">
        <v>546.936</v>
      </c>
      <c r="N63" s="34">
        <v>3.5</v>
      </c>
      <c r="O63" s="34">
        <f>SUM(C63:N63)</f>
        <v>0</v>
      </c>
    </row>
    <row r="65" spans="2:16" ht="19" customHeight="1">
      <c r="B65" s="6" t="s">
        <v>139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>
      <c r="B66" s="21" t="s">
        <v>90</v>
      </c>
      <c r="C66" s="22" t="s">
        <v>92</v>
      </c>
      <c r="D66" s="22" t="s">
        <v>93</v>
      </c>
      <c r="E66" s="22" t="s">
        <v>94</v>
      </c>
      <c r="F66" s="22" t="s">
        <v>95</v>
      </c>
      <c r="G66" s="22" t="s">
        <v>96</v>
      </c>
      <c r="H66" s="22" t="s">
        <v>97</v>
      </c>
      <c r="I66" s="22" t="s">
        <v>98</v>
      </c>
      <c r="J66" s="22" t="s">
        <v>99</v>
      </c>
      <c r="K66" s="22" t="s">
        <v>100</v>
      </c>
      <c r="L66" s="22" t="s">
        <v>101</v>
      </c>
      <c r="M66" s="22" t="s">
        <v>102</v>
      </c>
      <c r="N66" s="22" t="s">
        <v>103</v>
      </c>
      <c r="O66" s="22" t="s">
        <v>114</v>
      </c>
      <c r="P66" s="22" t="s">
        <v>137</v>
      </c>
    </row>
    <row r="67" spans="2:16">
      <c r="B67" s="23">
        <v>2016</v>
      </c>
      <c r="C67" s="24">
        <v>1505.092</v>
      </c>
      <c r="D67" s="24">
        <v>1022.2315</v>
      </c>
      <c r="E67" s="24">
        <v>594.2286</v>
      </c>
      <c r="F67" s="24">
        <v>1205.9936</v>
      </c>
      <c r="G67" s="24">
        <v>757.0985000000001</v>
      </c>
      <c r="H67" s="24">
        <v>381.444</v>
      </c>
      <c r="I67" s="24">
        <v>290.304</v>
      </c>
      <c r="J67" s="24">
        <v>536.9645</v>
      </c>
      <c r="K67" s="24">
        <v>943.1655</v>
      </c>
      <c r="L67" s="24">
        <v>1303.7341</v>
      </c>
      <c r="M67" s="24">
        <v>911.2675</v>
      </c>
      <c r="N67" s="24">
        <v>575.0338</v>
      </c>
      <c r="O67" s="32">
        <f>SUM(C67:N67)</f>
        <v>0</v>
      </c>
    </row>
    <row r="68" spans="2:16">
      <c r="B68" s="23">
        <v>2017</v>
      </c>
      <c r="C68" s="24">
        <v>1223.1632</v>
      </c>
      <c r="D68" s="24">
        <v>1377.6975</v>
      </c>
      <c r="E68" s="24">
        <v>1098.88</v>
      </c>
      <c r="F68" s="24">
        <v>546.3244999999999</v>
      </c>
      <c r="G68" s="24">
        <v>755.8305</v>
      </c>
      <c r="H68" s="24">
        <v>314.91</v>
      </c>
      <c r="I68" s="24">
        <v>403.1188</v>
      </c>
      <c r="J68" s="24">
        <v>2384.3951</v>
      </c>
      <c r="K68" s="24">
        <v>7104.3935</v>
      </c>
      <c r="L68" s="24">
        <v>1394.2902</v>
      </c>
      <c r="M68" s="24">
        <v>862.5840000000001</v>
      </c>
      <c r="N68" s="24">
        <v>340.569</v>
      </c>
      <c r="O68" s="32">
        <f>SUM(C68:N68)</f>
        <v>0</v>
      </c>
    </row>
    <row r="69" spans="2:16">
      <c r="B69" s="23">
        <v>2018</v>
      </c>
      <c r="C69" s="24">
        <v>852.6345</v>
      </c>
      <c r="D69" s="24">
        <v>1453.9124</v>
      </c>
      <c r="E69" s="24">
        <v>893.0537</v>
      </c>
      <c r="F69" s="24">
        <v>981.5375</v>
      </c>
      <c r="G69" s="24">
        <v>858.2673</v>
      </c>
      <c r="H69" s="24">
        <v>626.549</v>
      </c>
      <c r="I69" s="24">
        <v>1245.1376</v>
      </c>
      <c r="J69" s="24">
        <v>1072.9289</v>
      </c>
      <c r="K69" s="24">
        <v>1216.8304</v>
      </c>
      <c r="L69" s="24">
        <v>998.991</v>
      </c>
      <c r="M69" s="24">
        <v>679.7406</v>
      </c>
      <c r="N69" s="24">
        <v>489.008</v>
      </c>
      <c r="O69" s="32">
        <f>SUM(C69:N69)</f>
        <v>0</v>
      </c>
    </row>
    <row r="70" spans="2:16">
      <c r="B70" s="23">
        <v>2019</v>
      </c>
      <c r="C70" s="24">
        <v>1617.9368</v>
      </c>
      <c r="D70" s="24">
        <v>2865.9575</v>
      </c>
      <c r="E70" s="24">
        <v>2350.2258</v>
      </c>
      <c r="F70" s="24">
        <v>2246.306</v>
      </c>
      <c r="G70" s="24">
        <v>1541.8013</v>
      </c>
      <c r="H70" s="24">
        <v>1242.576</v>
      </c>
      <c r="I70" s="24">
        <v>1082.7676</v>
      </c>
      <c r="J70" s="24">
        <v>636.3903</v>
      </c>
      <c r="K70" s="24">
        <v>1504.4449</v>
      </c>
      <c r="L70" s="24">
        <v>1572.9723</v>
      </c>
      <c r="M70" s="24">
        <v>1098.645</v>
      </c>
      <c r="N70" s="24">
        <v>575.3808</v>
      </c>
      <c r="O70" s="32">
        <f>SUM(C70:N70)</f>
        <v>0</v>
      </c>
    </row>
    <row r="71" spans="2:16">
      <c r="B71" s="23">
        <v>2020</v>
      </c>
      <c r="C71" s="24">
        <v>1232.0382</v>
      </c>
      <c r="D71" s="24">
        <v>1892.5551</v>
      </c>
      <c r="E71" s="24">
        <v>3124.2728</v>
      </c>
      <c r="F71" s="24">
        <v>13100.4646</v>
      </c>
      <c r="G71" s="24">
        <v>13302.6049</v>
      </c>
      <c r="H71" s="24">
        <v>13008.8655</v>
      </c>
      <c r="I71" s="24">
        <v>12854.361</v>
      </c>
      <c r="J71" s="24">
        <v>13570.9941</v>
      </c>
      <c r="K71" s="24">
        <v>14728.0855</v>
      </c>
      <c r="L71" s="24">
        <v>13735.7158</v>
      </c>
      <c r="M71" s="24">
        <v>12124.4143</v>
      </c>
      <c r="N71" s="24">
        <v>12105.8737</v>
      </c>
      <c r="O71" s="32">
        <f>SUM(C71:N71)</f>
        <v>0</v>
      </c>
    </row>
    <row r="72" spans="2:16">
      <c r="B72" s="23">
        <v>2021</v>
      </c>
      <c r="C72" s="24">
        <v>11996.4125</v>
      </c>
      <c r="D72" s="24">
        <v>17022.1441</v>
      </c>
      <c r="E72" s="24">
        <v>11357.6837</v>
      </c>
      <c r="F72" s="24">
        <v>5399.945</v>
      </c>
      <c r="G72" s="24">
        <v>2294.947</v>
      </c>
      <c r="H72" s="24">
        <v>2256.6982</v>
      </c>
      <c r="I72" s="24">
        <v>1720.6524</v>
      </c>
      <c r="J72" s="24">
        <v>2236.4022</v>
      </c>
      <c r="K72" s="24">
        <v>5009.9912</v>
      </c>
      <c r="L72" s="24">
        <v>3932.9572</v>
      </c>
      <c r="M72" s="24">
        <v>2535.736</v>
      </c>
      <c r="N72" s="24">
        <v>1807.8542</v>
      </c>
      <c r="O72" s="32">
        <f>SUM(C72:N72)</f>
        <v>0</v>
      </c>
    </row>
    <row r="73" spans="2:16">
      <c r="B73" s="23">
        <v>2022</v>
      </c>
      <c r="C73" s="24">
        <v>2136.4074</v>
      </c>
      <c r="D73" s="24">
        <v>2560.138</v>
      </c>
      <c r="E73" s="24">
        <v>1897.7965</v>
      </c>
      <c r="F73" s="24">
        <v>2126.5569</v>
      </c>
      <c r="G73" s="24">
        <v>1915.8068</v>
      </c>
      <c r="H73" s="24">
        <v>1365.4118</v>
      </c>
      <c r="I73" s="24">
        <v>1338.2962</v>
      </c>
      <c r="J73" s="24">
        <v>1346.9824</v>
      </c>
      <c r="K73" s="24">
        <v>1198.2113</v>
      </c>
      <c r="L73" s="24">
        <v>1803.6182</v>
      </c>
      <c r="M73" s="24">
        <v>1657.1564</v>
      </c>
      <c r="N73" s="24">
        <v>3282.1273</v>
      </c>
      <c r="O73" s="32">
        <f>SUM(C73:N73)</f>
        <v>0</v>
      </c>
    </row>
    <row r="74" spans="2:16">
      <c r="B74" s="23">
        <v>2023</v>
      </c>
      <c r="C74" s="24">
        <v>3159.4181</v>
      </c>
      <c r="D74" s="24">
        <v>2679.4067</v>
      </c>
      <c r="E74" s="24">
        <v>3076.538</v>
      </c>
      <c r="F74" s="24">
        <v>2468.7029</v>
      </c>
      <c r="G74" s="24">
        <v>1748.7276</v>
      </c>
      <c r="H74" s="24">
        <v>1921.4961</v>
      </c>
      <c r="I74" s="24">
        <v>1475.1268</v>
      </c>
      <c r="J74" s="24">
        <v>1444.011</v>
      </c>
      <c r="K74" s="24">
        <v>1531.522</v>
      </c>
      <c r="L74" s="24">
        <v>1988.7435</v>
      </c>
      <c r="M74" s="24">
        <v>1350.9239</v>
      </c>
      <c r="N74" s="24">
        <v>847.5423</v>
      </c>
      <c r="O74" s="32">
        <f>SUM(C74:N74)</f>
        <v>0</v>
      </c>
    </row>
    <row r="75" spans="2:16">
      <c r="B75" s="23">
        <v>2024</v>
      </c>
      <c r="C75" s="24">
        <v>2433.6238</v>
      </c>
      <c r="D75" s="24">
        <v>5025.1422</v>
      </c>
      <c r="E75" s="24">
        <v>2051.1556</v>
      </c>
      <c r="F75" s="24">
        <v>1881.5364</v>
      </c>
      <c r="G75" s="24">
        <v>940.6905</v>
      </c>
      <c r="H75" s="24">
        <v>1023.714</v>
      </c>
      <c r="I75" s="24">
        <v>1472.8685</v>
      </c>
      <c r="J75" s="24">
        <v>1211.9996</v>
      </c>
      <c r="K75" s="24">
        <v>1844.9944</v>
      </c>
      <c r="L75" s="24">
        <v>1940.158</v>
      </c>
      <c r="M75" s="24">
        <v>1047.007</v>
      </c>
      <c r="N75" s="24">
        <v>709.6768</v>
      </c>
      <c r="O75" s="32">
        <f>SUM(C75:N75)</f>
        <v>0</v>
      </c>
    </row>
    <row r="76" spans="2:16">
      <c r="B76" s="23">
        <v>2025</v>
      </c>
      <c r="C76" s="24">
        <v>1400.9949</v>
      </c>
      <c r="D76" s="24">
        <v>2023.3805</v>
      </c>
      <c r="E76" s="24">
        <v>2228.4465</v>
      </c>
      <c r="F76" s="24">
        <v>2621.2351</v>
      </c>
      <c r="G76" s="24">
        <v>1753.1826</v>
      </c>
      <c r="H76" s="24">
        <v>1169.5851</v>
      </c>
      <c r="I76" s="24">
        <v>939.4538</v>
      </c>
      <c r="J76" s="24">
        <v>979.7175</v>
      </c>
      <c r="K76" s="24">
        <v>1487.0255</v>
      </c>
      <c r="L76" s="24">
        <v>2468.751</v>
      </c>
      <c r="M76" s="24">
        <v>1324.048</v>
      </c>
      <c r="N76" s="24">
        <v>861.7330000000001</v>
      </c>
      <c r="O76" s="32">
        <f>SUM(C76:N76)</f>
        <v>0</v>
      </c>
    </row>
    <row r="77" spans="2:16">
      <c r="B77" s="40">
        <v>2026</v>
      </c>
      <c r="C77" s="34">
        <v>786.9865</v>
      </c>
      <c r="D77" s="34">
        <v>1792.968</v>
      </c>
      <c r="E77" s="34">
        <v>1118.4157</v>
      </c>
      <c r="F77" s="34">
        <v>2043.992</v>
      </c>
      <c r="G77" s="34">
        <v>1202.4129</v>
      </c>
      <c r="H77" s="34">
        <v>979.7867</v>
      </c>
      <c r="I77" s="34">
        <v>141.934</v>
      </c>
      <c r="J77" s="34">
        <v>47</v>
      </c>
      <c r="K77" s="34">
        <v>47</v>
      </c>
      <c r="L77" s="34">
        <v>47</v>
      </c>
      <c r="M77" s="34">
        <v>42.3</v>
      </c>
      <c r="N77" s="34">
        <v>0</v>
      </c>
      <c r="O77" s="34">
        <f>SUM(C77:N77)</f>
        <v>0</v>
      </c>
    </row>
    <row r="78" spans="2:16">
      <c r="B78" s="40">
        <v>2027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f>SUM(C78:N78)</f>
        <v>0</v>
      </c>
    </row>
    <row r="80" spans="2:16" ht="19" customHeight="1">
      <c r="B80" s="6" t="s">
        <v>140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2:14">
      <c r="B81" s="21" t="s">
        <v>90</v>
      </c>
      <c r="C81" s="22" t="s">
        <v>92</v>
      </c>
      <c r="D81" s="22" t="s">
        <v>93</v>
      </c>
      <c r="E81" s="22" t="s">
        <v>94</v>
      </c>
      <c r="F81" s="22" t="s">
        <v>95</v>
      </c>
      <c r="G81" s="22" t="s">
        <v>96</v>
      </c>
      <c r="H81" s="22" t="s">
        <v>97</v>
      </c>
      <c r="I81" s="22" t="s">
        <v>98</v>
      </c>
      <c r="J81" s="22" t="s">
        <v>99</v>
      </c>
      <c r="K81" s="22" t="s">
        <v>100</v>
      </c>
      <c r="L81" s="22" t="s">
        <v>101</v>
      </c>
      <c r="M81" s="22" t="s">
        <v>102</v>
      </c>
      <c r="N81" s="22" t="s">
        <v>103</v>
      </c>
    </row>
    <row r="82" spans="2:14">
      <c r="B82" s="23">
        <v>2016</v>
      </c>
      <c r="C82" s="35" t="s">
        <v>116</v>
      </c>
      <c r="D82" s="35" t="s">
        <v>116</v>
      </c>
      <c r="E82" s="35" t="s">
        <v>116</v>
      </c>
      <c r="F82" s="35" t="s">
        <v>116</v>
      </c>
      <c r="G82" s="35" t="s">
        <v>116</v>
      </c>
      <c r="H82" s="35" t="s">
        <v>116</v>
      </c>
      <c r="I82" s="35" t="s">
        <v>116</v>
      </c>
      <c r="J82" s="35" t="s">
        <v>116</v>
      </c>
      <c r="K82" s="35" t="s">
        <v>116</v>
      </c>
      <c r="L82" s="35" t="s">
        <v>116</v>
      </c>
      <c r="M82" s="35" t="s">
        <v>116</v>
      </c>
      <c r="N82" s="35" t="s">
        <v>116</v>
      </c>
    </row>
    <row r="83" spans="2:14">
      <c r="B83" s="23">
        <v>2017</v>
      </c>
      <c r="C83" s="36">
        <f>IF(C67=0,"n/a",(C68-C67)/C67)</f>
        <v>0</v>
      </c>
      <c r="D83" s="36">
        <f>IF(D67=0,"n/a",(D68-D67)/D67)</f>
        <v>0</v>
      </c>
      <c r="E83" s="36">
        <f>IF(E67=0,"n/a",(E68-E67)/E67)</f>
        <v>0</v>
      </c>
      <c r="F83" s="36">
        <f>IF(F67=0,"n/a",(F68-F67)/F67)</f>
        <v>0</v>
      </c>
      <c r="G83" s="36">
        <f>IF(G67=0,"n/a",(G68-G67)/G67)</f>
        <v>0</v>
      </c>
      <c r="H83" s="36">
        <f>IF(H67=0,"n/a",(H68-H67)/H67)</f>
        <v>0</v>
      </c>
      <c r="I83" s="36">
        <f>IF(I67=0,"n/a",(I68-I67)/I67)</f>
        <v>0</v>
      </c>
      <c r="J83" s="36">
        <f>IF(J67=0,"n/a",(J68-J67)/J67)</f>
        <v>0</v>
      </c>
      <c r="K83" s="36">
        <f>IF(K67=0,"n/a",(K68-K67)/K67)</f>
        <v>0</v>
      </c>
      <c r="L83" s="36">
        <f>IF(L67=0,"n/a",(L68-L67)/L67)</f>
        <v>0</v>
      </c>
      <c r="M83" s="36">
        <f>IF(M67=0,"n/a",(M68-M67)/M67)</f>
        <v>0</v>
      </c>
      <c r="N83" s="36">
        <f>IF(N67=0,"n/a",(N68-N67)/N67)</f>
        <v>0</v>
      </c>
    </row>
    <row r="84" spans="2:14">
      <c r="B84" s="23">
        <v>2018</v>
      </c>
      <c r="C84" s="36">
        <f>IF(C68=0,"n/a",(C69-C68)/C68)</f>
        <v>0</v>
      </c>
      <c r="D84" s="36">
        <f>IF(D68=0,"n/a",(D69-D68)/D68)</f>
        <v>0</v>
      </c>
      <c r="E84" s="36">
        <f>IF(E68=0,"n/a",(E69-E68)/E68)</f>
        <v>0</v>
      </c>
      <c r="F84" s="36">
        <f>IF(F68=0,"n/a",(F69-F68)/F68)</f>
        <v>0</v>
      </c>
      <c r="G84" s="36">
        <f>IF(G68=0,"n/a",(G69-G68)/G68)</f>
        <v>0</v>
      </c>
      <c r="H84" s="36">
        <f>IF(H68=0,"n/a",(H69-H68)/H68)</f>
        <v>0</v>
      </c>
      <c r="I84" s="36">
        <f>IF(I68=0,"n/a",(I69-I68)/I68)</f>
        <v>0</v>
      </c>
      <c r="J84" s="36">
        <f>IF(J68=0,"n/a",(J69-J68)/J68)</f>
        <v>0</v>
      </c>
      <c r="K84" s="36">
        <f>IF(K68=0,"n/a",(K69-K68)/K68)</f>
        <v>0</v>
      </c>
      <c r="L84" s="36">
        <f>IF(L68=0,"n/a",(L69-L68)/L68)</f>
        <v>0</v>
      </c>
      <c r="M84" s="36">
        <f>IF(M68=0,"n/a",(M69-M68)/M68)</f>
        <v>0</v>
      </c>
      <c r="N84" s="36">
        <f>IF(N68=0,"n/a",(N69-N68)/N68)</f>
        <v>0</v>
      </c>
    </row>
    <row r="85" spans="2:14">
      <c r="B85" s="23">
        <v>2019</v>
      </c>
      <c r="C85" s="36">
        <f>IF(C69=0,"n/a",(C70-C69)/C69)</f>
        <v>0</v>
      </c>
      <c r="D85" s="36">
        <f>IF(D69=0,"n/a",(D70-D69)/D69)</f>
        <v>0</v>
      </c>
      <c r="E85" s="36">
        <f>IF(E69=0,"n/a",(E70-E69)/E69)</f>
        <v>0</v>
      </c>
      <c r="F85" s="36">
        <f>IF(F69=0,"n/a",(F70-F69)/F69)</f>
        <v>0</v>
      </c>
      <c r="G85" s="36">
        <f>IF(G69=0,"n/a",(G70-G69)/G69)</f>
        <v>0</v>
      </c>
      <c r="H85" s="36">
        <f>IF(H69=0,"n/a",(H70-H69)/H69)</f>
        <v>0</v>
      </c>
      <c r="I85" s="36">
        <f>IF(I69=0,"n/a",(I70-I69)/I69)</f>
        <v>0</v>
      </c>
      <c r="J85" s="36">
        <f>IF(J69=0,"n/a",(J70-J69)/J69)</f>
        <v>0</v>
      </c>
      <c r="K85" s="36">
        <f>IF(K69=0,"n/a",(K70-K69)/K69)</f>
        <v>0</v>
      </c>
      <c r="L85" s="36">
        <f>IF(L69=0,"n/a",(L70-L69)/L69)</f>
        <v>0</v>
      </c>
      <c r="M85" s="36">
        <f>IF(M69=0,"n/a",(M70-M69)/M69)</f>
        <v>0</v>
      </c>
      <c r="N85" s="36">
        <f>IF(N69=0,"n/a",(N70-N69)/N69)</f>
        <v>0</v>
      </c>
    </row>
    <row r="86" spans="2:14">
      <c r="B86" s="23">
        <v>2020</v>
      </c>
      <c r="C86" s="36">
        <f>IF(C70=0,"n/a",(C71-C70)/C70)</f>
        <v>0</v>
      </c>
      <c r="D86" s="36">
        <f>IF(D70=0,"n/a",(D71-D70)/D70)</f>
        <v>0</v>
      </c>
      <c r="E86" s="36">
        <f>IF(E70=0,"n/a",(E71-E70)/E70)</f>
        <v>0</v>
      </c>
      <c r="F86" s="36">
        <f>IF(F70=0,"n/a",(F71-F70)/F70)</f>
        <v>0</v>
      </c>
      <c r="G86" s="36">
        <f>IF(G70=0,"n/a",(G71-G70)/G70)</f>
        <v>0</v>
      </c>
      <c r="H86" s="36">
        <f>IF(H70=0,"n/a",(H71-H70)/H70)</f>
        <v>0</v>
      </c>
      <c r="I86" s="36">
        <f>IF(I70=0,"n/a",(I71-I70)/I70)</f>
        <v>0</v>
      </c>
      <c r="J86" s="36">
        <f>IF(J70=0,"n/a",(J71-J70)/J70)</f>
        <v>0</v>
      </c>
      <c r="K86" s="36">
        <f>IF(K70=0,"n/a",(K71-K70)/K70)</f>
        <v>0</v>
      </c>
      <c r="L86" s="36">
        <f>IF(L70=0,"n/a",(L71-L70)/L70)</f>
        <v>0</v>
      </c>
      <c r="M86" s="36">
        <f>IF(M70=0,"n/a",(M71-M70)/M70)</f>
        <v>0</v>
      </c>
      <c r="N86" s="36">
        <f>IF(N70=0,"n/a",(N71-N70)/N70)</f>
        <v>0</v>
      </c>
    </row>
    <row r="87" spans="2:14">
      <c r="B87" s="23">
        <v>2021</v>
      </c>
      <c r="C87" s="36">
        <f>IF(C71=0,"n/a",(C72-C71)/C71)</f>
        <v>0</v>
      </c>
      <c r="D87" s="36">
        <f>IF(D71=0,"n/a",(D72-D71)/D71)</f>
        <v>0</v>
      </c>
      <c r="E87" s="36">
        <f>IF(E71=0,"n/a",(E72-E71)/E71)</f>
        <v>0</v>
      </c>
      <c r="F87" s="36">
        <f>IF(F71=0,"n/a",(F72-F71)/F71)</f>
        <v>0</v>
      </c>
      <c r="G87" s="36">
        <f>IF(G71=0,"n/a",(G72-G71)/G71)</f>
        <v>0</v>
      </c>
      <c r="H87" s="36">
        <f>IF(H71=0,"n/a",(H72-H71)/H71)</f>
        <v>0</v>
      </c>
      <c r="I87" s="36">
        <f>IF(I71=0,"n/a",(I72-I71)/I71)</f>
        <v>0</v>
      </c>
      <c r="J87" s="36">
        <f>IF(J71=0,"n/a",(J72-J71)/J71)</f>
        <v>0</v>
      </c>
      <c r="K87" s="36">
        <f>IF(K71=0,"n/a",(K72-K71)/K71)</f>
        <v>0</v>
      </c>
      <c r="L87" s="36">
        <f>IF(L71=0,"n/a",(L72-L71)/L71)</f>
        <v>0</v>
      </c>
      <c r="M87" s="36">
        <f>IF(M71=0,"n/a",(M72-M71)/M71)</f>
        <v>0</v>
      </c>
      <c r="N87" s="36">
        <f>IF(N71=0,"n/a",(N72-N71)/N71)</f>
        <v>0</v>
      </c>
    </row>
    <row r="88" spans="2:14">
      <c r="B88" s="23">
        <v>2022</v>
      </c>
      <c r="C88" s="36">
        <f>IF(C72=0,"n/a",(C73-C72)/C72)</f>
        <v>0</v>
      </c>
      <c r="D88" s="36">
        <f>IF(D72=0,"n/a",(D73-D72)/D72)</f>
        <v>0</v>
      </c>
      <c r="E88" s="36">
        <f>IF(E72=0,"n/a",(E73-E72)/E72)</f>
        <v>0</v>
      </c>
      <c r="F88" s="36">
        <f>IF(F72=0,"n/a",(F73-F72)/F72)</f>
        <v>0</v>
      </c>
      <c r="G88" s="36">
        <f>IF(G72=0,"n/a",(G73-G72)/G72)</f>
        <v>0</v>
      </c>
      <c r="H88" s="36">
        <f>IF(H72=0,"n/a",(H73-H72)/H72)</f>
        <v>0</v>
      </c>
      <c r="I88" s="36">
        <f>IF(I72=0,"n/a",(I73-I72)/I72)</f>
        <v>0</v>
      </c>
      <c r="J88" s="36">
        <f>IF(J72=0,"n/a",(J73-J72)/J72)</f>
        <v>0</v>
      </c>
      <c r="K88" s="36">
        <f>IF(K72=0,"n/a",(K73-K72)/K72)</f>
        <v>0</v>
      </c>
      <c r="L88" s="36">
        <f>IF(L72=0,"n/a",(L73-L72)/L72)</f>
        <v>0</v>
      </c>
      <c r="M88" s="36">
        <f>IF(M72=0,"n/a",(M73-M72)/M72)</f>
        <v>0</v>
      </c>
      <c r="N88" s="36">
        <f>IF(N72=0,"n/a",(N73-N72)/N72)</f>
        <v>0</v>
      </c>
    </row>
    <row r="89" spans="2:14">
      <c r="B89" s="23">
        <v>2023</v>
      </c>
      <c r="C89" s="36">
        <f>IF(C73=0,"n/a",(C74-C73)/C73)</f>
        <v>0</v>
      </c>
      <c r="D89" s="36">
        <f>IF(D73=0,"n/a",(D74-D73)/D73)</f>
        <v>0</v>
      </c>
      <c r="E89" s="36">
        <f>IF(E73=0,"n/a",(E74-E73)/E73)</f>
        <v>0</v>
      </c>
      <c r="F89" s="36">
        <f>IF(F73=0,"n/a",(F74-F73)/F73)</f>
        <v>0</v>
      </c>
      <c r="G89" s="36">
        <f>IF(G73=0,"n/a",(G74-G73)/G73)</f>
        <v>0</v>
      </c>
      <c r="H89" s="36">
        <f>IF(H73=0,"n/a",(H74-H73)/H73)</f>
        <v>0</v>
      </c>
      <c r="I89" s="36">
        <f>IF(I73=0,"n/a",(I74-I73)/I73)</f>
        <v>0</v>
      </c>
      <c r="J89" s="36">
        <f>IF(J73=0,"n/a",(J74-J73)/J73)</f>
        <v>0</v>
      </c>
      <c r="K89" s="36">
        <f>IF(K73=0,"n/a",(K74-K73)/K73)</f>
        <v>0</v>
      </c>
      <c r="L89" s="36">
        <f>IF(L73=0,"n/a",(L74-L73)/L73)</f>
        <v>0</v>
      </c>
      <c r="M89" s="36">
        <f>IF(M73=0,"n/a",(M74-M73)/M73)</f>
        <v>0</v>
      </c>
      <c r="N89" s="36">
        <f>IF(N73=0,"n/a",(N74-N73)/N73)</f>
        <v>0</v>
      </c>
    </row>
    <row r="90" spans="2:14">
      <c r="B90" s="23">
        <v>2024</v>
      </c>
      <c r="C90" s="36">
        <f>IF(C74=0,"n/a",(C75-C74)/C74)</f>
        <v>0</v>
      </c>
      <c r="D90" s="36">
        <f>IF(D74=0,"n/a",(D75-D74)/D74)</f>
        <v>0</v>
      </c>
      <c r="E90" s="36">
        <f>IF(E74=0,"n/a",(E75-E74)/E74)</f>
        <v>0</v>
      </c>
      <c r="F90" s="36">
        <f>IF(F74=0,"n/a",(F75-F74)/F74)</f>
        <v>0</v>
      </c>
      <c r="G90" s="36">
        <f>IF(G74=0,"n/a",(G75-G74)/G74)</f>
        <v>0</v>
      </c>
      <c r="H90" s="36">
        <f>IF(H74=0,"n/a",(H75-H74)/H74)</f>
        <v>0</v>
      </c>
      <c r="I90" s="36">
        <f>IF(I74=0,"n/a",(I75-I74)/I74)</f>
        <v>0</v>
      </c>
      <c r="J90" s="36">
        <f>IF(J74=0,"n/a",(J75-J74)/J74)</f>
        <v>0</v>
      </c>
      <c r="K90" s="36">
        <f>IF(K74=0,"n/a",(K75-K74)/K74)</f>
        <v>0</v>
      </c>
      <c r="L90" s="36">
        <f>IF(L74=0,"n/a",(L75-L74)/L74)</f>
        <v>0</v>
      </c>
      <c r="M90" s="36">
        <f>IF(M74=0,"n/a",(M75-M74)/M74)</f>
        <v>0</v>
      </c>
      <c r="N90" s="36">
        <f>IF(N74=0,"n/a",(N75-N74)/N74)</f>
        <v>0</v>
      </c>
    </row>
    <row r="91" spans="2:14">
      <c r="B91" s="23">
        <v>2025</v>
      </c>
      <c r="C91" s="36">
        <f>IF(C75=0,"n/a",(C76-C75)/C75)</f>
        <v>0</v>
      </c>
      <c r="D91" s="36">
        <f>IF(D75=0,"n/a",(D76-D75)/D75)</f>
        <v>0</v>
      </c>
      <c r="E91" s="36">
        <f>IF(E75=0,"n/a",(E76-E75)/E75)</f>
        <v>0</v>
      </c>
      <c r="F91" s="36">
        <f>IF(F75=0,"n/a",(F76-F75)/F75)</f>
        <v>0</v>
      </c>
      <c r="G91" s="36">
        <f>IF(G75=0,"n/a",(G76-G75)/G75)</f>
        <v>0</v>
      </c>
      <c r="H91" s="36">
        <f>IF(H75=0,"n/a",(H76-H75)/H75)</f>
        <v>0</v>
      </c>
      <c r="I91" s="36">
        <f>IF(I75=0,"n/a",(I76-I75)/I75)</f>
        <v>0</v>
      </c>
      <c r="J91" s="36">
        <f>IF(J75=0,"n/a",(J76-J75)/J75)</f>
        <v>0</v>
      </c>
      <c r="K91" s="36">
        <f>IF(K75=0,"n/a",(K76-K75)/K75)</f>
        <v>0</v>
      </c>
      <c r="L91" s="36">
        <f>IF(L75=0,"n/a",(L76-L75)/L75)</f>
        <v>0</v>
      </c>
      <c r="M91" s="36">
        <f>IF(M75=0,"n/a",(M76-M75)/M75)</f>
        <v>0</v>
      </c>
      <c r="N91" s="36">
        <f>IF(N75=0,"n/a",(N76-N75)/N75)</f>
        <v>0</v>
      </c>
    </row>
    <row r="92" spans="2:14">
      <c r="B92" s="40">
        <v>2026</v>
      </c>
      <c r="C92" s="37">
        <f>IF(C76=0,"n/a",(C77-C76)/C76)</f>
        <v>0</v>
      </c>
      <c r="D92" s="37">
        <f>IF(D76=0,"n/a",(D77-D76)/D76)</f>
        <v>0</v>
      </c>
      <c r="E92" s="37">
        <f>IF(E76=0,"n/a",(E77-E76)/E76)</f>
        <v>0</v>
      </c>
      <c r="F92" s="37">
        <f>IF(F76=0,"n/a",(F77-F76)/F76)</f>
        <v>0</v>
      </c>
      <c r="G92" s="37">
        <f>IF(G76=0,"n/a",(G77-G76)/G76)</f>
        <v>0</v>
      </c>
      <c r="H92" s="37">
        <f>IF(H76=0,"n/a",(H77-H76)/H76)</f>
        <v>0</v>
      </c>
      <c r="I92" s="37">
        <f>IF(I76=0,"n/a",(I77-I76)/I76)</f>
        <v>0</v>
      </c>
      <c r="J92" s="37">
        <f>IF(J76=0,"n/a",(J77-J76)/J76)</f>
        <v>0</v>
      </c>
      <c r="K92" s="37">
        <f>IF(K76=0,"n/a",(K77-K76)/K76)</f>
        <v>0</v>
      </c>
      <c r="L92" s="37">
        <f>IF(L76=0,"n/a",(L77-L76)/L76)</f>
        <v>0</v>
      </c>
      <c r="M92" s="37">
        <f>IF(M76=0,"n/a",(M77-M76)/M76)</f>
        <v>0</v>
      </c>
      <c r="N92" s="37">
        <f>IF(N76=0,"n/a",(N77-N76)/N76)</f>
        <v>0</v>
      </c>
    </row>
    <row r="93" spans="2:14">
      <c r="B93" s="40">
        <v>2027</v>
      </c>
      <c r="C93" s="37">
        <f>IF(C77=0,"n/a",(C78-C77)/C77)</f>
        <v>0</v>
      </c>
      <c r="D93" s="37">
        <f>IF(D77=0,"n/a",(D78-D77)/D77)</f>
        <v>0</v>
      </c>
      <c r="E93" s="37">
        <f>IF(E77=0,"n/a",(E78-E77)/E77)</f>
        <v>0</v>
      </c>
      <c r="F93" s="37">
        <f>IF(F77=0,"n/a",(F78-F77)/F77)</f>
        <v>0</v>
      </c>
      <c r="G93" s="37">
        <f>IF(G77=0,"n/a",(G78-G77)/G77)</f>
        <v>0</v>
      </c>
      <c r="H93" s="37">
        <f>IF(H77=0,"n/a",(H78-H77)/H77)</f>
        <v>0</v>
      </c>
      <c r="I93" s="37">
        <f>IF(I77=0,"n/a",(I78-I77)/I77)</f>
        <v>0</v>
      </c>
      <c r="J93" s="37">
        <f>IF(J77=0,"n/a",(J78-J77)/J77)</f>
        <v>0</v>
      </c>
      <c r="K93" s="37">
        <f>IF(K77=0,"n/a",(K78-K77)/K77)</f>
        <v>0</v>
      </c>
      <c r="L93" s="37">
        <f>IF(L77=0,"n/a",(L78-L77)/L77)</f>
        <v>0</v>
      </c>
      <c r="M93" s="37">
        <f>IF(M77=0,"n/a",(M78-M77)/M77)</f>
        <v>0</v>
      </c>
      <c r="N93" s="37">
        <f>IF(N77=0,"n/a",(N78-N77)/N77)</f>
        <v>0</v>
      </c>
    </row>
    <row r="95" spans="2:14" ht="19" customHeight="1">
      <c r="B95" s="8" t="s">
        <v>141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2:14">
      <c r="B96" s="21" t="s">
        <v>90</v>
      </c>
      <c r="C96" s="22" t="s">
        <v>92</v>
      </c>
      <c r="D96" s="22" t="s">
        <v>93</v>
      </c>
      <c r="E96" s="22" t="s">
        <v>94</v>
      </c>
      <c r="F96" s="22" t="s">
        <v>95</v>
      </c>
      <c r="G96" s="22" t="s">
        <v>96</v>
      </c>
      <c r="H96" s="22" t="s">
        <v>97</v>
      </c>
      <c r="I96" s="22" t="s">
        <v>98</v>
      </c>
      <c r="J96" s="22" t="s">
        <v>99</v>
      </c>
      <c r="K96" s="22" t="s">
        <v>100</v>
      </c>
      <c r="L96" s="22" t="s">
        <v>101</v>
      </c>
      <c r="M96" s="22" t="s">
        <v>102</v>
      </c>
      <c r="N96" s="22" t="s">
        <v>103</v>
      </c>
    </row>
    <row r="97" spans="2:14">
      <c r="B97" s="23">
        <v>2016</v>
      </c>
      <c r="C97" s="35" t="s">
        <v>116</v>
      </c>
      <c r="D97" s="35" t="s">
        <v>116</v>
      </c>
      <c r="E97" s="35" t="s">
        <v>116</v>
      </c>
      <c r="F97" s="35" t="s">
        <v>116</v>
      </c>
      <c r="G97" s="35" t="s">
        <v>116</v>
      </c>
      <c r="H97" s="35" t="s">
        <v>116</v>
      </c>
      <c r="I97" s="35" t="s">
        <v>116</v>
      </c>
      <c r="J97" s="35" t="s">
        <v>116</v>
      </c>
      <c r="K97" s="35" t="s">
        <v>116</v>
      </c>
      <c r="L97" s="35" t="s">
        <v>116</v>
      </c>
      <c r="M97" s="35" t="s">
        <v>116</v>
      </c>
      <c r="N97" s="35" t="s">
        <v>116</v>
      </c>
    </row>
    <row r="98" spans="2:14">
      <c r="B98" s="23">
        <v>2017</v>
      </c>
      <c r="C98" s="36">
        <f>IF(C37=0,"n/a",(C38-C37)/C37)</f>
        <v>0</v>
      </c>
      <c r="D98" s="36">
        <f>IF(D37=0,"n/a",(D38-D37)/D37)</f>
        <v>0</v>
      </c>
      <c r="E98" s="36">
        <f>IF(E37=0,"n/a",(E38-E37)/E37)</f>
        <v>0</v>
      </c>
      <c r="F98" s="36">
        <f>IF(F37=0,"n/a",(F38-F37)/F37)</f>
        <v>0</v>
      </c>
      <c r="G98" s="36">
        <f>IF(G37=0,"n/a",(G38-G37)/G37)</f>
        <v>0</v>
      </c>
      <c r="H98" s="36">
        <f>IF(H37=0,"n/a",(H38-H37)/H37)</f>
        <v>0</v>
      </c>
      <c r="I98" s="36">
        <f>IF(I37=0,"n/a",(I38-I37)/I37)</f>
        <v>0</v>
      </c>
      <c r="J98" s="36">
        <f>IF(J37=0,"n/a",(J38-J37)/J37)</f>
        <v>0</v>
      </c>
      <c r="K98" s="36">
        <f>IF(K37=0,"n/a",(K38-K37)/K37)</f>
        <v>0</v>
      </c>
      <c r="L98" s="36">
        <f>IF(L37=0,"n/a",(L38-L37)/L37)</f>
        <v>0</v>
      </c>
      <c r="M98" s="36">
        <f>IF(M37=0,"n/a",(M38-M37)/M37)</f>
        <v>0</v>
      </c>
      <c r="N98" s="36">
        <f>IF(N37=0,"n/a",(N38-N37)/N37)</f>
        <v>0</v>
      </c>
    </row>
    <row r="99" spans="2:14">
      <c r="B99" s="23">
        <v>2018</v>
      </c>
      <c r="C99" s="36">
        <f>IF(C38=0,"n/a",(C39-C38)/C38)</f>
        <v>0</v>
      </c>
      <c r="D99" s="36">
        <f>IF(D38=0,"n/a",(D39-D38)/D38)</f>
        <v>0</v>
      </c>
      <c r="E99" s="36">
        <f>IF(E38=0,"n/a",(E39-E38)/E38)</f>
        <v>0</v>
      </c>
      <c r="F99" s="36">
        <f>IF(F38=0,"n/a",(F39-F38)/F38)</f>
        <v>0</v>
      </c>
      <c r="G99" s="36">
        <f>IF(G38=0,"n/a",(G39-G38)/G38)</f>
        <v>0</v>
      </c>
      <c r="H99" s="36">
        <f>IF(H38=0,"n/a",(H39-H38)/H38)</f>
        <v>0</v>
      </c>
      <c r="I99" s="36">
        <f>IF(I38=0,"n/a",(I39-I38)/I38)</f>
        <v>0</v>
      </c>
      <c r="J99" s="36">
        <f>IF(J38=0,"n/a",(J39-J38)/J38)</f>
        <v>0</v>
      </c>
      <c r="K99" s="36">
        <f>IF(K38=0,"n/a",(K39-K38)/K38)</f>
        <v>0</v>
      </c>
      <c r="L99" s="36">
        <f>IF(L38=0,"n/a",(L39-L38)/L38)</f>
        <v>0</v>
      </c>
      <c r="M99" s="36">
        <f>IF(M38=0,"n/a",(M39-M38)/M38)</f>
        <v>0</v>
      </c>
      <c r="N99" s="36">
        <f>IF(N38=0,"n/a",(N39-N38)/N38)</f>
        <v>0</v>
      </c>
    </row>
    <row r="100" spans="2:14">
      <c r="B100" s="23">
        <v>2019</v>
      </c>
      <c r="C100" s="36">
        <f>IF(C39=0,"n/a",(C40-C39)/C39)</f>
        <v>0</v>
      </c>
      <c r="D100" s="36">
        <f>IF(D39=0,"n/a",(D40-D39)/D39)</f>
        <v>0</v>
      </c>
      <c r="E100" s="36">
        <f>IF(E39=0,"n/a",(E40-E39)/E39)</f>
        <v>0</v>
      </c>
      <c r="F100" s="36">
        <f>IF(F39=0,"n/a",(F40-F39)/F39)</f>
        <v>0</v>
      </c>
      <c r="G100" s="36">
        <f>IF(G39=0,"n/a",(G40-G39)/G39)</f>
        <v>0</v>
      </c>
      <c r="H100" s="36">
        <f>IF(H39=0,"n/a",(H40-H39)/H39)</f>
        <v>0</v>
      </c>
      <c r="I100" s="36">
        <f>IF(I39=0,"n/a",(I40-I39)/I39)</f>
        <v>0</v>
      </c>
      <c r="J100" s="36">
        <f>IF(J39=0,"n/a",(J40-J39)/J39)</f>
        <v>0</v>
      </c>
      <c r="K100" s="36">
        <f>IF(K39=0,"n/a",(K40-K39)/K39)</f>
        <v>0</v>
      </c>
      <c r="L100" s="36">
        <f>IF(L39=0,"n/a",(L40-L39)/L39)</f>
        <v>0</v>
      </c>
      <c r="M100" s="36">
        <f>IF(M39=0,"n/a",(M40-M39)/M39)</f>
        <v>0</v>
      </c>
      <c r="N100" s="36">
        <f>IF(N39=0,"n/a",(N40-N39)/N39)</f>
        <v>0</v>
      </c>
    </row>
    <row r="101" spans="2:14">
      <c r="B101" s="23">
        <v>2020</v>
      </c>
      <c r="C101" s="36">
        <f>IF(C40=0,"n/a",(C41-C40)/C40)</f>
        <v>0</v>
      </c>
      <c r="D101" s="36">
        <f>IF(D40=0,"n/a",(D41-D40)/D40)</f>
        <v>0</v>
      </c>
      <c r="E101" s="36">
        <f>IF(E40=0,"n/a",(E41-E40)/E40)</f>
        <v>0</v>
      </c>
      <c r="F101" s="36">
        <f>IF(F40=0,"n/a",(F41-F40)/F40)</f>
        <v>0</v>
      </c>
      <c r="G101" s="36">
        <f>IF(G40=0,"n/a",(G41-G40)/G40)</f>
        <v>0</v>
      </c>
      <c r="H101" s="36">
        <f>IF(H40=0,"n/a",(H41-H40)/H40)</f>
        <v>0</v>
      </c>
      <c r="I101" s="36">
        <f>IF(I40=0,"n/a",(I41-I40)/I40)</f>
        <v>0</v>
      </c>
      <c r="J101" s="36">
        <f>IF(J40=0,"n/a",(J41-J40)/J40)</f>
        <v>0</v>
      </c>
      <c r="K101" s="36">
        <f>IF(K40=0,"n/a",(K41-K40)/K40)</f>
        <v>0</v>
      </c>
      <c r="L101" s="36">
        <f>IF(L40=0,"n/a",(L41-L40)/L40)</f>
        <v>0</v>
      </c>
      <c r="M101" s="36">
        <f>IF(M40=0,"n/a",(M41-M40)/M40)</f>
        <v>0</v>
      </c>
      <c r="N101" s="36">
        <f>IF(N40=0,"n/a",(N41-N40)/N40)</f>
        <v>0</v>
      </c>
    </row>
    <row r="102" spans="2:14">
      <c r="B102" s="23">
        <v>2021</v>
      </c>
      <c r="C102" s="36">
        <f>IF(C41=0,"n/a",(C42-C41)/C41)</f>
        <v>0</v>
      </c>
      <c r="D102" s="36">
        <f>IF(D41=0,"n/a",(D42-D41)/D41)</f>
        <v>0</v>
      </c>
      <c r="E102" s="36">
        <f>IF(E41=0,"n/a",(E42-E41)/E41)</f>
        <v>0</v>
      </c>
      <c r="F102" s="36">
        <f>IF(F41=0,"n/a",(F42-F41)/F41)</f>
        <v>0</v>
      </c>
      <c r="G102" s="36">
        <f>IF(G41=0,"n/a",(G42-G41)/G41)</f>
        <v>0</v>
      </c>
      <c r="H102" s="36">
        <f>IF(H41=0,"n/a",(H42-H41)/H41)</f>
        <v>0</v>
      </c>
      <c r="I102" s="36">
        <f>IF(I41=0,"n/a",(I42-I41)/I41)</f>
        <v>0</v>
      </c>
      <c r="J102" s="36">
        <f>IF(J41=0,"n/a",(J42-J41)/J41)</f>
        <v>0</v>
      </c>
      <c r="K102" s="36">
        <f>IF(K41=0,"n/a",(K42-K41)/K41)</f>
        <v>0</v>
      </c>
      <c r="L102" s="36">
        <f>IF(L41=0,"n/a",(L42-L41)/L41)</f>
        <v>0</v>
      </c>
      <c r="M102" s="36">
        <f>IF(M41=0,"n/a",(M42-M41)/M41)</f>
        <v>0</v>
      </c>
      <c r="N102" s="36">
        <f>IF(N41=0,"n/a",(N42-N41)/N41)</f>
        <v>0</v>
      </c>
    </row>
    <row r="103" spans="2:14">
      <c r="B103" s="23">
        <v>2022</v>
      </c>
      <c r="C103" s="36">
        <f>IF(C42=0,"n/a",(C43-C42)/C42)</f>
        <v>0</v>
      </c>
      <c r="D103" s="36">
        <f>IF(D42=0,"n/a",(D43-D42)/D42)</f>
        <v>0</v>
      </c>
      <c r="E103" s="36">
        <f>IF(E42=0,"n/a",(E43-E42)/E42)</f>
        <v>0</v>
      </c>
      <c r="F103" s="36">
        <f>IF(F42=0,"n/a",(F43-F42)/F42)</f>
        <v>0</v>
      </c>
      <c r="G103" s="36">
        <f>IF(G42=0,"n/a",(G43-G42)/G42)</f>
        <v>0</v>
      </c>
      <c r="H103" s="36">
        <f>IF(H42=0,"n/a",(H43-H42)/H42)</f>
        <v>0</v>
      </c>
      <c r="I103" s="36">
        <f>IF(I42=0,"n/a",(I43-I42)/I42)</f>
        <v>0</v>
      </c>
      <c r="J103" s="36">
        <f>IF(J42=0,"n/a",(J43-J42)/J42)</f>
        <v>0</v>
      </c>
      <c r="K103" s="36">
        <f>IF(K42=0,"n/a",(K43-K42)/K42)</f>
        <v>0</v>
      </c>
      <c r="L103" s="36">
        <f>IF(L42=0,"n/a",(L43-L42)/L42)</f>
        <v>0</v>
      </c>
      <c r="M103" s="36">
        <f>IF(M42=0,"n/a",(M43-M42)/M42)</f>
        <v>0</v>
      </c>
      <c r="N103" s="36">
        <f>IF(N42=0,"n/a",(N43-N42)/N42)</f>
        <v>0</v>
      </c>
    </row>
    <row r="104" spans="2:14">
      <c r="B104" s="23">
        <v>2023</v>
      </c>
      <c r="C104" s="36">
        <f>IF(C43=0,"n/a",(C44-C43)/C43)</f>
        <v>0</v>
      </c>
      <c r="D104" s="36">
        <f>IF(D43=0,"n/a",(D44-D43)/D43)</f>
        <v>0</v>
      </c>
      <c r="E104" s="36">
        <f>IF(E43=0,"n/a",(E44-E43)/E43)</f>
        <v>0</v>
      </c>
      <c r="F104" s="36">
        <f>IF(F43=0,"n/a",(F44-F43)/F43)</f>
        <v>0</v>
      </c>
      <c r="G104" s="36">
        <f>IF(G43=0,"n/a",(G44-G43)/G43)</f>
        <v>0</v>
      </c>
      <c r="H104" s="36">
        <f>IF(H43=0,"n/a",(H44-H43)/H43)</f>
        <v>0</v>
      </c>
      <c r="I104" s="36">
        <f>IF(I43=0,"n/a",(I44-I43)/I43)</f>
        <v>0</v>
      </c>
      <c r="J104" s="36">
        <f>IF(J43=0,"n/a",(J44-J43)/J43)</f>
        <v>0</v>
      </c>
      <c r="K104" s="36">
        <f>IF(K43=0,"n/a",(K44-K43)/K43)</f>
        <v>0</v>
      </c>
      <c r="L104" s="36">
        <f>IF(L43=0,"n/a",(L44-L43)/L43)</f>
        <v>0</v>
      </c>
      <c r="M104" s="36">
        <f>IF(M43=0,"n/a",(M44-M43)/M43)</f>
        <v>0</v>
      </c>
      <c r="N104" s="36">
        <f>IF(N43=0,"n/a",(N44-N43)/N43)</f>
        <v>0</v>
      </c>
    </row>
    <row r="105" spans="2:14">
      <c r="B105" s="23">
        <v>2024</v>
      </c>
      <c r="C105" s="36">
        <f>IF(C44=0,"n/a",(C45-C44)/C44)</f>
        <v>0</v>
      </c>
      <c r="D105" s="36">
        <f>IF(D44=0,"n/a",(D45-D44)/D44)</f>
        <v>0</v>
      </c>
      <c r="E105" s="36">
        <f>IF(E44=0,"n/a",(E45-E44)/E44)</f>
        <v>0</v>
      </c>
      <c r="F105" s="36">
        <f>IF(F44=0,"n/a",(F45-F44)/F44)</f>
        <v>0</v>
      </c>
      <c r="G105" s="36">
        <f>IF(G44=0,"n/a",(G45-G44)/G44)</f>
        <v>0</v>
      </c>
      <c r="H105" s="36">
        <f>IF(H44=0,"n/a",(H45-H44)/H44)</f>
        <v>0</v>
      </c>
      <c r="I105" s="36">
        <f>IF(I44=0,"n/a",(I45-I44)/I44)</f>
        <v>0</v>
      </c>
      <c r="J105" s="36">
        <f>IF(J44=0,"n/a",(J45-J44)/J44)</f>
        <v>0</v>
      </c>
      <c r="K105" s="36">
        <f>IF(K44=0,"n/a",(K45-K44)/K44)</f>
        <v>0</v>
      </c>
      <c r="L105" s="36">
        <f>IF(L44=0,"n/a",(L45-L44)/L44)</f>
        <v>0</v>
      </c>
      <c r="M105" s="36">
        <f>IF(M44=0,"n/a",(M45-M44)/M44)</f>
        <v>0</v>
      </c>
      <c r="N105" s="36">
        <f>IF(N44=0,"n/a",(N45-N44)/N44)</f>
        <v>0</v>
      </c>
    </row>
    <row r="106" spans="2:14">
      <c r="B106" s="23">
        <v>2025</v>
      </c>
      <c r="C106" s="36">
        <f>IF(C45=0,"n/a",(C46-C45)/C45)</f>
        <v>0</v>
      </c>
      <c r="D106" s="36">
        <f>IF(D45=0,"n/a",(D46-D45)/D45)</f>
        <v>0</v>
      </c>
      <c r="E106" s="36">
        <f>IF(E45=0,"n/a",(E46-E45)/E45)</f>
        <v>0</v>
      </c>
      <c r="F106" s="36">
        <f>IF(F45=0,"n/a",(F46-F45)/F45)</f>
        <v>0</v>
      </c>
      <c r="G106" s="36">
        <f>IF(G45=0,"n/a",(G46-G45)/G45)</f>
        <v>0</v>
      </c>
      <c r="H106" s="36">
        <f>IF(H45=0,"n/a",(H46-H45)/H45)</f>
        <v>0</v>
      </c>
      <c r="I106" s="36">
        <f>IF(I45=0,"n/a",(I46-I45)/I45)</f>
        <v>0</v>
      </c>
      <c r="J106" s="36">
        <f>IF(J45=0,"n/a",(J46-J45)/J45)</f>
        <v>0</v>
      </c>
      <c r="K106" s="36">
        <f>IF(K45=0,"n/a",(K46-K45)/K45)</f>
        <v>0</v>
      </c>
      <c r="L106" s="36">
        <f>IF(L45=0,"n/a",(L46-L45)/L45)</f>
        <v>0</v>
      </c>
      <c r="M106" s="36">
        <f>IF(M45=0,"n/a",(M46-M45)/M45)</f>
        <v>0</v>
      </c>
      <c r="N106" s="36">
        <f>IF(N45=0,"n/a",(N46-N45)/N45)</f>
        <v>0</v>
      </c>
    </row>
    <row r="107" spans="2:14">
      <c r="B107" s="40">
        <v>2026</v>
      </c>
      <c r="C107" s="37">
        <f>IF(C46=0,"n/a",(C47-C46)/C46)</f>
        <v>0</v>
      </c>
      <c r="D107" s="37">
        <f>IF(D46=0,"n/a",(D47-D46)/D46)</f>
        <v>0</v>
      </c>
      <c r="E107" s="37">
        <f>IF(E46=0,"n/a",(E47-E46)/E46)</f>
        <v>0</v>
      </c>
      <c r="F107" s="37">
        <f>IF(F46=0,"n/a",(F47-F46)/F46)</f>
        <v>0</v>
      </c>
      <c r="G107" s="37">
        <f>IF(G46=0,"n/a",(G47-G46)/G46)</f>
        <v>0</v>
      </c>
      <c r="H107" s="37">
        <f>IF(H46=0,"n/a",(H47-H46)/H46)</f>
        <v>0</v>
      </c>
      <c r="I107" s="37">
        <f>IF(I46=0,"n/a",(I47-I46)/I46)</f>
        <v>0</v>
      </c>
      <c r="J107" s="37">
        <f>IF(J46=0,"n/a",(J47-J46)/J46)</f>
        <v>0</v>
      </c>
      <c r="K107" s="37">
        <f>IF(K46=0,"n/a",(K47-K46)/K46)</f>
        <v>0</v>
      </c>
      <c r="L107" s="37">
        <f>IF(L46=0,"n/a",(L47-L46)/L46)</f>
        <v>0</v>
      </c>
      <c r="M107" s="37">
        <f>IF(M46=0,"n/a",(M47-M46)/M46)</f>
        <v>0</v>
      </c>
      <c r="N107" s="37">
        <f>IF(N46=0,"n/a",(N47-N46)/N46)</f>
        <v>0</v>
      </c>
    </row>
    <row r="108" spans="2:14">
      <c r="B108" s="40">
        <v>2027</v>
      </c>
      <c r="C108" s="37">
        <f>IF(C47=0,"n/a",(C48-C47)/C47)</f>
        <v>0</v>
      </c>
      <c r="D108" s="37">
        <f>IF(D47=0,"n/a",(D48-D47)/D47)</f>
        <v>0</v>
      </c>
      <c r="E108" s="37">
        <f>IF(E47=0,"n/a",(E48-E47)/E47)</f>
        <v>0</v>
      </c>
      <c r="F108" s="37">
        <f>IF(F47=0,"n/a",(F48-F47)/F47)</f>
        <v>0</v>
      </c>
      <c r="G108" s="37">
        <f>IF(G47=0,"n/a",(G48-G47)/G47)</f>
        <v>0</v>
      </c>
      <c r="H108" s="37">
        <f>IF(H47=0,"n/a",(H48-H47)/H47)</f>
        <v>0</v>
      </c>
      <c r="I108" s="37">
        <f>IF(I47=0,"n/a",(I48-I47)/I47)</f>
        <v>0</v>
      </c>
      <c r="J108" s="37">
        <f>IF(J47=0,"n/a",(J48-J47)/J47)</f>
        <v>0</v>
      </c>
      <c r="K108" s="37">
        <f>IF(K47=0,"n/a",(K48-K47)/K47)</f>
        <v>0</v>
      </c>
      <c r="L108" s="37">
        <f>IF(L47=0,"n/a",(L48-L47)/L47)</f>
        <v>0</v>
      </c>
      <c r="M108" s="37">
        <f>IF(M47=0,"n/a",(M48-M47)/M47)</f>
        <v>0</v>
      </c>
      <c r="N108" s="37">
        <f>IF(N47=0,"n/a",(N48-N47)/N47)</f>
        <v>0</v>
      </c>
    </row>
  </sheetData>
  <mergeCells count="10">
    <mergeCell ref="K1:P1"/>
    <mergeCell ref="B2:O2"/>
    <mergeCell ref="B3:O3"/>
    <mergeCell ref="B6:I6"/>
    <mergeCell ref="B21:F21"/>
    <mergeCell ref="B35:P35"/>
    <mergeCell ref="B50:P50"/>
    <mergeCell ref="B65:P65"/>
    <mergeCell ref="B80:N80"/>
    <mergeCell ref="B95:N95"/>
  </mergeCells>
  <conditionalFormatting sqref="C37:N48">
    <cfRule type="colorScale" priority="1">
      <colorScale>
        <cfvo type="num" val="0"/>
        <cfvo type="max" val="0"/>
        <color rgb="FFFFFFFF"/>
        <color rgb="FFBDD7EE"/>
      </colorScale>
    </cfRule>
  </conditionalFormatting>
  <conditionalFormatting sqref="C52:N63">
    <cfRule type="colorScale" priority="2">
      <colorScale>
        <cfvo type="num" val="0"/>
        <cfvo type="max" val="0"/>
        <color rgb="FFFFFFFF"/>
        <color rgb="FFBDD7EE"/>
      </colorScale>
    </cfRule>
  </conditionalFormatting>
  <conditionalFormatting sqref="C67:N78">
    <cfRule type="colorScale" priority="3">
      <colorScale>
        <cfvo type="num" val="0"/>
        <cfvo type="max" val="0"/>
        <color rgb="FFFFFFFF"/>
        <color rgb="FFF8C9C4"/>
      </colorScale>
    </cfRule>
  </conditionalFormatting>
  <conditionalFormatting sqref="C82:N93">
    <cfRule type="colorScale" priority="4">
      <colorScale>
        <cfvo type="min" val="0"/>
        <cfvo type="percentile" val="50"/>
        <cfvo type="max" val="0"/>
        <color rgb="FF63BE7B"/>
        <color rgb="FFFFFFFF"/>
        <color rgb="FFF8696B"/>
      </colorScale>
    </cfRule>
    <cfRule type="iconSet" priority="5">
      <iconSet iconSet="3ArrowsGray">
        <cfvo type="percent" val="0"/>
        <cfvo type="num" val="-0.02"/>
        <cfvo type="num" val="0.02"/>
      </iconSet>
    </cfRule>
  </conditionalFormatting>
  <conditionalFormatting sqref="C97:N108">
    <cfRule type="colorScale" priority="6">
      <colorScale>
        <cfvo type="min" val="0"/>
        <cfvo type="percentile" val="50"/>
        <cfvo type="max" val="0"/>
        <color rgb="FF63BE7B"/>
        <color rgb="FFFFFFFF"/>
        <color rgb="FFF8696B"/>
      </colorScale>
    </cfRule>
    <cfRule type="iconSet" priority="7">
      <iconSet iconSet="3ArrowsGray">
        <cfvo type="percent" val="0"/>
        <cfvo type="num" val="-0.02"/>
        <cfvo type="num" val="0.02"/>
      </iconSet>
    </cfRule>
  </conditionalFormatting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Trends!C78:N78</xm:f>
              <xm:sqref>P78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Trends!C77:N77</xm:f>
              <xm:sqref>P77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Trends!C76:N76</xm:f>
              <xm:sqref>P76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Trends!C75:N75</xm:f>
              <xm:sqref>P75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Trends!C74:N74</xm:f>
              <xm:sqref>P74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Trends!C73:N73</xm:f>
              <xm:sqref>P73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Trends!C72:N72</xm:f>
              <xm:sqref>P72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Trends!C71:N71</xm:f>
              <xm:sqref>P71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Trends!C70:N70</xm:f>
              <xm:sqref>P70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Trends!C69:N69</xm:f>
              <xm:sqref>P69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Trends!C68:N68</xm:f>
              <xm:sqref>P68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Trends!C67:N67</xm:f>
              <xm:sqref>P67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Trends!C63:N63</xm:f>
              <xm:sqref>P63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Trends!C62:N62</xm:f>
              <xm:sqref>P62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Trends!C61:N61</xm:f>
              <xm:sqref>P61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Trends!C60:N60</xm:f>
              <xm:sqref>P60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Trends!C59:N59</xm:f>
              <xm:sqref>P59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Trends!C58:N58</xm:f>
              <xm:sqref>P58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Trends!C57:N57</xm:f>
              <xm:sqref>P57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Trends!C56:N56</xm:f>
              <xm:sqref>P56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Trends!C55:N55</xm:f>
              <xm:sqref>P55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Trends!C54:N54</xm:f>
              <xm:sqref>P54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Trends!C53:N53</xm:f>
              <xm:sqref>P53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Trends!C52:N52</xm:f>
              <xm:sqref>P52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Trends!C48:N48</xm:f>
              <xm:sqref>P48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Trends!C47:N47</xm:f>
              <xm:sqref>P47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Trends!C46:N46</xm:f>
              <xm:sqref>P46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Trends!C45:N45</xm:f>
              <xm:sqref>P45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Trends!C44:N44</xm:f>
              <xm:sqref>P44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Trends!C43:N43</xm:f>
              <xm:sqref>P43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Trends!C42:N42</xm:f>
              <xm:sqref>P42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Trends!C41:N41</xm:f>
              <xm:sqref>P41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Trends!C40:N40</xm:f>
              <xm:sqref>P40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Trends!C39:N39</xm:f>
              <xm:sqref>P39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Trends!C38:N38</xm:f>
              <xm:sqref>P38</xm:sqref>
            </x14:sparkline>
          </x14:sparklines>
        </x14:sparklineGroup>
        <x14:sparklineGroup displayEmptyCellsAs="gap" high="1">
          <x14:colorSeries rgb="FF1F386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C00000"/>
          <x14:colorLow theme="4"/>
          <x14:sparklines>
            <x14:sparkline>
              <xm:f>Trends!C37:N37</xm:f>
              <xm:sqref>P37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1:N156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16.7109375" customWidth="1"/>
    <col min="3" max="14" width="8.28515625" customWidth="1"/>
  </cols>
  <sheetData>
    <row r="1" spans="2:14">
      <c r="B1" s="9" t="s">
        <v>77</v>
      </c>
      <c r="I1" s="14" t="s">
        <v>78</v>
      </c>
      <c r="J1" s="14"/>
      <c r="K1" s="14"/>
      <c r="L1" s="14"/>
      <c r="M1" s="14"/>
      <c r="N1" s="14"/>
    </row>
    <row r="2" spans="2:14">
      <c r="B2" s="1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143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19" customHeight="1">
      <c r="B6" s="5" t="s">
        <v>144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>
      <c r="B7" s="21" t="s">
        <v>145</v>
      </c>
      <c r="C7" s="22" t="s">
        <v>92</v>
      </c>
      <c r="D7" s="22" t="s">
        <v>93</v>
      </c>
      <c r="E7" s="22" t="s">
        <v>94</v>
      </c>
      <c r="F7" s="22" t="s">
        <v>95</v>
      </c>
      <c r="G7" s="22" t="s">
        <v>96</v>
      </c>
      <c r="H7" s="22" t="s">
        <v>97</v>
      </c>
      <c r="I7" s="22" t="s">
        <v>98</v>
      </c>
      <c r="J7" s="22" t="s">
        <v>99</v>
      </c>
      <c r="K7" s="22" t="s">
        <v>100</v>
      </c>
      <c r="L7" s="22" t="s">
        <v>101</v>
      </c>
      <c r="M7" s="22" t="s">
        <v>102</v>
      </c>
      <c r="N7" s="22" t="s">
        <v>103</v>
      </c>
    </row>
    <row r="8" spans="2:14">
      <c r="B8" s="25" t="s">
        <v>146</v>
      </c>
      <c r="C8" s="24">
        <v>3.22</v>
      </c>
      <c r="D8" s="24">
        <v>12.04</v>
      </c>
      <c r="E8" s="24">
        <v>12.48</v>
      </c>
      <c r="F8" s="24">
        <v>3.78</v>
      </c>
      <c r="G8" s="24">
        <v>0</v>
      </c>
      <c r="H8" s="24">
        <v>0</v>
      </c>
      <c r="I8" s="24">
        <v>0</v>
      </c>
      <c r="J8" s="24">
        <v>0</v>
      </c>
      <c r="K8" s="24">
        <v>71.8939</v>
      </c>
      <c r="L8" s="24">
        <v>82.5856</v>
      </c>
      <c r="M8" s="24">
        <v>0</v>
      </c>
      <c r="N8" s="24">
        <v>0</v>
      </c>
    </row>
    <row r="9" spans="2:14">
      <c r="B9" s="25" t="s">
        <v>147</v>
      </c>
      <c r="C9" s="24">
        <v>29.58</v>
      </c>
      <c r="D9" s="24">
        <v>25.1</v>
      </c>
      <c r="E9" s="24">
        <v>38.548</v>
      </c>
      <c r="F9" s="24">
        <v>2.2</v>
      </c>
      <c r="G9" s="24">
        <v>21.2</v>
      </c>
      <c r="H9" s="24">
        <v>224.3867</v>
      </c>
      <c r="I9" s="24">
        <v>0.704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</row>
    <row r="10" spans="2:14">
      <c r="B10" s="25" t="s">
        <v>148</v>
      </c>
      <c r="C10" s="24">
        <v>240.51</v>
      </c>
      <c r="D10" s="24">
        <v>486.744</v>
      </c>
      <c r="E10" s="24">
        <v>667.28</v>
      </c>
      <c r="F10" s="24">
        <v>363.0836</v>
      </c>
      <c r="G10" s="24">
        <v>265.68</v>
      </c>
      <c r="H10" s="24">
        <v>191.7042</v>
      </c>
      <c r="I10" s="24">
        <v>175.9952</v>
      </c>
      <c r="J10" s="24">
        <v>4.58</v>
      </c>
      <c r="K10" s="24">
        <v>7.8</v>
      </c>
      <c r="L10" s="24">
        <v>10.24</v>
      </c>
      <c r="M10" s="24">
        <v>2.04</v>
      </c>
      <c r="N10" s="24">
        <v>0</v>
      </c>
    </row>
    <row r="11" spans="2:14">
      <c r="B11" s="25" t="s">
        <v>149</v>
      </c>
      <c r="C11" s="24">
        <v>99.0698</v>
      </c>
      <c r="D11" s="24">
        <v>62.445</v>
      </c>
      <c r="E11" s="24">
        <v>236.6964</v>
      </c>
      <c r="F11" s="24">
        <v>214.8537</v>
      </c>
      <c r="G11" s="24">
        <v>23.4</v>
      </c>
      <c r="H11" s="24">
        <v>1.82</v>
      </c>
      <c r="I11" s="24">
        <v>75.05</v>
      </c>
      <c r="J11" s="24">
        <v>10.9</v>
      </c>
      <c r="K11" s="24">
        <v>87.26389999999999</v>
      </c>
      <c r="L11" s="24">
        <v>154.0685</v>
      </c>
      <c r="M11" s="24">
        <v>159.3301</v>
      </c>
      <c r="N11" s="24">
        <v>197.87</v>
      </c>
    </row>
    <row r="12" spans="2:14">
      <c r="B12" s="25" t="s">
        <v>150</v>
      </c>
      <c r="C12" s="24">
        <v>126.05</v>
      </c>
      <c r="D12" s="24">
        <v>440</v>
      </c>
      <c r="E12" s="24">
        <v>473.92</v>
      </c>
      <c r="F12" s="24">
        <v>110.08</v>
      </c>
      <c r="G12" s="24">
        <v>46.16</v>
      </c>
      <c r="H12" s="24">
        <v>316.8375</v>
      </c>
      <c r="I12" s="24">
        <v>283.35</v>
      </c>
      <c r="J12" s="24">
        <v>2.6</v>
      </c>
      <c r="K12" s="24">
        <v>391.5052</v>
      </c>
      <c r="L12" s="24">
        <v>695.6900000000001</v>
      </c>
      <c r="M12" s="24">
        <v>256.507</v>
      </c>
      <c r="N12" s="24">
        <v>30.79</v>
      </c>
    </row>
    <row r="13" spans="2:14">
      <c r="B13" s="25" t="s">
        <v>151</v>
      </c>
      <c r="C13" s="24">
        <v>0</v>
      </c>
      <c r="D13" s="24">
        <v>0</v>
      </c>
      <c r="E13" s="24">
        <v>236.8488</v>
      </c>
      <c r="F13" s="24">
        <v>108.2632</v>
      </c>
      <c r="G13" s="24">
        <v>0</v>
      </c>
      <c r="H13" s="24">
        <v>0</v>
      </c>
      <c r="I13" s="24">
        <v>0</v>
      </c>
      <c r="J13" s="24">
        <v>0</v>
      </c>
      <c r="K13" s="24">
        <v>38.7069</v>
      </c>
      <c r="L13" s="24">
        <v>5.5959</v>
      </c>
      <c r="M13" s="24">
        <v>0</v>
      </c>
      <c r="N13" s="24">
        <v>0</v>
      </c>
    </row>
    <row r="31" spans="2:14" ht="19" customHeight="1">
      <c r="B31" s="5" t="s">
        <v>152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2:14">
      <c r="B32" s="21" t="s">
        <v>145</v>
      </c>
      <c r="C32" s="22" t="s">
        <v>92</v>
      </c>
      <c r="D32" s="22" t="s">
        <v>93</v>
      </c>
      <c r="E32" s="22" t="s">
        <v>94</v>
      </c>
      <c r="F32" s="22" t="s">
        <v>95</v>
      </c>
      <c r="G32" s="22" t="s">
        <v>96</v>
      </c>
      <c r="H32" s="22" t="s">
        <v>97</v>
      </c>
      <c r="I32" s="22" t="s">
        <v>98</v>
      </c>
      <c r="J32" s="22" t="s">
        <v>99</v>
      </c>
      <c r="K32" s="22" t="s">
        <v>100</v>
      </c>
      <c r="L32" s="22" t="s">
        <v>101</v>
      </c>
      <c r="M32" s="22" t="s">
        <v>102</v>
      </c>
      <c r="N32" s="22" t="s">
        <v>103</v>
      </c>
    </row>
    <row r="33" spans="2:14">
      <c r="B33" s="25" t="s">
        <v>146</v>
      </c>
      <c r="C33" s="24">
        <v>0</v>
      </c>
      <c r="D33" s="24">
        <v>152.32</v>
      </c>
      <c r="E33" s="24">
        <v>1116.623</v>
      </c>
      <c r="F33" s="24">
        <v>1226.99</v>
      </c>
      <c r="G33" s="24">
        <v>454.127</v>
      </c>
      <c r="H33" s="24">
        <v>0</v>
      </c>
      <c r="I33" s="24">
        <v>8</v>
      </c>
      <c r="J33" s="24">
        <v>0</v>
      </c>
      <c r="K33" s="24">
        <v>572.9400000000001</v>
      </c>
      <c r="L33" s="24">
        <v>705.146</v>
      </c>
      <c r="M33" s="24">
        <v>397.5</v>
      </c>
      <c r="N33" s="24">
        <v>0</v>
      </c>
    </row>
    <row r="34" spans="2:14">
      <c r="B34" s="25" t="s">
        <v>147</v>
      </c>
      <c r="C34" s="24">
        <v>161.3505</v>
      </c>
      <c r="D34" s="24">
        <v>568.1735</v>
      </c>
      <c r="E34" s="24">
        <v>119.4167</v>
      </c>
      <c r="F34" s="24">
        <v>287.843</v>
      </c>
      <c r="G34" s="24">
        <v>375.833</v>
      </c>
      <c r="H34" s="24">
        <v>163.075</v>
      </c>
      <c r="I34" s="24">
        <v>13.715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</row>
    <row r="35" spans="2:14">
      <c r="B35" s="25" t="s">
        <v>148</v>
      </c>
      <c r="C35" s="24">
        <v>194.6489</v>
      </c>
      <c r="D35" s="24">
        <v>601.5409</v>
      </c>
      <c r="E35" s="24">
        <v>1263.025</v>
      </c>
      <c r="F35" s="24">
        <v>2161.4255</v>
      </c>
      <c r="G35" s="24">
        <v>919.8905999999999</v>
      </c>
      <c r="H35" s="24">
        <v>326.2495</v>
      </c>
      <c r="I35" s="24">
        <v>260.566</v>
      </c>
      <c r="J35" s="24">
        <v>603.6235</v>
      </c>
      <c r="K35" s="24">
        <v>773.2645</v>
      </c>
      <c r="L35" s="24">
        <v>1204.6989</v>
      </c>
      <c r="M35" s="24">
        <v>328.8481</v>
      </c>
      <c r="N35" s="24">
        <v>129.87</v>
      </c>
    </row>
    <row r="36" spans="2:14">
      <c r="B36" s="25" t="s">
        <v>149</v>
      </c>
      <c r="C36" s="24">
        <v>82.622</v>
      </c>
      <c r="D36" s="24">
        <v>1893.1044</v>
      </c>
      <c r="E36" s="24">
        <v>1347.1691</v>
      </c>
      <c r="F36" s="24">
        <v>1456.5636</v>
      </c>
      <c r="G36" s="24">
        <v>670.5625</v>
      </c>
      <c r="H36" s="24">
        <v>364.397</v>
      </c>
      <c r="I36" s="24">
        <v>802.508</v>
      </c>
      <c r="J36" s="24">
        <v>516.3492</v>
      </c>
      <c r="K36" s="24">
        <v>1029.2768</v>
      </c>
      <c r="L36" s="24">
        <v>1512.466</v>
      </c>
      <c r="M36" s="24">
        <v>525.778</v>
      </c>
      <c r="N36" s="24">
        <v>41.1286</v>
      </c>
    </row>
    <row r="37" spans="2:14">
      <c r="B37" s="25" t="s">
        <v>150</v>
      </c>
      <c r="C37" s="24">
        <v>1256.5976</v>
      </c>
      <c r="D37" s="24">
        <v>1088.065</v>
      </c>
      <c r="E37" s="24">
        <v>1877.395</v>
      </c>
      <c r="F37" s="24">
        <v>2007.8074</v>
      </c>
      <c r="G37" s="24">
        <v>1042.2436</v>
      </c>
      <c r="H37" s="24">
        <v>511.95</v>
      </c>
      <c r="I37" s="24">
        <v>453.487</v>
      </c>
      <c r="J37" s="24">
        <v>182.999</v>
      </c>
      <c r="K37" s="24">
        <v>1481.1244</v>
      </c>
      <c r="L37" s="24">
        <v>1816.5088</v>
      </c>
      <c r="M37" s="24">
        <v>326.1729</v>
      </c>
      <c r="N37" s="24">
        <v>60.5386</v>
      </c>
    </row>
    <row r="38" spans="2:14">
      <c r="B38" s="25" t="s">
        <v>151</v>
      </c>
      <c r="C38" s="24">
        <v>0</v>
      </c>
      <c r="D38" s="24">
        <v>192.48</v>
      </c>
      <c r="E38" s="24">
        <v>614.741</v>
      </c>
      <c r="F38" s="24">
        <v>961.0699999999999</v>
      </c>
      <c r="G38" s="24">
        <v>473.25</v>
      </c>
      <c r="H38" s="24">
        <v>0</v>
      </c>
      <c r="I38" s="24">
        <v>0</v>
      </c>
      <c r="J38" s="24">
        <v>0</v>
      </c>
      <c r="K38" s="24">
        <v>1168.516</v>
      </c>
      <c r="L38" s="24">
        <v>583.63</v>
      </c>
      <c r="M38" s="24">
        <v>1.8</v>
      </c>
      <c r="N38" s="24">
        <v>0</v>
      </c>
    </row>
    <row r="56" spans="2:14" ht="19" customHeight="1">
      <c r="B56" s="5" t="s">
        <v>153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2:14">
      <c r="B57" s="21" t="s">
        <v>145</v>
      </c>
      <c r="C57" s="22" t="s">
        <v>92</v>
      </c>
      <c r="D57" s="22" t="s">
        <v>93</v>
      </c>
      <c r="E57" s="22" t="s">
        <v>94</v>
      </c>
      <c r="F57" s="22" t="s">
        <v>95</v>
      </c>
      <c r="G57" s="22" t="s">
        <v>96</v>
      </c>
      <c r="H57" s="22" t="s">
        <v>97</v>
      </c>
      <c r="I57" s="22" t="s">
        <v>98</v>
      </c>
      <c r="J57" s="22" t="s">
        <v>99</v>
      </c>
      <c r="K57" s="22" t="s">
        <v>100</v>
      </c>
      <c r="L57" s="22" t="s">
        <v>101</v>
      </c>
      <c r="M57" s="22" t="s">
        <v>102</v>
      </c>
      <c r="N57" s="22" t="s">
        <v>103</v>
      </c>
    </row>
    <row r="58" spans="2:14">
      <c r="B58" s="25" t="s">
        <v>146</v>
      </c>
      <c r="C58" s="24">
        <v>879.5774</v>
      </c>
      <c r="D58" s="24">
        <v>1498.1345</v>
      </c>
      <c r="E58" s="24">
        <v>645.745</v>
      </c>
      <c r="F58" s="24">
        <v>229.32</v>
      </c>
      <c r="G58" s="24">
        <v>221.335</v>
      </c>
      <c r="H58" s="24">
        <v>55.65</v>
      </c>
      <c r="I58" s="24">
        <v>115.992</v>
      </c>
      <c r="J58" s="24">
        <v>156.58</v>
      </c>
      <c r="K58" s="24">
        <v>416.941</v>
      </c>
      <c r="L58" s="24">
        <v>587.8024</v>
      </c>
      <c r="M58" s="24">
        <v>121.48</v>
      </c>
      <c r="N58" s="24">
        <v>0</v>
      </c>
    </row>
    <row r="59" spans="2:14">
      <c r="B59" s="25" t="s">
        <v>147</v>
      </c>
      <c r="C59" s="24">
        <v>275.676</v>
      </c>
      <c r="D59" s="24">
        <v>807.2025</v>
      </c>
      <c r="E59" s="24">
        <v>652.611</v>
      </c>
      <c r="F59" s="24">
        <v>1045.263</v>
      </c>
      <c r="G59" s="24">
        <v>531.2234999999999</v>
      </c>
      <c r="H59" s="24">
        <v>582.155</v>
      </c>
      <c r="I59" s="24">
        <v>122.685</v>
      </c>
      <c r="J59" s="24">
        <v>47</v>
      </c>
      <c r="K59" s="24">
        <v>47</v>
      </c>
      <c r="L59" s="24">
        <v>47</v>
      </c>
      <c r="M59" s="24">
        <v>42.3</v>
      </c>
      <c r="N59" s="24">
        <v>0</v>
      </c>
    </row>
    <row r="60" spans="2:14">
      <c r="B60" s="25" t="s">
        <v>148</v>
      </c>
      <c r="C60" s="24">
        <v>2513.4756</v>
      </c>
      <c r="D60" s="24">
        <v>2916.5111</v>
      </c>
      <c r="E60" s="24">
        <v>1164.668</v>
      </c>
      <c r="F60" s="24">
        <v>951.206</v>
      </c>
      <c r="G60" s="24">
        <v>451.324</v>
      </c>
      <c r="H60" s="24">
        <v>382.749</v>
      </c>
      <c r="I60" s="24">
        <v>296.0898</v>
      </c>
      <c r="J60" s="24">
        <v>608.524</v>
      </c>
      <c r="K60" s="24">
        <v>2193.196</v>
      </c>
      <c r="L60" s="24">
        <v>3093.4153</v>
      </c>
      <c r="M60" s="24">
        <v>1683.7699</v>
      </c>
      <c r="N60" s="24">
        <v>172.694</v>
      </c>
    </row>
    <row r="61" spans="2:14">
      <c r="B61" s="25" t="s">
        <v>149</v>
      </c>
      <c r="C61" s="24">
        <v>3897.7506</v>
      </c>
      <c r="D61" s="24">
        <v>5540.9283</v>
      </c>
      <c r="E61" s="24">
        <v>2248.1637</v>
      </c>
      <c r="F61" s="24">
        <v>2012.658</v>
      </c>
      <c r="G61" s="24">
        <v>1141.365</v>
      </c>
      <c r="H61" s="24">
        <v>1180.7915</v>
      </c>
      <c r="I61" s="24">
        <v>1019.787</v>
      </c>
      <c r="J61" s="24">
        <v>1019.9182</v>
      </c>
      <c r="K61" s="24">
        <v>1784.1745</v>
      </c>
      <c r="L61" s="24">
        <v>2036.786</v>
      </c>
      <c r="M61" s="24">
        <v>1212.9515</v>
      </c>
      <c r="N61" s="24">
        <v>324.6714</v>
      </c>
    </row>
    <row r="62" spans="2:14">
      <c r="B62" s="25" t="s">
        <v>150</v>
      </c>
      <c r="C62" s="24">
        <v>3219.0812</v>
      </c>
      <c r="D62" s="24">
        <v>3622.339</v>
      </c>
      <c r="E62" s="24">
        <v>3305.26</v>
      </c>
      <c r="F62" s="24">
        <v>2929.6089</v>
      </c>
      <c r="G62" s="24">
        <v>2020.7778</v>
      </c>
      <c r="H62" s="24">
        <v>1367.2069</v>
      </c>
      <c r="I62" s="24">
        <v>772.8094</v>
      </c>
      <c r="J62" s="24">
        <v>1367.907</v>
      </c>
      <c r="K62" s="24">
        <v>1980.1739</v>
      </c>
      <c r="L62" s="24">
        <v>3552.627</v>
      </c>
      <c r="M62" s="24">
        <v>1809.522</v>
      </c>
      <c r="N62" s="24">
        <v>541.6272</v>
      </c>
    </row>
    <row r="63" spans="2:14">
      <c r="B63" s="25" t="s">
        <v>151</v>
      </c>
      <c r="C63" s="24">
        <v>692.313</v>
      </c>
      <c r="D63" s="24">
        <v>1256.1221</v>
      </c>
      <c r="E63" s="24">
        <v>1565.6915</v>
      </c>
      <c r="F63" s="24">
        <v>664.0222</v>
      </c>
      <c r="G63" s="24">
        <v>134.4</v>
      </c>
      <c r="H63" s="24">
        <v>210.95</v>
      </c>
      <c r="I63" s="24">
        <v>164</v>
      </c>
      <c r="J63" s="24">
        <v>47.56</v>
      </c>
      <c r="K63" s="24">
        <v>1545.905</v>
      </c>
      <c r="L63" s="24">
        <v>1819.237</v>
      </c>
      <c r="M63" s="24">
        <v>446.133</v>
      </c>
      <c r="N63" s="24">
        <v>0</v>
      </c>
    </row>
    <row r="81" spans="2:14" ht="19" customHeight="1">
      <c r="B81" s="5" t="s">
        <v>154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2:14">
      <c r="B82" s="21" t="s">
        <v>145</v>
      </c>
      <c r="C82" s="22" t="s">
        <v>92</v>
      </c>
      <c r="D82" s="22" t="s">
        <v>93</v>
      </c>
      <c r="E82" s="22" t="s">
        <v>94</v>
      </c>
      <c r="F82" s="22" t="s">
        <v>95</v>
      </c>
      <c r="G82" s="22" t="s">
        <v>96</v>
      </c>
      <c r="H82" s="22" t="s">
        <v>97</v>
      </c>
      <c r="I82" s="22" t="s">
        <v>98</v>
      </c>
      <c r="J82" s="22" t="s">
        <v>99</v>
      </c>
      <c r="K82" s="22" t="s">
        <v>100</v>
      </c>
      <c r="L82" s="22" t="s">
        <v>101</v>
      </c>
      <c r="M82" s="22" t="s">
        <v>102</v>
      </c>
      <c r="N82" s="22" t="s">
        <v>103</v>
      </c>
    </row>
    <row r="83" spans="2:14">
      <c r="B83" s="25" t="s">
        <v>146</v>
      </c>
      <c r="C83" s="24">
        <v>0</v>
      </c>
      <c r="D83" s="24">
        <v>7.79</v>
      </c>
      <c r="E83" s="24">
        <v>173.293</v>
      </c>
      <c r="F83" s="24">
        <v>263.53</v>
      </c>
      <c r="G83" s="24">
        <v>52.988</v>
      </c>
      <c r="H83" s="24">
        <v>0</v>
      </c>
      <c r="I83" s="24">
        <v>0</v>
      </c>
      <c r="J83" s="24">
        <v>0</v>
      </c>
      <c r="K83" s="24">
        <v>0</v>
      </c>
      <c r="L83" s="24">
        <v>19.62</v>
      </c>
      <c r="M83" s="24">
        <v>0</v>
      </c>
      <c r="N83" s="24">
        <v>0</v>
      </c>
    </row>
    <row r="84" spans="2:14">
      <c r="B84" s="25" t="s">
        <v>147</v>
      </c>
      <c r="C84" s="24">
        <v>0</v>
      </c>
      <c r="D84" s="24">
        <v>27.512</v>
      </c>
      <c r="E84" s="24">
        <v>20.374</v>
      </c>
      <c r="F84" s="24">
        <v>34.52500000000001</v>
      </c>
      <c r="G84" s="24">
        <v>75.6664</v>
      </c>
      <c r="H84" s="24">
        <v>10.17</v>
      </c>
      <c r="I84" s="24">
        <v>4.83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</row>
    <row r="85" spans="2:14">
      <c r="B85" s="25" t="s">
        <v>148</v>
      </c>
      <c r="C85" s="24">
        <v>63.17959999999999</v>
      </c>
      <c r="D85" s="24">
        <v>36.9436</v>
      </c>
      <c r="E85" s="24">
        <v>72.16249999999999</v>
      </c>
      <c r="F85" s="24">
        <v>127.706</v>
      </c>
      <c r="G85" s="24">
        <v>75.15000000000001</v>
      </c>
      <c r="H85" s="24">
        <v>8.223000000000001</v>
      </c>
      <c r="I85" s="24">
        <v>92.11199999999999</v>
      </c>
      <c r="J85" s="24">
        <v>4.779999999999999</v>
      </c>
      <c r="K85" s="24">
        <v>6.365</v>
      </c>
      <c r="L85" s="24">
        <v>54.195</v>
      </c>
      <c r="M85" s="24">
        <v>16.895</v>
      </c>
      <c r="N85" s="24">
        <v>14.089</v>
      </c>
    </row>
    <row r="86" spans="2:14">
      <c r="B86" s="25" t="s">
        <v>149</v>
      </c>
      <c r="C86" s="24">
        <v>71.7204</v>
      </c>
      <c r="D86" s="24">
        <v>226.08</v>
      </c>
      <c r="E86" s="24">
        <v>244.3878</v>
      </c>
      <c r="F86" s="24">
        <v>138.769</v>
      </c>
      <c r="G86" s="24">
        <v>31.459</v>
      </c>
      <c r="H86" s="24">
        <v>17.778</v>
      </c>
      <c r="I86" s="24">
        <v>23.131</v>
      </c>
      <c r="J86" s="24">
        <v>38.4844</v>
      </c>
      <c r="K86" s="24">
        <v>131.881</v>
      </c>
      <c r="L86" s="24">
        <v>58.955</v>
      </c>
      <c r="M86" s="24">
        <v>6.975</v>
      </c>
      <c r="N86" s="24">
        <v>44.4628</v>
      </c>
    </row>
    <row r="87" spans="2:14">
      <c r="B87" s="25" t="s">
        <v>150</v>
      </c>
      <c r="C87" s="24">
        <v>493.348</v>
      </c>
      <c r="D87" s="24">
        <v>408.143</v>
      </c>
      <c r="E87" s="24">
        <v>357.3731</v>
      </c>
      <c r="F87" s="24">
        <v>344.0876</v>
      </c>
      <c r="G87" s="24">
        <v>228.289</v>
      </c>
      <c r="H87" s="24">
        <v>53.3175</v>
      </c>
      <c r="I87" s="24">
        <v>40.651</v>
      </c>
      <c r="J87" s="24">
        <v>76.8</v>
      </c>
      <c r="K87" s="24">
        <v>0</v>
      </c>
      <c r="L87" s="24">
        <v>2.726</v>
      </c>
      <c r="M87" s="24">
        <v>18.951</v>
      </c>
      <c r="N87" s="24">
        <v>111.2157</v>
      </c>
    </row>
    <row r="88" spans="2:14">
      <c r="B88" s="25" t="s">
        <v>151</v>
      </c>
      <c r="C88" s="24">
        <v>0</v>
      </c>
      <c r="D88" s="24">
        <v>139.68</v>
      </c>
      <c r="E88" s="24">
        <v>251.725</v>
      </c>
      <c r="F88" s="24">
        <v>257.098</v>
      </c>
      <c r="G88" s="24">
        <v>242.162</v>
      </c>
      <c r="H88" s="24">
        <v>0.855</v>
      </c>
      <c r="I88" s="24">
        <v>0</v>
      </c>
      <c r="J88" s="24">
        <v>0</v>
      </c>
      <c r="K88" s="24">
        <v>42.994</v>
      </c>
      <c r="L88" s="24">
        <v>34.444</v>
      </c>
      <c r="M88" s="24">
        <v>4.753</v>
      </c>
      <c r="N88" s="24">
        <v>0</v>
      </c>
    </row>
    <row r="106" spans="2:14" ht="19" customHeight="1">
      <c r="B106" s="5" t="s">
        <v>155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2:14">
      <c r="B107" s="21" t="s">
        <v>145</v>
      </c>
      <c r="C107" s="22" t="s">
        <v>92</v>
      </c>
      <c r="D107" s="22" t="s">
        <v>93</v>
      </c>
      <c r="E107" s="22" t="s">
        <v>94</v>
      </c>
      <c r="F107" s="22" t="s">
        <v>95</v>
      </c>
      <c r="G107" s="22" t="s">
        <v>96</v>
      </c>
      <c r="H107" s="22" t="s">
        <v>97</v>
      </c>
      <c r="I107" s="22" t="s">
        <v>98</v>
      </c>
      <c r="J107" s="22" t="s">
        <v>99</v>
      </c>
      <c r="K107" s="22" t="s">
        <v>100</v>
      </c>
      <c r="L107" s="22" t="s">
        <v>101</v>
      </c>
      <c r="M107" s="22" t="s">
        <v>102</v>
      </c>
      <c r="N107" s="22" t="s">
        <v>103</v>
      </c>
    </row>
    <row r="108" spans="2:14">
      <c r="B108" s="25" t="s">
        <v>146</v>
      </c>
      <c r="C108" s="24">
        <v>179.8849</v>
      </c>
      <c r="D108" s="24">
        <v>275.9716</v>
      </c>
      <c r="E108" s="24">
        <v>85.6249</v>
      </c>
      <c r="F108" s="24">
        <v>214.89</v>
      </c>
      <c r="G108" s="24">
        <v>272.8808</v>
      </c>
      <c r="H108" s="24">
        <v>123.38</v>
      </c>
      <c r="I108" s="24">
        <v>109.58</v>
      </c>
      <c r="J108" s="24">
        <v>47.53</v>
      </c>
      <c r="K108" s="24">
        <v>110.06</v>
      </c>
      <c r="L108" s="24">
        <v>198.14</v>
      </c>
      <c r="M108" s="24">
        <v>136.196</v>
      </c>
      <c r="N108" s="24">
        <v>9.5</v>
      </c>
    </row>
    <row r="109" spans="2:14">
      <c r="B109" s="25" t="s">
        <v>147</v>
      </c>
      <c r="C109" s="24">
        <v>320.38</v>
      </c>
      <c r="D109" s="24">
        <v>364.98</v>
      </c>
      <c r="E109" s="24">
        <v>287.466</v>
      </c>
      <c r="F109" s="24">
        <v>674.1609999999999</v>
      </c>
      <c r="G109" s="24">
        <v>198.49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</row>
    <row r="110" spans="2:14">
      <c r="B110" s="25" t="s">
        <v>148</v>
      </c>
      <c r="C110" s="24">
        <v>509.283</v>
      </c>
      <c r="D110" s="24">
        <v>985.422</v>
      </c>
      <c r="E110" s="24">
        <v>1263.928</v>
      </c>
      <c r="F110" s="24">
        <v>1698.66</v>
      </c>
      <c r="G110" s="24">
        <v>942.048</v>
      </c>
      <c r="H110" s="24">
        <v>631.49</v>
      </c>
      <c r="I110" s="24">
        <v>370.407</v>
      </c>
      <c r="J110" s="24">
        <v>387.615</v>
      </c>
      <c r="K110" s="24">
        <v>563.551</v>
      </c>
      <c r="L110" s="24">
        <v>1485.9288</v>
      </c>
      <c r="M110" s="24">
        <v>1026.309</v>
      </c>
      <c r="N110" s="24">
        <v>626.7</v>
      </c>
    </row>
    <row r="111" spans="2:14">
      <c r="B111" s="25" t="s">
        <v>149</v>
      </c>
      <c r="C111" s="24">
        <v>533.6799999999999</v>
      </c>
      <c r="D111" s="24">
        <v>1069.4633</v>
      </c>
      <c r="E111" s="24">
        <v>618.688</v>
      </c>
      <c r="F111" s="24">
        <v>709.707</v>
      </c>
      <c r="G111" s="24">
        <v>615.076</v>
      </c>
      <c r="H111" s="24">
        <v>544.169</v>
      </c>
      <c r="I111" s="24">
        <v>65.27200000000001</v>
      </c>
      <c r="J111" s="24">
        <v>112.765</v>
      </c>
      <c r="K111" s="24">
        <v>533.729</v>
      </c>
      <c r="L111" s="24">
        <v>647.6950000000001</v>
      </c>
      <c r="M111" s="24">
        <v>325.03</v>
      </c>
      <c r="N111" s="24">
        <v>171.0665</v>
      </c>
    </row>
    <row r="112" spans="2:14">
      <c r="B112" s="25" t="s">
        <v>150</v>
      </c>
      <c r="C112" s="24">
        <v>617.2497999999999</v>
      </c>
      <c r="D112" s="24">
        <v>1255.1687</v>
      </c>
      <c r="E112" s="24">
        <v>727.2744</v>
      </c>
      <c r="F112" s="24">
        <v>724.665</v>
      </c>
      <c r="G112" s="24">
        <v>482.509</v>
      </c>
      <c r="H112" s="24">
        <v>40.6612</v>
      </c>
      <c r="I112" s="24">
        <v>96.7664</v>
      </c>
      <c r="J112" s="24">
        <v>129.265</v>
      </c>
      <c r="K112" s="24">
        <v>102.055</v>
      </c>
      <c r="L112" s="24">
        <v>864.36</v>
      </c>
      <c r="M112" s="24">
        <v>658.28</v>
      </c>
      <c r="N112" s="24">
        <v>231.929</v>
      </c>
    </row>
    <row r="113" spans="2:14">
      <c r="B113" s="25" t="s">
        <v>151</v>
      </c>
      <c r="C113" s="24">
        <v>396.02</v>
      </c>
      <c r="D113" s="24">
        <v>504.118</v>
      </c>
      <c r="E113" s="24">
        <v>241.146</v>
      </c>
      <c r="F113" s="24">
        <v>13.559</v>
      </c>
      <c r="G113" s="24">
        <v>51.34</v>
      </c>
      <c r="H113" s="24">
        <v>3.5</v>
      </c>
      <c r="I113" s="24">
        <v>3.5</v>
      </c>
      <c r="J113" s="24">
        <v>3.5</v>
      </c>
      <c r="K113" s="24">
        <v>190.75</v>
      </c>
      <c r="L113" s="24">
        <v>513.04</v>
      </c>
      <c r="M113" s="24">
        <v>94.25</v>
      </c>
      <c r="N113" s="24">
        <v>3.5</v>
      </c>
    </row>
    <row r="131" spans="2:12" ht="19" customHeight="1">
      <c r="B131" s="8" t="s">
        <v>156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2:12">
      <c r="B132" s="21" t="s">
        <v>60</v>
      </c>
      <c r="C132" s="23">
        <v>2018</v>
      </c>
      <c r="D132" s="23">
        <v>2019</v>
      </c>
      <c r="E132" s="23">
        <v>2020</v>
      </c>
      <c r="F132" s="23">
        <v>2021</v>
      </c>
      <c r="G132" s="23">
        <v>2022</v>
      </c>
      <c r="H132" s="23">
        <v>2023</v>
      </c>
      <c r="I132" s="23">
        <v>2024</v>
      </c>
      <c r="J132" s="23">
        <v>2025</v>
      </c>
      <c r="K132" s="40">
        <v>2026</v>
      </c>
      <c r="L132" s="40">
        <v>2027</v>
      </c>
    </row>
    <row r="133" spans="2:12">
      <c r="B133" s="25" t="s">
        <v>4</v>
      </c>
      <c r="C133" s="24">
        <v>2893.3769</v>
      </c>
      <c r="D133" s="24">
        <v>3939.7629</v>
      </c>
      <c r="E133" s="24">
        <v>9251.751700000001</v>
      </c>
      <c r="F133" s="24">
        <v>3805.4693</v>
      </c>
      <c r="G133" s="24">
        <v>1555.1216</v>
      </c>
      <c r="H133" s="24">
        <v>3173.4897</v>
      </c>
      <c r="I133" s="24">
        <v>1322.7674</v>
      </c>
      <c r="J133" s="24">
        <v>2415.657</v>
      </c>
      <c r="K133" s="34">
        <v>527.7182</v>
      </c>
      <c r="L133" s="34">
        <v>389.4148</v>
      </c>
    </row>
    <row r="134" spans="2:12">
      <c r="B134" s="25" t="s">
        <v>5</v>
      </c>
      <c r="C134" s="24">
        <v>8081.7244</v>
      </c>
      <c r="D134" s="24">
        <v>10058.3026</v>
      </c>
      <c r="E134" s="24">
        <v>29889.079</v>
      </c>
      <c r="F134" s="24">
        <v>15977.2302</v>
      </c>
      <c r="G134" s="24">
        <v>10595.2604</v>
      </c>
      <c r="H134" s="24">
        <v>12104.8893</v>
      </c>
      <c r="I134" s="24">
        <v>10241.9252</v>
      </c>
      <c r="J134" s="24">
        <v>8767.651400000001</v>
      </c>
      <c r="K134" s="34">
        <v>6323.0527</v>
      </c>
      <c r="L134" s="34">
        <v>3995.487</v>
      </c>
    </row>
    <row r="135" spans="2:12">
      <c r="B135" s="25" t="s">
        <v>6</v>
      </c>
      <c r="C135" s="24">
        <v>14797.2328</v>
      </c>
      <c r="D135" s="24">
        <v>22644.4881</v>
      </c>
      <c r="E135" s="24">
        <v>80030.66650000001</v>
      </c>
      <c r="F135" s="24">
        <v>55571.7062</v>
      </c>
      <c r="G135" s="24">
        <v>26369.1344</v>
      </c>
      <c r="H135" s="24">
        <v>26488.9403</v>
      </c>
      <c r="I135" s="24">
        <v>23419.9457</v>
      </c>
      <c r="J135" s="24">
        <v>16427.6227</v>
      </c>
      <c r="K135" s="34">
        <v>9128.6733</v>
      </c>
      <c r="L135" s="34">
        <v>8546.3338</v>
      </c>
    </row>
    <row r="136" spans="2:12">
      <c r="B136" s="25" t="s">
        <v>7</v>
      </c>
      <c r="C136" s="24">
        <v>1578.74</v>
      </c>
      <c r="D136" s="24">
        <v>573.6105</v>
      </c>
      <c r="E136" s="24">
        <v>3098.1596</v>
      </c>
      <c r="F136" s="24">
        <v>2489.7791</v>
      </c>
      <c r="G136" s="24">
        <v>1648.2037</v>
      </c>
      <c r="H136" s="24">
        <v>2134.9019</v>
      </c>
      <c r="I136" s="24">
        <v>1034.0834</v>
      </c>
      <c r="J136" s="24">
        <v>571.8007</v>
      </c>
      <c r="K136" s="34">
        <v>690.2984</v>
      </c>
      <c r="L136" s="34">
        <v>973.711</v>
      </c>
    </row>
    <row r="137" spans="2:12">
      <c r="B137" s="25" t="s">
        <v>8</v>
      </c>
      <c r="C137" s="24">
        <v>4684.4105</v>
      </c>
      <c r="D137" s="24">
        <v>5441.4348</v>
      </c>
      <c r="E137" s="24">
        <v>27982.3252</v>
      </c>
      <c r="F137" s="24">
        <v>14331.2426</v>
      </c>
      <c r="G137" s="24">
        <v>6891.4998</v>
      </c>
      <c r="H137" s="24">
        <v>5930.1835</v>
      </c>
      <c r="I137" s="24">
        <v>5946.3408</v>
      </c>
      <c r="J137" s="24">
        <v>10491.3418</v>
      </c>
      <c r="K137" s="34">
        <v>3609.1152</v>
      </c>
      <c r="L137" s="34">
        <v>2018.223</v>
      </c>
    </row>
    <row r="138" spans="2:12">
      <c r="B138" s="41" t="s">
        <v>0</v>
      </c>
      <c r="C138" s="32">
        <f>SUM(C133:C137)</f>
        <v>0</v>
      </c>
      <c r="D138" s="32">
        <f>SUM(D133:D137)</f>
        <v>0</v>
      </c>
      <c r="E138" s="32">
        <f>SUM(E133:E137)</f>
        <v>0</v>
      </c>
      <c r="F138" s="32">
        <f>SUM(F133:F137)</f>
        <v>0</v>
      </c>
      <c r="G138" s="32">
        <f>SUM(G133:G137)</f>
        <v>0</v>
      </c>
      <c r="H138" s="32">
        <f>SUM(H133:H137)</f>
        <v>0</v>
      </c>
      <c r="I138" s="32">
        <f>SUM(I133:I137)</f>
        <v>0</v>
      </c>
      <c r="J138" s="32">
        <f>SUM(J133:J137)</f>
        <v>0</v>
      </c>
      <c r="K138" s="34">
        <f>SUM(K133:K137)</f>
        <v>0</v>
      </c>
      <c r="L138" s="34">
        <f>SUM(L133:L137)</f>
        <v>0</v>
      </c>
    </row>
    <row r="140" spans="2:12" ht="19" customHeight="1">
      <c r="B140" s="6" t="s">
        <v>157</v>
      </c>
      <c r="C140" s="6"/>
      <c r="D140" s="6"/>
      <c r="E140" s="6"/>
      <c r="F140" s="6"/>
      <c r="G140" s="6"/>
      <c r="H140" s="6"/>
      <c r="I140" s="6"/>
      <c r="J140" s="6"/>
      <c r="K140" s="6"/>
    </row>
    <row r="141" spans="2:12">
      <c r="B141" s="21" t="s">
        <v>60</v>
      </c>
      <c r="C141" s="23">
        <v>2018</v>
      </c>
      <c r="D141" s="23">
        <v>2019</v>
      </c>
      <c r="E141" s="23">
        <v>2020</v>
      </c>
      <c r="F141" s="23">
        <v>2021</v>
      </c>
      <c r="G141" s="23">
        <v>2022</v>
      </c>
      <c r="H141" s="23">
        <v>2023</v>
      </c>
      <c r="I141" s="23">
        <v>2024</v>
      </c>
      <c r="J141" s="23">
        <v>2025</v>
      </c>
      <c r="K141" s="40">
        <v>2026</v>
      </c>
    </row>
    <row r="142" spans="2:12">
      <c r="B142" s="25" t="s">
        <v>4</v>
      </c>
      <c r="C142" s="24">
        <v>686.5771999999999</v>
      </c>
      <c r="D142" s="24">
        <v>1134.9774</v>
      </c>
      <c r="E142" s="24">
        <v>6639.4917</v>
      </c>
      <c r="F142" s="24">
        <v>3499.3643</v>
      </c>
      <c r="G142" s="24">
        <v>838.49</v>
      </c>
      <c r="H142" s="24">
        <v>879.2184999999999</v>
      </c>
      <c r="I142" s="24">
        <v>758.0088</v>
      </c>
      <c r="J142" s="24">
        <v>1524.7432</v>
      </c>
      <c r="K142" s="34">
        <v>341.7187</v>
      </c>
    </row>
    <row r="143" spans="2:12">
      <c r="B143" s="25" t="s">
        <v>5</v>
      </c>
      <c r="C143" s="24">
        <v>2968.9009</v>
      </c>
      <c r="D143" s="24">
        <v>4280.2866</v>
      </c>
      <c r="E143" s="24">
        <v>27603.1455</v>
      </c>
      <c r="F143" s="24">
        <v>11298.4568</v>
      </c>
      <c r="G143" s="24">
        <v>6764.0168</v>
      </c>
      <c r="H143" s="24">
        <v>6640.3387</v>
      </c>
      <c r="I143" s="24">
        <v>5602.5239</v>
      </c>
      <c r="J143" s="24">
        <v>2837.6686</v>
      </c>
      <c r="K143" s="34">
        <v>1689.4067</v>
      </c>
    </row>
    <row r="144" spans="2:12">
      <c r="B144" s="25" t="s">
        <v>6</v>
      </c>
      <c r="C144" s="24">
        <v>6130.7373</v>
      </c>
      <c r="D144" s="24">
        <v>9871.7996</v>
      </c>
      <c r="E144" s="24">
        <v>66183.2975</v>
      </c>
      <c r="F144" s="24">
        <v>40953.2259</v>
      </c>
      <c r="G144" s="24">
        <v>11315.8739</v>
      </c>
      <c r="H144" s="24">
        <v>11829.2618</v>
      </c>
      <c r="I144" s="24">
        <v>11810.3492</v>
      </c>
      <c r="J144" s="24">
        <v>6051.7432</v>
      </c>
      <c r="K144" s="34">
        <v>4200.116</v>
      </c>
    </row>
    <row r="145" spans="2:12">
      <c r="B145" s="25" t="s">
        <v>7</v>
      </c>
      <c r="C145" s="24">
        <v>397.564</v>
      </c>
      <c r="D145" s="24">
        <v>40.13650000000001</v>
      </c>
      <c r="E145" s="24">
        <v>2735.7326</v>
      </c>
      <c r="F145" s="24">
        <v>1627.5056</v>
      </c>
      <c r="G145" s="24">
        <v>693.9537</v>
      </c>
      <c r="H145" s="24">
        <v>1470.7124</v>
      </c>
      <c r="I145" s="24">
        <v>401.7754</v>
      </c>
      <c r="J145" s="24">
        <v>381.1887</v>
      </c>
      <c r="K145" s="34">
        <v>173.0774</v>
      </c>
    </row>
    <row r="146" spans="2:12">
      <c r="B146" s="25" t="s">
        <v>8</v>
      </c>
      <c r="C146" s="24">
        <v>1184.8115</v>
      </c>
      <c r="D146" s="24">
        <v>3008.2042</v>
      </c>
      <c r="E146" s="24">
        <v>21618.5782</v>
      </c>
      <c r="F146" s="24">
        <v>9056.141100000001</v>
      </c>
      <c r="G146" s="24">
        <v>3016.1748</v>
      </c>
      <c r="H146" s="24">
        <v>2872.6275</v>
      </c>
      <c r="I146" s="24">
        <v>3009.9095</v>
      </c>
      <c r="J146" s="24">
        <v>8462.209800000001</v>
      </c>
      <c r="K146" s="34">
        <v>1845.477</v>
      </c>
    </row>
    <row r="147" spans="2:12">
      <c r="B147" s="41" t="s">
        <v>0</v>
      </c>
      <c r="C147" s="32">
        <f>SUM(C142:C146)</f>
        <v>0</v>
      </c>
      <c r="D147" s="32">
        <f>SUM(D142:D146)</f>
        <v>0</v>
      </c>
      <c r="E147" s="32">
        <f>SUM(E142:E146)</f>
        <v>0</v>
      </c>
      <c r="F147" s="32">
        <f>SUM(F142:F146)</f>
        <v>0</v>
      </c>
      <c r="G147" s="32">
        <f>SUM(G142:G146)</f>
        <v>0</v>
      </c>
      <c r="H147" s="32">
        <f>SUM(H142:H146)</f>
        <v>0</v>
      </c>
      <c r="I147" s="32">
        <f>SUM(I142:I146)</f>
        <v>0</v>
      </c>
      <c r="J147" s="32">
        <f>SUM(J142:J146)</f>
        <v>0</v>
      </c>
      <c r="K147" s="34">
        <f>SUM(K142:K146)</f>
        <v>0</v>
      </c>
    </row>
    <row r="149" spans="2:12" ht="19" customHeight="1">
      <c r="B149" s="42" t="s">
        <v>158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</row>
    <row r="150" spans="2:12">
      <c r="B150" s="21" t="s">
        <v>60</v>
      </c>
      <c r="C150" s="23">
        <v>2018</v>
      </c>
      <c r="D150" s="23">
        <v>2019</v>
      </c>
      <c r="E150" s="23">
        <v>2020</v>
      </c>
      <c r="F150" s="23">
        <v>2021</v>
      </c>
      <c r="G150" s="23">
        <v>2022</v>
      </c>
      <c r="H150" s="23">
        <v>2023</v>
      </c>
      <c r="I150" s="23">
        <v>2024</v>
      </c>
      <c r="J150" s="23">
        <v>2025</v>
      </c>
      <c r="K150" s="40">
        <v>2026</v>
      </c>
      <c r="L150" s="40">
        <v>2027</v>
      </c>
    </row>
    <row r="151" spans="2:12">
      <c r="B151" s="25" t="s">
        <v>4</v>
      </c>
      <c r="C151" s="24">
        <v>2206.7997</v>
      </c>
      <c r="D151" s="24">
        <v>2804.7855</v>
      </c>
      <c r="E151" s="24">
        <v>2612.26</v>
      </c>
      <c r="F151" s="24">
        <v>306.105</v>
      </c>
      <c r="G151" s="24">
        <v>716.6316</v>
      </c>
      <c r="H151" s="24">
        <v>2294.2712</v>
      </c>
      <c r="I151" s="24">
        <v>564.7586</v>
      </c>
      <c r="J151" s="24">
        <v>890.9138</v>
      </c>
      <c r="K151" s="34">
        <v>185.9995</v>
      </c>
      <c r="L151" s="34">
        <v>389.4148</v>
      </c>
    </row>
    <row r="152" spans="2:12">
      <c r="B152" s="25" t="s">
        <v>5</v>
      </c>
      <c r="C152" s="24">
        <v>5112.8235</v>
      </c>
      <c r="D152" s="24">
        <v>5778.016</v>
      </c>
      <c r="E152" s="24">
        <v>2285.9335</v>
      </c>
      <c r="F152" s="24">
        <v>4678.7734</v>
      </c>
      <c r="G152" s="24">
        <v>3831.2436</v>
      </c>
      <c r="H152" s="24">
        <v>5464.5506</v>
      </c>
      <c r="I152" s="24">
        <v>4639.4013</v>
      </c>
      <c r="J152" s="24">
        <v>5929.9828</v>
      </c>
      <c r="K152" s="34">
        <v>4633.646</v>
      </c>
      <c r="L152" s="34">
        <v>3995.487</v>
      </c>
    </row>
    <row r="153" spans="2:12">
      <c r="B153" s="25" t="s">
        <v>6</v>
      </c>
      <c r="C153" s="24">
        <v>8666.495500000001</v>
      </c>
      <c r="D153" s="24">
        <v>12772.6885</v>
      </c>
      <c r="E153" s="24">
        <v>13847.369</v>
      </c>
      <c r="F153" s="24">
        <v>14618.4803</v>
      </c>
      <c r="G153" s="24">
        <v>15053.2605</v>
      </c>
      <c r="H153" s="24">
        <v>14659.6785</v>
      </c>
      <c r="I153" s="24">
        <v>11609.5965</v>
      </c>
      <c r="J153" s="24">
        <v>10375.8795</v>
      </c>
      <c r="K153" s="34">
        <v>4928.5573</v>
      </c>
      <c r="L153" s="34">
        <v>8546.3338</v>
      </c>
    </row>
    <row r="154" spans="2:12">
      <c r="B154" s="25" t="s">
        <v>7</v>
      </c>
      <c r="C154" s="24">
        <v>1181.176</v>
      </c>
      <c r="D154" s="24">
        <v>533.474</v>
      </c>
      <c r="E154" s="24">
        <v>362.427</v>
      </c>
      <c r="F154" s="24">
        <v>862.2735</v>
      </c>
      <c r="G154" s="24">
        <v>954.25</v>
      </c>
      <c r="H154" s="24">
        <v>664.1895</v>
      </c>
      <c r="I154" s="24">
        <v>632.308</v>
      </c>
      <c r="J154" s="24">
        <v>190.612</v>
      </c>
      <c r="K154" s="34">
        <v>517.221</v>
      </c>
      <c r="L154" s="34">
        <v>973.711</v>
      </c>
    </row>
    <row r="155" spans="2:12">
      <c r="B155" s="25" t="s">
        <v>8</v>
      </c>
      <c r="C155" s="24">
        <v>3499.599</v>
      </c>
      <c r="D155" s="24">
        <v>2433.2306</v>
      </c>
      <c r="E155" s="24">
        <v>6363.747</v>
      </c>
      <c r="F155" s="24">
        <v>5275.1015</v>
      </c>
      <c r="G155" s="24">
        <v>3875.325</v>
      </c>
      <c r="H155" s="24">
        <v>3057.556</v>
      </c>
      <c r="I155" s="24">
        <v>2936.4313</v>
      </c>
      <c r="J155" s="24">
        <v>2029.132</v>
      </c>
      <c r="K155" s="34">
        <v>1763.6382</v>
      </c>
      <c r="L155" s="34">
        <v>2018.223</v>
      </c>
    </row>
    <row r="156" spans="2:12">
      <c r="B156" s="41" t="s">
        <v>0</v>
      </c>
      <c r="C156" s="32">
        <f>SUM(C151:C155)</f>
        <v>0</v>
      </c>
      <c r="D156" s="32">
        <f>SUM(D151:D155)</f>
        <v>0</v>
      </c>
      <c r="E156" s="32">
        <f>SUM(E151:E155)</f>
        <v>0</v>
      </c>
      <c r="F156" s="32">
        <f>SUM(F151:F155)</f>
        <v>0</v>
      </c>
      <c r="G156" s="32">
        <f>SUM(G151:G155)</f>
        <v>0</v>
      </c>
      <c r="H156" s="32">
        <f>SUM(H151:H155)</f>
        <v>0</v>
      </c>
      <c r="I156" s="32">
        <f>SUM(I151:I155)</f>
        <v>0</v>
      </c>
      <c r="J156" s="32">
        <f>SUM(J151:J155)</f>
        <v>0</v>
      </c>
      <c r="K156" s="34">
        <f>SUM(K151:K155)</f>
        <v>0</v>
      </c>
      <c r="L156" s="34">
        <f>SUM(L151:L155)</f>
        <v>0</v>
      </c>
    </row>
  </sheetData>
  <mergeCells count="11">
    <mergeCell ref="I1:N1"/>
    <mergeCell ref="B2:N2"/>
    <mergeCell ref="B3:N3"/>
    <mergeCell ref="B6:N6"/>
    <mergeCell ref="B31:N31"/>
    <mergeCell ref="B56:N56"/>
    <mergeCell ref="B81:N81"/>
    <mergeCell ref="B106:N106"/>
    <mergeCell ref="B131:L131"/>
    <mergeCell ref="B140:K140"/>
    <mergeCell ref="B149:L149"/>
  </mergeCells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pageSetUpPr fitToPage="1"/>
  </sheetPr>
  <dimension ref="B1:N48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2.7109375" customWidth="1"/>
    <col min="2" max="2" width="24.7109375" customWidth="1"/>
    <col min="3" max="3" width="26.7109375" customWidth="1"/>
    <col min="4" max="4" width="18.7109375" customWidth="1"/>
    <col min="5" max="6" width="9.7109375" customWidth="1"/>
    <col min="7" max="7" width="34.7109375" customWidth="1"/>
    <col min="8" max="14" width="9.7109375" customWidth="1"/>
  </cols>
  <sheetData>
    <row r="1" spans="2:14" x14ac:dyDescent="0.25">
      <c r="B1" s="9" t="s">
        <v>77</v>
      </c>
      <c r="I1" s="14" t="s">
        <v>78</v>
      </c>
      <c r="J1" s="14"/>
      <c r="K1" s="14"/>
      <c r="L1" s="14"/>
      <c r="M1" s="14"/>
      <c r="N1" s="14"/>
    </row>
    <row r="2" spans="2:14" x14ac:dyDescent="0.25">
      <c r="B2" s="1" t="s">
        <v>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2" t="s">
        <v>159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19" customHeight="1" x14ac:dyDescent="0.25">
      <c r="B6" s="8" t="s">
        <v>160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2:14" x14ac:dyDescent="0.25">
      <c r="B7" s="21" t="s">
        <v>161</v>
      </c>
      <c r="C7" s="23">
        <v>2020</v>
      </c>
      <c r="D7" s="23">
        <v>2021</v>
      </c>
      <c r="E7" s="23">
        <v>2022</v>
      </c>
      <c r="F7" s="23">
        <v>2023</v>
      </c>
      <c r="G7" s="23">
        <v>2024</v>
      </c>
      <c r="H7" s="23">
        <v>2025</v>
      </c>
      <c r="I7" s="40">
        <v>2026</v>
      </c>
      <c r="J7" s="40">
        <v>2027</v>
      </c>
      <c r="K7" s="22" t="s">
        <v>114</v>
      </c>
      <c r="L7" s="22" t="s">
        <v>162</v>
      </c>
      <c r="M7" s="22" t="s">
        <v>163</v>
      </c>
    </row>
    <row r="8" spans="2:14" x14ac:dyDescent="0.25">
      <c r="B8" s="25" t="s">
        <v>164</v>
      </c>
      <c r="C8" s="24">
        <v>46512.4768</v>
      </c>
      <c r="D8" s="24">
        <v>29609.0112</v>
      </c>
      <c r="E8" s="24">
        <v>15320.7195</v>
      </c>
      <c r="F8" s="24">
        <v>15276.0938</v>
      </c>
      <c r="G8" s="24">
        <v>12254.3719</v>
      </c>
      <c r="H8" s="24">
        <v>12952.9452</v>
      </c>
      <c r="I8" s="34">
        <v>6971.548</v>
      </c>
      <c r="J8" s="34">
        <v>7055.79</v>
      </c>
      <c r="K8" s="32">
        <f>SUM(C8:J8)</f>
        <v>0</v>
      </c>
      <c r="L8" s="39">
        <f>IF(SUM(H8:H24)=0,0,H8/SUM(H8:H24))</f>
        <v>0</v>
      </c>
      <c r="M8" s="36">
        <f>IF(G8=0,"n/a",(H8-G8)/G8)</f>
        <v>0</v>
      </c>
    </row>
    <row r="9" spans="2:14" x14ac:dyDescent="0.25">
      <c r="B9" s="25" t="s">
        <v>165</v>
      </c>
      <c r="C9" s="43">
        <v>37292.0667</v>
      </c>
      <c r="D9" s="43">
        <v>20210.7288</v>
      </c>
      <c r="E9" s="43">
        <v>10460.02</v>
      </c>
      <c r="F9" s="43">
        <v>11712.4458</v>
      </c>
      <c r="G9" s="43">
        <v>9401.5057</v>
      </c>
      <c r="H9" s="43">
        <v>9012.315199999999</v>
      </c>
      <c r="I9" s="44">
        <v>4200.8856</v>
      </c>
      <c r="J9" s="44">
        <v>3139.902</v>
      </c>
      <c r="K9" s="32">
        <f>SUM(C9:J9)</f>
        <v>0</v>
      </c>
      <c r="L9" s="39">
        <f>IF(SUM(H8:H24)=0,0,H9/SUM(H8:H24))</f>
        <v>0</v>
      </c>
      <c r="M9" s="36">
        <f>IF(G9=0,"n/a",(H9-G9)/G9)</f>
        <v>0</v>
      </c>
    </row>
    <row r="10" spans="2:14" x14ac:dyDescent="0.25">
      <c r="B10" s="25" t="s">
        <v>166</v>
      </c>
      <c r="C10" s="24">
        <v>19361.9278</v>
      </c>
      <c r="D10" s="24">
        <v>12179.6292</v>
      </c>
      <c r="E10" s="24">
        <v>5724.9635</v>
      </c>
      <c r="F10" s="24">
        <v>6157.5325</v>
      </c>
      <c r="G10" s="24">
        <v>5032.6462</v>
      </c>
      <c r="H10" s="24">
        <v>4329.9434</v>
      </c>
      <c r="I10" s="34">
        <v>2623.742</v>
      </c>
      <c r="J10" s="34">
        <v>2064.5315</v>
      </c>
      <c r="K10" s="32">
        <f>SUM(C10:J10)</f>
        <v>0</v>
      </c>
      <c r="L10" s="39">
        <f>IF(SUM(H8:H24)=0,0,H10/SUM(H8:H24))</f>
        <v>0</v>
      </c>
      <c r="M10" s="36">
        <f>IF(G10=0,"n/a",(H10-G10)/G10)</f>
        <v>0</v>
      </c>
    </row>
    <row r="11" spans="2:14" x14ac:dyDescent="0.25">
      <c r="B11" s="25" t="s">
        <v>167</v>
      </c>
      <c r="C11" s="43">
        <v>16430.7895</v>
      </c>
      <c r="D11" s="43">
        <v>11786.4669</v>
      </c>
      <c r="E11" s="43">
        <v>5635.4065</v>
      </c>
      <c r="F11" s="43">
        <v>5961.924</v>
      </c>
      <c r="G11" s="43">
        <v>4902.8027</v>
      </c>
      <c r="H11" s="43">
        <v>4566.9633</v>
      </c>
      <c r="I11" s="44">
        <v>2609.1064</v>
      </c>
      <c r="J11" s="44">
        <v>1233.4527</v>
      </c>
      <c r="K11" s="32">
        <f>SUM(C11:J11)</f>
        <v>0</v>
      </c>
      <c r="L11" s="39">
        <f>IF(SUM(H8:H24)=0,0,H11/SUM(H8:H24))</f>
        <v>0</v>
      </c>
      <c r="M11" s="36">
        <f>IF(G11=0,"n/a",(H11-G11)/G11)</f>
        <v>0</v>
      </c>
    </row>
    <row r="12" spans="2:14" x14ac:dyDescent="0.25">
      <c r="B12" s="25" t="s">
        <v>168</v>
      </c>
      <c r="C12" s="24">
        <v>10878.1816</v>
      </c>
      <c r="D12" s="24">
        <v>7104.1057</v>
      </c>
      <c r="E12" s="24">
        <v>3739.9282</v>
      </c>
      <c r="F12" s="24">
        <v>4018.1045</v>
      </c>
      <c r="G12" s="24">
        <v>4223.5419</v>
      </c>
      <c r="H12" s="24">
        <v>2350.0454</v>
      </c>
      <c r="I12" s="34">
        <v>1283.642</v>
      </c>
      <c r="J12" s="34">
        <v>641.8969999999999</v>
      </c>
      <c r="K12" s="32">
        <f>SUM(C12:J12)</f>
        <v>0</v>
      </c>
      <c r="L12" s="39">
        <f>IF(SUM(H8:H24)=0,0,H12/SUM(H8:H24))</f>
        <v>0</v>
      </c>
      <c r="M12" s="36">
        <f>IF(G12=0,"n/a",(H12-G12)/G12)</f>
        <v>0</v>
      </c>
    </row>
    <row r="13" spans="2:14" x14ac:dyDescent="0.25">
      <c r="B13" s="25" t="s">
        <v>169</v>
      </c>
      <c r="C13" s="43">
        <v>7296.2186</v>
      </c>
      <c r="D13" s="43">
        <v>4865.5582</v>
      </c>
      <c r="E13" s="43">
        <v>2622.3905</v>
      </c>
      <c r="F13" s="43">
        <v>3278.1496</v>
      </c>
      <c r="G13" s="43">
        <v>3357.0548</v>
      </c>
      <c r="H13" s="43">
        <v>2299.9069</v>
      </c>
      <c r="I13" s="44">
        <v>1035.859</v>
      </c>
      <c r="J13" s="44">
        <v>732.121</v>
      </c>
      <c r="K13" s="32">
        <f>SUM(C13:J13)</f>
        <v>0</v>
      </c>
      <c r="L13" s="39">
        <f>IF(SUM(H8:H24)=0,0,H13/SUM(H8:H24))</f>
        <v>0</v>
      </c>
      <c r="M13" s="36">
        <f>IF(G13=0,"n/a",(H13-G13)/G13)</f>
        <v>0</v>
      </c>
    </row>
    <row r="14" spans="2:14" x14ac:dyDescent="0.25">
      <c r="B14" s="25" t="s">
        <v>170</v>
      </c>
      <c r="C14" s="24">
        <v>6316.6157</v>
      </c>
      <c r="D14" s="24">
        <v>3873.6708</v>
      </c>
      <c r="E14" s="24">
        <v>2035.4437</v>
      </c>
      <c r="F14" s="24">
        <v>2200.4856</v>
      </c>
      <c r="G14" s="24">
        <v>2057.798</v>
      </c>
      <c r="H14" s="24">
        <v>1959.67</v>
      </c>
      <c r="I14" s="34">
        <v>852.657</v>
      </c>
      <c r="J14" s="34">
        <v>461.533</v>
      </c>
      <c r="K14" s="32">
        <f>SUM(C14:J14)</f>
        <v>0</v>
      </c>
      <c r="L14" s="39">
        <f>IF(SUM(H8:H24)=0,0,H14/SUM(H8:H24))</f>
        <v>0</v>
      </c>
      <c r="M14" s="36">
        <f>IF(G14=0,"n/a",(H14-G14)/G14)</f>
        <v>0</v>
      </c>
    </row>
    <row r="15" spans="2:14" x14ac:dyDescent="0.25">
      <c r="B15" s="25" t="s">
        <v>171</v>
      </c>
      <c r="C15" s="43">
        <v>3199.133</v>
      </c>
      <c r="D15" s="43">
        <v>1990.6946</v>
      </c>
      <c r="E15" s="43">
        <v>895.996</v>
      </c>
      <c r="F15" s="43">
        <v>838.9985</v>
      </c>
      <c r="G15" s="43">
        <v>557.7479</v>
      </c>
      <c r="H15" s="43">
        <v>608.203</v>
      </c>
      <c r="I15" s="44">
        <v>361.0614</v>
      </c>
      <c r="J15" s="44">
        <v>392.8175</v>
      </c>
      <c r="K15" s="32">
        <f>SUM(C15:J15)</f>
        <v>0</v>
      </c>
      <c r="L15" s="39">
        <f>IF(SUM(H8:H24)=0,0,H15/SUM(H8:H24))</f>
        <v>0</v>
      </c>
      <c r="M15" s="36">
        <f>IF(G15=0,"n/a",(H15-G15)/G15)</f>
        <v>0</v>
      </c>
    </row>
    <row r="16" spans="2:14" x14ac:dyDescent="0.25">
      <c r="B16" s="25" t="s">
        <v>172</v>
      </c>
      <c r="C16" s="24">
        <v>1053.9846</v>
      </c>
      <c r="D16" s="24">
        <v>616.8486</v>
      </c>
      <c r="E16" s="24">
        <v>143.3713</v>
      </c>
      <c r="F16" s="24">
        <v>214.9927</v>
      </c>
      <c r="G16" s="24">
        <v>121.3164</v>
      </c>
      <c r="H16" s="24">
        <v>256.8642</v>
      </c>
      <c r="I16" s="34">
        <v>135.589</v>
      </c>
      <c r="J16" s="34">
        <v>120.326</v>
      </c>
      <c r="K16" s="32">
        <f>SUM(C16:J16)</f>
        <v>0</v>
      </c>
      <c r="L16" s="39">
        <f>IF(SUM(H8:H24)=0,0,H16/SUM(H8:H24))</f>
        <v>0</v>
      </c>
      <c r="M16" s="36">
        <f>IF(G16=0,"n/a",(H16-G16)/G16)</f>
        <v>0</v>
      </c>
    </row>
    <row r="17" spans="2:13" x14ac:dyDescent="0.25">
      <c r="B17" s="25" t="s">
        <v>173</v>
      </c>
      <c r="C17" s="43">
        <v>687.6974</v>
      </c>
      <c r="D17" s="43">
        <v>386.4898</v>
      </c>
      <c r="E17" s="43">
        <v>74.93899999999999</v>
      </c>
      <c r="F17" s="43">
        <v>29.658</v>
      </c>
      <c r="G17" s="43">
        <v>32.758</v>
      </c>
      <c r="H17" s="43">
        <v>116.53</v>
      </c>
      <c r="I17" s="44">
        <v>178.0694</v>
      </c>
      <c r="J17" s="44">
        <v>42.017</v>
      </c>
      <c r="K17" s="32">
        <f>SUM(C17:J17)</f>
        <v>0</v>
      </c>
      <c r="L17" s="39">
        <f>IF(SUM(H8:H24)=0,0,H17/SUM(H8:H24))</f>
        <v>0</v>
      </c>
      <c r="M17" s="36">
        <f>IF(G17=0,"n/a",(H17-G17)/G17)</f>
        <v>0</v>
      </c>
    </row>
    <row r="18" spans="2:13" x14ac:dyDescent="0.25">
      <c r="B18" s="25" t="s">
        <v>174</v>
      </c>
      <c r="C18" s="24">
        <v>426.923</v>
      </c>
      <c r="D18" s="24">
        <v>175.328</v>
      </c>
      <c r="E18" s="24">
        <v>178.8</v>
      </c>
      <c r="F18" s="24">
        <v>73.33</v>
      </c>
      <c r="G18" s="24">
        <v>0</v>
      </c>
      <c r="H18" s="24">
        <v>171.2</v>
      </c>
      <c r="I18" s="34">
        <v>0</v>
      </c>
      <c r="J18" s="34">
        <v>0</v>
      </c>
      <c r="K18" s="32">
        <f>SUM(C18:J18)</f>
        <v>0</v>
      </c>
      <c r="L18" s="39">
        <f>IF(SUM(H8:H24)=0,0,H18/SUM(H8:H24))</f>
        <v>0</v>
      </c>
      <c r="M18" s="36">
        <f>IF(G18=0,"n/a",(H18-G18)/G18)</f>
        <v>0</v>
      </c>
    </row>
    <row r="19" spans="2:13" x14ac:dyDescent="0.25">
      <c r="B19" s="25" t="s">
        <v>175</v>
      </c>
      <c r="C19" s="43">
        <v>346.8787</v>
      </c>
      <c r="D19" s="43">
        <v>257.4847</v>
      </c>
      <c r="E19" s="43">
        <v>222.4997</v>
      </c>
      <c r="F19" s="43">
        <v>62.6817</v>
      </c>
      <c r="G19" s="43">
        <v>1.305</v>
      </c>
      <c r="H19" s="43">
        <v>34.017</v>
      </c>
      <c r="I19" s="44">
        <v>22.006</v>
      </c>
      <c r="J19" s="44">
        <v>31.5819</v>
      </c>
      <c r="K19" s="32">
        <f>SUM(C19:J19)</f>
        <v>0</v>
      </c>
      <c r="L19" s="39">
        <f>IF(SUM(H8:H24)=0,0,H19/SUM(H8:H24))</f>
        <v>0</v>
      </c>
      <c r="M19" s="36">
        <f>IF(G19=0,"n/a",(H19-G19)/G19)</f>
        <v>0</v>
      </c>
    </row>
    <row r="20" spans="2:13" x14ac:dyDescent="0.25">
      <c r="B20" s="25" t="s">
        <v>176</v>
      </c>
      <c r="C20" s="24">
        <v>152.0005</v>
      </c>
      <c r="D20" s="24">
        <v>214.9835</v>
      </c>
      <c r="E20" s="24">
        <v>2.541</v>
      </c>
      <c r="F20" s="24">
        <v>0</v>
      </c>
      <c r="G20" s="24">
        <v>18.84</v>
      </c>
      <c r="H20" s="24">
        <v>0</v>
      </c>
      <c r="I20" s="34">
        <v>0.84</v>
      </c>
      <c r="J20" s="34">
        <v>0</v>
      </c>
      <c r="K20" s="32">
        <f>SUM(C20:J20)</f>
        <v>0</v>
      </c>
      <c r="L20" s="39">
        <f>IF(SUM(H8:H24)=0,0,H20/SUM(H8:H24))</f>
        <v>0</v>
      </c>
      <c r="M20" s="36">
        <f>IF(G20=0,"n/a",(H20-G20)/G20)</f>
        <v>0</v>
      </c>
    </row>
    <row r="21" spans="2:13" x14ac:dyDescent="0.25">
      <c r="B21" s="25" t="s">
        <v>177</v>
      </c>
      <c r="C21" s="43">
        <v>255.309</v>
      </c>
      <c r="D21" s="43">
        <v>18.3</v>
      </c>
      <c r="E21" s="43">
        <v>0</v>
      </c>
      <c r="F21" s="43">
        <v>0</v>
      </c>
      <c r="G21" s="43">
        <v>0</v>
      </c>
      <c r="H21" s="43">
        <v>15.47</v>
      </c>
      <c r="I21" s="44">
        <v>0</v>
      </c>
      <c r="J21" s="44">
        <v>0</v>
      </c>
      <c r="K21" s="32">
        <f>SUM(C21:J21)</f>
        <v>0</v>
      </c>
      <c r="L21" s="39">
        <f>IF(SUM(H8:H24)=0,0,H21/SUM(H8:H24))</f>
        <v>0</v>
      </c>
      <c r="M21" s="36">
        <f>IF(G21=0,"n/a",(H21-G21)/G21)</f>
        <v>0</v>
      </c>
    </row>
    <row r="22" spans="2:13" x14ac:dyDescent="0.25">
      <c r="B22" s="25" t="s">
        <v>178</v>
      </c>
      <c r="C22" s="24">
        <v>41.7791</v>
      </c>
      <c r="D22" s="24">
        <v>22.8574</v>
      </c>
      <c r="E22" s="24">
        <v>2.201</v>
      </c>
      <c r="F22" s="24">
        <v>8.007999999999999</v>
      </c>
      <c r="G22" s="24">
        <v>3.374</v>
      </c>
      <c r="H22" s="24">
        <v>0</v>
      </c>
      <c r="I22" s="34">
        <v>3.852</v>
      </c>
      <c r="J22" s="34">
        <v>7.2</v>
      </c>
      <c r="K22" s="32">
        <f>SUM(C22:J22)</f>
        <v>0</v>
      </c>
      <c r="L22" s="39">
        <f>IF(SUM(H8:H24)=0,0,H22/SUM(H8:H24))</f>
        <v>0</v>
      </c>
      <c r="M22" s="36">
        <f>IF(G22=0,"n/a",(H22-G22)/G22)</f>
        <v>0</v>
      </c>
    </row>
    <row r="23" spans="2:13" x14ac:dyDescent="0.25">
      <c r="B23" s="25" t="s">
        <v>179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4">
        <v>0</v>
      </c>
      <c r="J23" s="44">
        <v>0</v>
      </c>
      <c r="K23" s="32">
        <f>SUM(C23:J23)</f>
        <v>0</v>
      </c>
      <c r="L23" s="39">
        <f>IF(SUM(H8:H24)=0,0,H23/SUM(H8:H24))</f>
        <v>0</v>
      </c>
      <c r="M23" s="36">
        <f>IF(G23=0,"n/a",(H23-G23)/G23)</f>
        <v>0</v>
      </c>
    </row>
    <row r="24" spans="2:13" x14ac:dyDescent="0.25">
      <c r="B24" s="25" t="s">
        <v>180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34">
        <v>0</v>
      </c>
      <c r="J24" s="34">
        <v>0</v>
      </c>
      <c r="K24" s="32">
        <f>SUM(C24:J24)</f>
        <v>0</v>
      </c>
      <c r="L24" s="39">
        <f>IF(SUM(H8:H24)=0,0,H24/SUM(H8:H24))</f>
        <v>0</v>
      </c>
      <c r="M24" s="36">
        <f>IF(G24=0,"n/a",(H24-G24)/G24)</f>
        <v>0</v>
      </c>
    </row>
    <row r="26" spans="2:13" ht="19" customHeight="1" x14ac:dyDescent="0.25">
      <c r="B26" s="45" t="s">
        <v>181</v>
      </c>
      <c r="C26" s="45"/>
      <c r="D26" s="45"/>
      <c r="E26" s="45"/>
      <c r="F26" s="45"/>
      <c r="G26" s="45"/>
      <c r="H26" s="45"/>
      <c r="I26" s="45"/>
    </row>
    <row r="27" spans="2:13" x14ac:dyDescent="0.25">
      <c r="B27" s="2" t="s">
        <v>182</v>
      </c>
      <c r="C27" s="2"/>
      <c r="D27" s="2"/>
      <c r="E27" s="2"/>
      <c r="F27" s="2"/>
      <c r="G27" s="2"/>
      <c r="H27" s="2"/>
      <c r="I27" s="2"/>
    </row>
    <row r="28" spans="2:13" x14ac:dyDescent="0.25">
      <c r="B28" s="21" t="s">
        <v>90</v>
      </c>
      <c r="C28" s="22" t="s">
        <v>2</v>
      </c>
      <c r="D28" s="22" t="s">
        <v>3</v>
      </c>
      <c r="E28" s="22" t="s">
        <v>114</v>
      </c>
      <c r="G28" s="21" t="s">
        <v>183</v>
      </c>
      <c r="H28" s="22" t="s">
        <v>13</v>
      </c>
    </row>
    <row r="29" spans="2:13" x14ac:dyDescent="0.25">
      <c r="B29" s="23">
        <v>2018</v>
      </c>
      <c r="C29" s="24">
        <v>1691.368</v>
      </c>
      <c r="D29" s="24">
        <v>1056.5011</v>
      </c>
      <c r="E29" s="32">
        <f>C29+D29</f>
        <v>0</v>
      </c>
      <c r="G29" s="25" t="s">
        <v>4</v>
      </c>
      <c r="H29" s="24">
        <v>120.1568</v>
      </c>
    </row>
    <row r="30" spans="2:13" x14ac:dyDescent="0.25">
      <c r="B30" s="23">
        <v>2019</v>
      </c>
      <c r="C30" s="24">
        <v>1735.5005</v>
      </c>
      <c r="D30" s="24">
        <v>1681.7533</v>
      </c>
      <c r="E30" s="32">
        <f>C30+D30</f>
        <v>0</v>
      </c>
      <c r="G30" s="25" t="s">
        <v>5</v>
      </c>
      <c r="H30" s="24">
        <v>949.9639999999999</v>
      </c>
    </row>
    <row r="31" spans="2:13" x14ac:dyDescent="0.25">
      <c r="B31" s="23">
        <v>2020</v>
      </c>
      <c r="C31" s="24">
        <v>1863.8425</v>
      </c>
      <c r="D31" s="24">
        <v>10475.6332</v>
      </c>
      <c r="E31" s="32">
        <f>C31+D31</f>
        <v>0</v>
      </c>
      <c r="G31" s="25" t="s">
        <v>6</v>
      </c>
      <c r="H31" s="24">
        <v>864.109</v>
      </c>
    </row>
    <row r="32" spans="2:13" x14ac:dyDescent="0.25">
      <c r="B32" s="23">
        <v>2021</v>
      </c>
      <c r="C32" s="24">
        <v>2236.93</v>
      </c>
      <c r="D32" s="24">
        <v>5717.3078</v>
      </c>
      <c r="E32" s="32">
        <f>C32+D32</f>
        <v>0</v>
      </c>
      <c r="G32" s="25" t="s">
        <v>7</v>
      </c>
      <c r="H32" s="24">
        <v>37.768</v>
      </c>
    </row>
    <row r="33" spans="2:8" x14ac:dyDescent="0.25">
      <c r="B33" s="23">
        <v>2022</v>
      </c>
      <c r="C33" s="24">
        <v>1628.66</v>
      </c>
      <c r="D33" s="24">
        <v>2257.1805</v>
      </c>
      <c r="E33" s="32">
        <f>C33+D33</f>
        <v>0</v>
      </c>
      <c r="G33" s="25" t="s">
        <v>8</v>
      </c>
      <c r="H33" s="24">
        <v>650.3818</v>
      </c>
    </row>
    <row r="34" spans="2:8" x14ac:dyDescent="0.25">
      <c r="B34" s="23">
        <v>2023</v>
      </c>
      <c r="C34" s="24">
        <v>1990.5505</v>
      </c>
      <c r="D34" s="24">
        <v>2242.5467</v>
      </c>
      <c r="E34" s="32">
        <f>C34+D34</f>
        <v>0</v>
      </c>
    </row>
    <row r="35" spans="2:8" x14ac:dyDescent="0.25">
      <c r="B35" s="23">
        <v>2024</v>
      </c>
      <c r="C35" s="24">
        <v>1747.0557</v>
      </c>
      <c r="D35" s="24">
        <v>2616.6426</v>
      </c>
      <c r="E35" s="32">
        <f>C35+D35</f>
        <v>0</v>
      </c>
    </row>
    <row r="36" spans="2:8" x14ac:dyDescent="0.25">
      <c r="B36" s="23">
        <v>2025</v>
      </c>
      <c r="C36" s="24">
        <v>1419.7048</v>
      </c>
      <c r="D36" s="24">
        <v>1202.6748</v>
      </c>
      <c r="E36" s="32">
        <f>C36+D36</f>
        <v>0</v>
      </c>
    </row>
    <row r="37" spans="2:8" x14ac:dyDescent="0.25">
      <c r="B37" s="40">
        <v>2026</v>
      </c>
      <c r="C37" s="34">
        <v>848.263</v>
      </c>
      <c r="D37" s="34">
        <v>571.808</v>
      </c>
      <c r="E37" s="34">
        <f>C37+D37</f>
        <v>0</v>
      </c>
    </row>
    <row r="38" spans="2:8" x14ac:dyDescent="0.25">
      <c r="B38" s="40">
        <v>2027</v>
      </c>
      <c r="C38" s="34">
        <v>762.223</v>
      </c>
      <c r="D38" s="34">
        <v>0</v>
      </c>
      <c r="E38" s="34">
        <f>C38+D38</f>
        <v>0</v>
      </c>
    </row>
    <row r="42" spans="2:8" ht="19" customHeight="1" x14ac:dyDescent="0.25">
      <c r="B42" s="8" t="s">
        <v>184</v>
      </c>
      <c r="C42" s="8"/>
      <c r="D42" s="8"/>
      <c r="E42" s="8"/>
      <c r="F42" s="8"/>
      <c r="G42" s="8"/>
      <c r="H42" s="8"/>
    </row>
    <row r="43" spans="2:8" x14ac:dyDescent="0.25">
      <c r="B43" s="21" t="s">
        <v>185</v>
      </c>
      <c r="C43" s="21" t="s">
        <v>186</v>
      </c>
      <c r="D43" s="22" t="s">
        <v>60</v>
      </c>
      <c r="E43" s="22" t="s">
        <v>114</v>
      </c>
      <c r="F43" s="22" t="s">
        <v>2</v>
      </c>
      <c r="G43" s="22" t="s">
        <v>3</v>
      </c>
      <c r="H43" s="22" t="s">
        <v>121</v>
      </c>
    </row>
    <row r="44" spans="2:8" x14ac:dyDescent="0.25">
      <c r="B44" s="25" t="s">
        <v>187</v>
      </c>
      <c r="C44" s="25" t="s">
        <v>188</v>
      </c>
      <c r="D44" s="25" t="s">
        <v>6</v>
      </c>
      <c r="E44" s="24">
        <v>33211.3093</v>
      </c>
      <c r="F44" s="24">
        <v>27916.4357</v>
      </c>
      <c r="G44" s="24">
        <v>5294.873600000003</v>
      </c>
      <c r="H44" s="24">
        <v>290</v>
      </c>
    </row>
    <row r="45" spans="2:8" x14ac:dyDescent="0.25">
      <c r="B45" s="25" t="s">
        <v>189</v>
      </c>
      <c r="C45" s="25" t="s">
        <v>190</v>
      </c>
      <c r="D45" s="25" t="s">
        <v>6</v>
      </c>
      <c r="E45" s="24">
        <v>23493.4786</v>
      </c>
      <c r="F45" s="24">
        <v>10058.1275</v>
      </c>
      <c r="G45" s="24">
        <v>13435.3511</v>
      </c>
      <c r="H45" s="24">
        <v>347</v>
      </c>
    </row>
    <row r="46" spans="2:8" x14ac:dyDescent="0.25">
      <c r="B46" s="25" t="s">
        <v>191</v>
      </c>
      <c r="C46" s="25" t="s">
        <v>192</v>
      </c>
      <c r="D46" s="25" t="s">
        <v>6</v>
      </c>
      <c r="E46" s="24">
        <v>23153.0157</v>
      </c>
      <c r="F46" s="24">
        <v>4733.22</v>
      </c>
      <c r="G46" s="24">
        <v>18419.7957</v>
      </c>
      <c r="H46" s="24">
        <v>469</v>
      </c>
    </row>
    <row r="47" spans="2:8" x14ac:dyDescent="0.25">
      <c r="B47" s="25" t="s">
        <v>193</v>
      </c>
      <c r="C47" s="25" t="s">
        <v>194</v>
      </c>
      <c r="D47" s="25" t="s">
        <v>6</v>
      </c>
      <c r="E47" s="24">
        <v>21904.0436</v>
      </c>
      <c r="F47" s="24">
        <v>7435.601</v>
      </c>
      <c r="G47" s="24">
        <v>14468.4426</v>
      </c>
      <c r="H47" s="24">
        <v>418</v>
      </c>
    </row>
    <row r="48" spans="2:8" x14ac:dyDescent="0.25">
      <c r="B48" s="25" t="s">
        <v>195</v>
      </c>
      <c r="C48" s="25" t="s">
        <v>196</v>
      </c>
      <c r="D48" s="25" t="s">
        <v>5</v>
      </c>
      <c r="E48" s="24">
        <v>19129.417</v>
      </c>
      <c r="F48" s="24">
        <v>6915.0546</v>
      </c>
      <c r="G48" s="24">
        <v>12214.3624</v>
      </c>
      <c r="H48" s="24">
        <v>300</v>
      </c>
    </row>
    <row r="49" spans="2:10" x14ac:dyDescent="0.25">
      <c r="B49" s="25" t="s">
        <v>197</v>
      </c>
      <c r="C49" s="25" t="s">
        <v>198</v>
      </c>
      <c r="D49" s="25" t="s">
        <v>6</v>
      </c>
      <c r="E49" s="24">
        <v>17686.618</v>
      </c>
      <c r="F49" s="24">
        <v>5065.906</v>
      </c>
      <c r="G49" s="24">
        <v>12620.712</v>
      </c>
      <c r="H49" s="24">
        <v>426</v>
      </c>
    </row>
    <row r="50" spans="2:10" x14ac:dyDescent="0.25">
      <c r="B50" s="25" t="s">
        <v>199</v>
      </c>
      <c r="C50" s="25" t="s">
        <v>190</v>
      </c>
      <c r="D50" s="25" t="s">
        <v>6</v>
      </c>
      <c r="E50" s="24">
        <v>16687.4264</v>
      </c>
      <c r="F50" s="24">
        <v>6703.617</v>
      </c>
      <c r="G50" s="24">
        <v>9983.8094</v>
      </c>
      <c r="H50" s="24">
        <v>272</v>
      </c>
    </row>
    <row r="51" spans="2:10" x14ac:dyDescent="0.25">
      <c r="B51" s="25" t="s">
        <v>200</v>
      </c>
      <c r="C51" s="25" t="s">
        <v>201</v>
      </c>
      <c r="D51" s="25" t="s">
        <v>6</v>
      </c>
      <c r="E51" s="24">
        <v>16208.9322</v>
      </c>
      <c r="F51" s="24">
        <v>5510.3108</v>
      </c>
      <c r="G51" s="24">
        <v>10698.6214</v>
      </c>
      <c r="H51" s="24">
        <v>223</v>
      </c>
    </row>
    <row r="52" spans="2:10" x14ac:dyDescent="0.25">
      <c r="B52" s="25" t="s">
        <v>202</v>
      </c>
      <c r="C52" s="25" t="s">
        <v>201</v>
      </c>
      <c r="D52" s="25" t="s">
        <v>6</v>
      </c>
      <c r="E52" s="24">
        <v>14425.3208</v>
      </c>
      <c r="F52" s="24">
        <v>5948.188</v>
      </c>
      <c r="G52" s="24">
        <v>8477.132799999999</v>
      </c>
      <c r="H52" s="24">
        <v>344</v>
      </c>
    </row>
    <row r="53" spans="2:10" x14ac:dyDescent="0.25">
      <c r="B53" s="25" t="s">
        <v>203</v>
      </c>
      <c r="C53" s="25" t="s">
        <v>188</v>
      </c>
      <c r="D53" s="25" t="s">
        <v>5</v>
      </c>
      <c r="E53" s="24">
        <v>13588.9185</v>
      </c>
      <c r="F53" s="24">
        <v>5885.3065</v>
      </c>
      <c r="G53" s="24">
        <v>7703.612</v>
      </c>
      <c r="H53" s="24">
        <v>245</v>
      </c>
    </row>
    <row r="54" spans="2:10" x14ac:dyDescent="0.25">
      <c r="B54" s="25" t="s">
        <v>204</v>
      </c>
      <c r="C54" s="25" t="s">
        <v>201</v>
      </c>
      <c r="D54" s="25" t="s">
        <v>6</v>
      </c>
      <c r="E54" s="24">
        <v>13501.072</v>
      </c>
      <c r="F54" s="24">
        <v>5202.416</v>
      </c>
      <c r="G54" s="24">
        <v>8298.655999999999</v>
      </c>
      <c r="H54" s="24">
        <v>308</v>
      </c>
    </row>
    <row r="55" spans="2:10" x14ac:dyDescent="0.25">
      <c r="B55" s="25" t="s">
        <v>205</v>
      </c>
      <c r="C55" s="25" t="s">
        <v>206</v>
      </c>
      <c r="D55" s="25" t="s">
        <v>8</v>
      </c>
      <c r="E55" s="24">
        <v>13331.4763</v>
      </c>
      <c r="F55" s="24">
        <v>5559.812</v>
      </c>
      <c r="G55" s="24">
        <v>7771.6643</v>
      </c>
      <c r="H55" s="24">
        <v>283</v>
      </c>
    </row>
    <row r="56" spans="2:10" x14ac:dyDescent="0.25">
      <c r="B56" s="25" t="s">
        <v>207</v>
      </c>
      <c r="C56" s="25" t="s">
        <v>201</v>
      </c>
      <c r="D56" s="25" t="s">
        <v>5</v>
      </c>
      <c r="E56" s="24">
        <v>13291.4389</v>
      </c>
      <c r="F56" s="24">
        <v>7925.807</v>
      </c>
      <c r="G56" s="24">
        <v>5365.631899999999</v>
      </c>
      <c r="H56" s="24">
        <v>196</v>
      </c>
    </row>
    <row r="57" spans="2:10" x14ac:dyDescent="0.25">
      <c r="B57" s="25" t="s">
        <v>208</v>
      </c>
      <c r="C57" s="25" t="s">
        <v>209</v>
      </c>
      <c r="D57" s="25" t="s">
        <v>6</v>
      </c>
      <c r="E57" s="24">
        <v>13290.7522</v>
      </c>
      <c r="F57" s="24">
        <v>5579.9005</v>
      </c>
      <c r="G57" s="24">
        <v>7710.851700000001</v>
      </c>
      <c r="H57" s="24">
        <v>329</v>
      </c>
    </row>
    <row r="58" spans="2:10" x14ac:dyDescent="0.25">
      <c r="B58" s="25" t="s">
        <v>210</v>
      </c>
      <c r="C58" s="25" t="s">
        <v>206</v>
      </c>
      <c r="D58" s="25" t="s">
        <v>6</v>
      </c>
      <c r="E58" s="24">
        <v>12949.1048</v>
      </c>
      <c r="F58" s="24">
        <v>3578.835</v>
      </c>
      <c r="G58" s="24">
        <v>9370.269799999998</v>
      </c>
      <c r="H58" s="24">
        <v>174</v>
      </c>
    </row>
    <row r="60" spans="2:10" ht="19" customHeight="1" x14ac:dyDescent="0.25">
      <c r="B60" s="8" t="s">
        <v>211</v>
      </c>
      <c r="C60" s="8"/>
      <c r="D60" s="8"/>
      <c r="E60" s="8"/>
      <c r="F60" s="8"/>
      <c r="G60" s="8"/>
      <c r="H60" s="8"/>
      <c r="I60" s="8"/>
      <c r="J60" s="8"/>
    </row>
    <row r="61" spans="2:10" x14ac:dyDescent="0.25">
      <c r="B61" s="21" t="s">
        <v>186</v>
      </c>
      <c r="C61" s="23">
        <v>2020</v>
      </c>
      <c r="D61" s="23">
        <v>2021</v>
      </c>
      <c r="E61" s="23">
        <v>2022</v>
      </c>
      <c r="F61" s="23">
        <v>2023</v>
      </c>
      <c r="G61" s="23">
        <v>2024</v>
      </c>
      <c r="H61" s="23">
        <v>2025</v>
      </c>
      <c r="I61" s="40">
        <v>2026</v>
      </c>
      <c r="J61" s="40">
        <v>2027</v>
      </c>
    </row>
    <row r="62" spans="2:10" x14ac:dyDescent="0.25">
      <c r="B62" s="25" t="s">
        <v>188</v>
      </c>
      <c r="C62" s="24">
        <v>25306.5576</v>
      </c>
      <c r="D62" s="24">
        <v>12988.0225</v>
      </c>
      <c r="E62" s="24">
        <v>12493.472</v>
      </c>
      <c r="F62" s="24">
        <v>9882.4347</v>
      </c>
      <c r="G62" s="24">
        <v>2336.4516</v>
      </c>
      <c r="H62" s="24">
        <v>4027.3002</v>
      </c>
      <c r="I62" s="34">
        <v>1248.434</v>
      </c>
      <c r="J62" s="34">
        <v>2053.585</v>
      </c>
    </row>
    <row r="63" spans="2:10" x14ac:dyDescent="0.25">
      <c r="B63" s="25" t="s">
        <v>190</v>
      </c>
      <c r="C63" s="43">
        <v>21532.9607</v>
      </c>
      <c r="D63" s="43">
        <v>12421.0202</v>
      </c>
      <c r="E63" s="43">
        <v>5841.9835</v>
      </c>
      <c r="F63" s="43">
        <v>6593.8331</v>
      </c>
      <c r="G63" s="43">
        <v>5747.685</v>
      </c>
      <c r="H63" s="43">
        <v>4923.1125</v>
      </c>
      <c r="I63" s="44">
        <v>3853.8274</v>
      </c>
      <c r="J63" s="44">
        <v>1793.13</v>
      </c>
    </row>
    <row r="64" spans="2:10" x14ac:dyDescent="0.25">
      <c r="B64" s="25" t="s">
        <v>198</v>
      </c>
      <c r="C64" s="24">
        <v>17593.7547</v>
      </c>
      <c r="D64" s="24">
        <v>10006.1661</v>
      </c>
      <c r="E64" s="24">
        <v>4098.6005</v>
      </c>
      <c r="F64" s="24">
        <v>2827.94</v>
      </c>
      <c r="G64" s="24">
        <v>6261.7678</v>
      </c>
      <c r="H64" s="24">
        <v>3734.0984</v>
      </c>
      <c r="I64" s="34">
        <v>3739.0864</v>
      </c>
      <c r="J64" s="34">
        <v>1682.079</v>
      </c>
    </row>
    <row r="65" spans="2:10" x14ac:dyDescent="0.25">
      <c r="B65" s="25" t="s">
        <v>201</v>
      </c>
      <c r="C65" s="43">
        <v>11989.8758</v>
      </c>
      <c r="D65" s="43">
        <v>7574.6457</v>
      </c>
      <c r="E65" s="43">
        <v>2697.4988</v>
      </c>
      <c r="F65" s="43">
        <v>2558.05</v>
      </c>
      <c r="G65" s="43">
        <v>4189.969</v>
      </c>
      <c r="H65" s="43">
        <v>1119.6385</v>
      </c>
      <c r="I65" s="44">
        <v>1552.585</v>
      </c>
      <c r="J65" s="44">
        <v>2377.5475</v>
      </c>
    </row>
    <row r="66" spans="2:10" x14ac:dyDescent="0.25">
      <c r="B66" s="25" t="s">
        <v>206</v>
      </c>
      <c r="C66" s="24">
        <v>11627.2754</v>
      </c>
      <c r="D66" s="24">
        <v>6070.6939</v>
      </c>
      <c r="E66" s="24">
        <v>3667.3525</v>
      </c>
      <c r="F66" s="24">
        <v>2333.752</v>
      </c>
      <c r="G66" s="24">
        <v>5218.568</v>
      </c>
      <c r="H66" s="24">
        <v>2314.2958</v>
      </c>
      <c r="I66" s="34">
        <v>1292.358</v>
      </c>
      <c r="J66" s="34">
        <v>983.2125</v>
      </c>
    </row>
    <row r="67" spans="2:10" x14ac:dyDescent="0.25">
      <c r="B67" s="25" t="s">
        <v>192</v>
      </c>
      <c r="C67" s="43">
        <v>11065.1157</v>
      </c>
      <c r="D67" s="43">
        <v>5354.3886</v>
      </c>
      <c r="E67" s="43">
        <v>2724.9488</v>
      </c>
      <c r="F67" s="43">
        <v>2472.6616</v>
      </c>
      <c r="G67" s="43">
        <v>1948.0044</v>
      </c>
      <c r="H67" s="43">
        <v>1645.2768</v>
      </c>
      <c r="I67" s="44">
        <v>873.65</v>
      </c>
      <c r="J67" s="44">
        <v>698.79</v>
      </c>
    </row>
    <row r="68" spans="2:10" x14ac:dyDescent="0.25">
      <c r="B68" s="25" t="s">
        <v>196</v>
      </c>
      <c r="C68" s="24">
        <v>3368.9389</v>
      </c>
      <c r="D68" s="24">
        <v>2042.5059</v>
      </c>
      <c r="E68" s="24">
        <v>1582.1466</v>
      </c>
      <c r="F68" s="24">
        <v>1549.4876</v>
      </c>
      <c r="G68" s="24">
        <v>3661.295</v>
      </c>
      <c r="H68" s="24">
        <v>1499.9392</v>
      </c>
      <c r="I68" s="34">
        <v>777.4049</v>
      </c>
      <c r="J68" s="34">
        <v>404.451</v>
      </c>
    </row>
    <row r="69" spans="2:10" x14ac:dyDescent="0.25">
      <c r="B69" s="25" t="s">
        <v>212</v>
      </c>
      <c r="C69" s="43">
        <v>3352.229</v>
      </c>
      <c r="D69" s="43">
        <v>2838.179</v>
      </c>
      <c r="E69" s="43">
        <v>4369.18</v>
      </c>
      <c r="F69" s="43">
        <v>4453.986</v>
      </c>
      <c r="G69" s="43">
        <v>579.623</v>
      </c>
      <c r="H69" s="43">
        <v>519.62</v>
      </c>
      <c r="I69" s="44">
        <v>636.1899999999999</v>
      </c>
      <c r="J69" s="44">
        <v>0</v>
      </c>
    </row>
    <row r="70" spans="2:10" x14ac:dyDescent="0.25">
      <c r="B70" s="25" t="s">
        <v>213</v>
      </c>
      <c r="C70" s="24">
        <v>5949.0325</v>
      </c>
      <c r="D70" s="24">
        <v>11029.6872</v>
      </c>
      <c r="E70" s="24">
        <v>225.0584</v>
      </c>
      <c r="F70" s="24">
        <v>955.804</v>
      </c>
      <c r="G70" s="24">
        <v>182.7824</v>
      </c>
      <c r="H70" s="24">
        <v>477.809</v>
      </c>
      <c r="I70" s="34">
        <v>10.32</v>
      </c>
      <c r="J70" s="34">
        <v>629.95</v>
      </c>
    </row>
    <row r="71" spans="2:10" x14ac:dyDescent="0.25">
      <c r="B71" s="25" t="s">
        <v>194</v>
      </c>
      <c r="C71" s="43">
        <v>1831.612</v>
      </c>
      <c r="D71" s="43">
        <v>1154.749</v>
      </c>
      <c r="E71" s="43">
        <v>978.0164</v>
      </c>
      <c r="F71" s="43">
        <v>689.794</v>
      </c>
      <c r="G71" s="43">
        <v>1408.758</v>
      </c>
      <c r="H71" s="43">
        <v>732.77</v>
      </c>
      <c r="I71" s="44">
        <v>14.8</v>
      </c>
      <c r="J71" s="44">
        <v>1095.84</v>
      </c>
    </row>
    <row r="73" spans="2:10" ht="19" customHeight="1" x14ac:dyDescent="0.25">
      <c r="B73" s="8" t="s">
        <v>214</v>
      </c>
      <c r="C73" s="8"/>
      <c r="D73" s="8"/>
      <c r="E73" s="8"/>
      <c r="F73" s="8"/>
      <c r="G73" s="8"/>
    </row>
    <row r="74" spans="2:10" x14ac:dyDescent="0.25">
      <c r="B74" s="22" t="s">
        <v>215</v>
      </c>
      <c r="C74" s="22" t="s">
        <v>111</v>
      </c>
      <c r="E74" s="21" t="s">
        <v>216</v>
      </c>
      <c r="F74" s="22" t="s">
        <v>217</v>
      </c>
      <c r="G74" s="21" t="s">
        <v>218</v>
      </c>
    </row>
    <row r="75" spans="2:10" x14ac:dyDescent="0.25">
      <c r="B75" s="24">
        <v>29</v>
      </c>
      <c r="C75" s="24">
        <v>255</v>
      </c>
      <c r="E75" s="41" t="s">
        <v>219</v>
      </c>
      <c r="F75" s="46">
        <v>0.175</v>
      </c>
      <c r="G75" s="25" t="s">
        <v>220</v>
      </c>
    </row>
    <row r="76" spans="2:10" x14ac:dyDescent="0.25">
      <c r="B76" s="24">
        <v>31</v>
      </c>
      <c r="C76" s="24">
        <v>251</v>
      </c>
      <c r="E76" s="41" t="s">
        <v>221</v>
      </c>
      <c r="F76" s="46">
        <v>0.65</v>
      </c>
      <c r="G76" s="25" t="s">
        <v>166</v>
      </c>
    </row>
    <row r="77" spans="2:10" x14ac:dyDescent="0.25">
      <c r="B77" s="24">
        <v>24</v>
      </c>
      <c r="C77" s="24">
        <v>234.89</v>
      </c>
      <c r="E77" s="41" t="s">
        <v>222</v>
      </c>
      <c r="F77" s="46">
        <v>0.85</v>
      </c>
      <c r="G77" s="25" t="s">
        <v>168</v>
      </c>
    </row>
    <row r="78" spans="2:10" x14ac:dyDescent="0.25">
      <c r="B78" s="24">
        <v>29</v>
      </c>
      <c r="C78" s="24">
        <v>220</v>
      </c>
      <c r="E78" s="41" t="s">
        <v>223</v>
      </c>
      <c r="F78" s="46">
        <v>0.05</v>
      </c>
      <c r="G78" s="25" t="s">
        <v>224</v>
      </c>
    </row>
    <row r="79" spans="2:10" x14ac:dyDescent="0.25">
      <c r="B79" s="24">
        <v>22</v>
      </c>
      <c r="C79" s="24">
        <v>162.74</v>
      </c>
      <c r="E79" s="41" t="s">
        <v>225</v>
      </c>
      <c r="F79" s="46">
        <v>0.2</v>
      </c>
      <c r="G79" s="25" t="s">
        <v>226</v>
      </c>
    </row>
    <row r="80" spans="2:10" x14ac:dyDescent="0.25">
      <c r="B80" s="24">
        <v>31</v>
      </c>
      <c r="C80" s="24">
        <v>161</v>
      </c>
      <c r="E80" s="41" t="s">
        <v>173</v>
      </c>
      <c r="F80" s="46">
        <v>0</v>
      </c>
      <c r="G80" s="25" t="s">
        <v>227</v>
      </c>
    </row>
    <row r="81" spans="2:3" x14ac:dyDescent="0.25">
      <c r="B81" s="24">
        <v>29</v>
      </c>
      <c r="C81" s="24">
        <v>160</v>
      </c>
    </row>
    <row r="82" spans="2:3" x14ac:dyDescent="0.25">
      <c r="B82" s="24">
        <v>17</v>
      </c>
      <c r="C82" s="24">
        <v>155.65</v>
      </c>
    </row>
    <row r="83" spans="2:3" x14ac:dyDescent="0.25">
      <c r="B83" s="24">
        <v>30</v>
      </c>
      <c r="C83" s="24">
        <v>155</v>
      </c>
    </row>
    <row r="84" spans="2:3" x14ac:dyDescent="0.25">
      <c r="B84" s="24">
        <v>31</v>
      </c>
      <c r="C84" s="24">
        <v>155</v>
      </c>
    </row>
    <row r="85" spans="2:3" x14ac:dyDescent="0.25">
      <c r="B85" s="24">
        <v>18</v>
      </c>
      <c r="C85" s="24">
        <v>150.6</v>
      </c>
    </row>
    <row r="86" spans="2:3" x14ac:dyDescent="0.25">
      <c r="B86" s="24">
        <v>27</v>
      </c>
      <c r="C86" s="24">
        <v>148.8</v>
      </c>
    </row>
    <row r="87" spans="2:3" x14ac:dyDescent="0.25">
      <c r="B87" s="24">
        <v>30</v>
      </c>
      <c r="C87" s="24">
        <v>140</v>
      </c>
    </row>
    <row r="88" spans="2:3" x14ac:dyDescent="0.25">
      <c r="B88" s="24">
        <v>24</v>
      </c>
      <c r="C88" s="24">
        <v>139.2</v>
      </c>
    </row>
    <row r="89" spans="2:3" x14ac:dyDescent="0.25">
      <c r="B89" s="24">
        <v>17</v>
      </c>
      <c r="C89" s="24">
        <v>137.5</v>
      </c>
    </row>
    <row r="90" spans="2:3" x14ac:dyDescent="0.25">
      <c r="B90" s="24">
        <v>20</v>
      </c>
      <c r="C90" s="24">
        <v>136.5</v>
      </c>
    </row>
    <row r="91" spans="2:3" x14ac:dyDescent="0.25">
      <c r="B91" s="24">
        <v>26</v>
      </c>
      <c r="C91" s="24">
        <v>134.85</v>
      </c>
    </row>
    <row r="92" spans="2:3" x14ac:dyDescent="0.25">
      <c r="B92" s="24">
        <v>15</v>
      </c>
      <c r="C92" s="24">
        <v>125.5</v>
      </c>
    </row>
    <row r="93" spans="2:3" x14ac:dyDescent="0.25">
      <c r="B93" s="24">
        <v>24</v>
      </c>
      <c r="C93" s="24">
        <v>123.2</v>
      </c>
    </row>
    <row r="94" spans="2:3" x14ac:dyDescent="0.25">
      <c r="B94" s="24">
        <v>30</v>
      </c>
      <c r="C94" s="24">
        <v>120</v>
      </c>
    </row>
    <row r="95" spans="2:3" x14ac:dyDescent="0.25">
      <c r="B95" s="24">
        <v>31</v>
      </c>
      <c r="C95" s="24">
        <v>120</v>
      </c>
    </row>
    <row r="96" spans="2:3" x14ac:dyDescent="0.25">
      <c r="B96" s="24">
        <v>29</v>
      </c>
      <c r="C96" s="24">
        <v>114</v>
      </c>
    </row>
    <row r="97" spans="2:3" x14ac:dyDescent="0.25">
      <c r="B97" s="24">
        <v>29</v>
      </c>
      <c r="C97" s="24">
        <v>112.8</v>
      </c>
    </row>
    <row r="98" spans="2:3" x14ac:dyDescent="0.25">
      <c r="B98" s="24">
        <v>20</v>
      </c>
      <c r="C98" s="24">
        <v>111.8</v>
      </c>
    </row>
    <row r="99" spans="2:3" x14ac:dyDescent="0.25">
      <c r="B99" s="24">
        <v>28</v>
      </c>
      <c r="C99" s="24">
        <v>110</v>
      </c>
    </row>
    <row r="100" spans="2:3" x14ac:dyDescent="0.25">
      <c r="B100" s="24">
        <v>31</v>
      </c>
      <c r="C100" s="24">
        <v>110</v>
      </c>
    </row>
    <row r="101" spans="2:3" x14ac:dyDescent="0.25">
      <c r="B101" s="24">
        <v>29</v>
      </c>
      <c r="C101" s="24">
        <v>110</v>
      </c>
    </row>
    <row r="102" spans="2:3" x14ac:dyDescent="0.25">
      <c r="B102" s="24">
        <v>30</v>
      </c>
      <c r="C102" s="24">
        <v>110</v>
      </c>
    </row>
    <row r="103" spans="2:3" x14ac:dyDescent="0.25">
      <c r="B103" s="24">
        <v>31</v>
      </c>
      <c r="C103" s="24">
        <v>110</v>
      </c>
    </row>
    <row r="104" spans="2:3" x14ac:dyDescent="0.25">
      <c r="B104" s="24">
        <v>31</v>
      </c>
      <c r="C104" s="24">
        <v>110</v>
      </c>
    </row>
    <row r="105" spans="2:3" x14ac:dyDescent="0.25">
      <c r="B105" s="24">
        <v>29</v>
      </c>
      <c r="C105" s="24">
        <v>110</v>
      </c>
    </row>
    <row r="106" spans="2:3" x14ac:dyDescent="0.25">
      <c r="B106" s="24">
        <v>24</v>
      </c>
      <c r="C106" s="24">
        <v>107.8</v>
      </c>
    </row>
    <row r="107" spans="2:3" x14ac:dyDescent="0.25">
      <c r="B107" s="24">
        <v>31</v>
      </c>
      <c r="C107" s="24">
        <v>105</v>
      </c>
    </row>
    <row r="108" spans="2:3" x14ac:dyDescent="0.25">
      <c r="B108" s="24">
        <v>30</v>
      </c>
      <c r="C108" s="24">
        <v>105</v>
      </c>
    </row>
    <row r="109" spans="2:3" x14ac:dyDescent="0.25">
      <c r="B109" s="24">
        <v>31</v>
      </c>
      <c r="C109" s="24">
        <v>105</v>
      </c>
    </row>
    <row r="110" spans="2:3" x14ac:dyDescent="0.25">
      <c r="B110" s="24">
        <v>28</v>
      </c>
      <c r="C110" s="24">
        <v>103</v>
      </c>
    </row>
    <row r="111" spans="2:3" x14ac:dyDescent="0.25">
      <c r="B111" s="24">
        <v>31</v>
      </c>
      <c r="C111" s="24">
        <v>102</v>
      </c>
    </row>
    <row r="112" spans="2:3" x14ac:dyDescent="0.25">
      <c r="B112" s="24">
        <v>29</v>
      </c>
      <c r="C112" s="24">
        <v>102</v>
      </c>
    </row>
    <row r="113" spans="2:3" x14ac:dyDescent="0.25">
      <c r="B113" s="24">
        <v>28</v>
      </c>
      <c r="C113" s="24">
        <v>100</v>
      </c>
    </row>
    <row r="114" spans="2:3" x14ac:dyDescent="0.25">
      <c r="B114" s="24">
        <v>30</v>
      </c>
      <c r="C114" s="24">
        <v>100</v>
      </c>
    </row>
    <row r="115" spans="2:3" x14ac:dyDescent="0.25">
      <c r="B115" s="24">
        <v>31</v>
      </c>
      <c r="C115" s="24">
        <v>100</v>
      </c>
    </row>
    <row r="116" spans="2:3" x14ac:dyDescent="0.25">
      <c r="B116" s="24">
        <v>29</v>
      </c>
      <c r="C116" s="24">
        <v>100</v>
      </c>
    </row>
    <row r="117" spans="2:3" x14ac:dyDescent="0.25">
      <c r="B117" s="24">
        <v>29</v>
      </c>
      <c r="C117" s="24">
        <v>100</v>
      </c>
    </row>
    <row r="118" spans="2:3" x14ac:dyDescent="0.25">
      <c r="B118" s="24">
        <v>11</v>
      </c>
      <c r="C118" s="24">
        <v>98.05</v>
      </c>
    </row>
    <row r="119" spans="2:3" x14ac:dyDescent="0.25">
      <c r="B119" s="24">
        <v>30</v>
      </c>
      <c r="C119" s="24">
        <v>98</v>
      </c>
    </row>
    <row r="120" spans="2:3" x14ac:dyDescent="0.25">
      <c r="B120" s="24">
        <v>21</v>
      </c>
      <c r="C120" s="24">
        <v>98</v>
      </c>
    </row>
    <row r="121" spans="2:3" x14ac:dyDescent="0.25">
      <c r="B121" s="24">
        <v>12</v>
      </c>
      <c r="C121" s="24">
        <v>97.5</v>
      </c>
    </row>
    <row r="122" spans="2:3" x14ac:dyDescent="0.25">
      <c r="B122" s="24">
        <v>19</v>
      </c>
      <c r="C122" s="24">
        <v>94.5</v>
      </c>
    </row>
    <row r="123" spans="2:3" x14ac:dyDescent="0.25">
      <c r="B123" s="24">
        <v>28</v>
      </c>
      <c r="C123" s="24">
        <v>92.15000000000001</v>
      </c>
    </row>
    <row r="124" spans="2:3" x14ac:dyDescent="0.25">
      <c r="B124" s="24">
        <v>17</v>
      </c>
      <c r="C124" s="24">
        <v>91.77</v>
      </c>
    </row>
    <row r="125" spans="2:3" x14ac:dyDescent="0.25">
      <c r="B125" s="24">
        <v>31</v>
      </c>
      <c r="C125" s="24">
        <v>90</v>
      </c>
    </row>
    <row r="126" spans="2:3" x14ac:dyDescent="0.25">
      <c r="B126" s="24">
        <v>30</v>
      </c>
      <c r="C126" s="24">
        <v>90</v>
      </c>
    </row>
    <row r="127" spans="2:3" x14ac:dyDescent="0.25">
      <c r="B127" s="24">
        <v>31</v>
      </c>
      <c r="C127" s="24">
        <v>90</v>
      </c>
    </row>
    <row r="128" spans="2:3" x14ac:dyDescent="0.25">
      <c r="B128" s="24">
        <v>30</v>
      </c>
      <c r="C128" s="24">
        <v>90</v>
      </c>
    </row>
    <row r="129" spans="2:3" x14ac:dyDescent="0.25">
      <c r="B129" s="24">
        <v>18</v>
      </c>
      <c r="C129" s="24">
        <v>89.90000000000001</v>
      </c>
    </row>
    <row r="130" spans="2:3" x14ac:dyDescent="0.25">
      <c r="B130" s="24">
        <v>11</v>
      </c>
      <c r="C130" s="24">
        <v>89.25</v>
      </c>
    </row>
    <row r="131" spans="2:3" x14ac:dyDescent="0.25">
      <c r="B131" s="24">
        <v>31</v>
      </c>
      <c r="C131" s="24">
        <v>88</v>
      </c>
    </row>
    <row r="132" spans="2:3" x14ac:dyDescent="0.25">
      <c r="B132" s="24">
        <v>18</v>
      </c>
      <c r="C132" s="24">
        <v>87</v>
      </c>
    </row>
    <row r="133" spans="2:3" x14ac:dyDescent="0.25">
      <c r="B133" s="24">
        <v>27</v>
      </c>
      <c r="C133" s="24">
        <v>86.40000000000001</v>
      </c>
    </row>
    <row r="134" spans="2:3" x14ac:dyDescent="0.25">
      <c r="B134" s="24">
        <v>16</v>
      </c>
      <c r="C134" s="24">
        <v>85.8</v>
      </c>
    </row>
    <row r="135" spans="2:3" x14ac:dyDescent="0.25">
      <c r="B135" s="24">
        <v>29</v>
      </c>
      <c r="C135" s="24">
        <v>85</v>
      </c>
    </row>
    <row r="136" spans="2:3" x14ac:dyDescent="0.25">
      <c r="B136" s="24">
        <v>30</v>
      </c>
      <c r="C136" s="24">
        <v>83.5</v>
      </c>
    </row>
    <row r="137" spans="2:3" x14ac:dyDescent="0.25">
      <c r="B137" s="24">
        <v>23</v>
      </c>
      <c r="C137" s="24">
        <v>80.84999999999999</v>
      </c>
    </row>
    <row r="138" spans="2:3" x14ac:dyDescent="0.25">
      <c r="B138" s="24">
        <v>10</v>
      </c>
      <c r="C138" s="24">
        <v>80</v>
      </c>
    </row>
    <row r="139" spans="2:3" x14ac:dyDescent="0.25">
      <c r="B139" s="24">
        <v>31</v>
      </c>
      <c r="C139" s="24">
        <v>80</v>
      </c>
    </row>
    <row r="140" spans="2:3" x14ac:dyDescent="0.25">
      <c r="B140" s="24">
        <v>30</v>
      </c>
      <c r="C140" s="24">
        <v>80</v>
      </c>
    </row>
    <row r="141" spans="2:3" x14ac:dyDescent="0.25">
      <c r="B141" s="24">
        <v>30</v>
      </c>
      <c r="C141" s="24">
        <v>80</v>
      </c>
    </row>
    <row r="142" spans="2:3" x14ac:dyDescent="0.25">
      <c r="B142" s="24">
        <v>31</v>
      </c>
      <c r="C142" s="24">
        <v>80</v>
      </c>
    </row>
    <row r="143" spans="2:3" x14ac:dyDescent="0.25">
      <c r="B143" s="24">
        <v>29</v>
      </c>
      <c r="C143" s="24">
        <v>80</v>
      </c>
    </row>
    <row r="144" spans="2:3" x14ac:dyDescent="0.25">
      <c r="B144" s="24">
        <v>15</v>
      </c>
      <c r="C144" s="24">
        <v>79.776</v>
      </c>
    </row>
    <row r="145" spans="2:3" x14ac:dyDescent="0.25">
      <c r="B145" s="24">
        <v>16</v>
      </c>
      <c r="C145" s="24">
        <v>79.5</v>
      </c>
    </row>
    <row r="146" spans="2:3" x14ac:dyDescent="0.25">
      <c r="B146" s="24">
        <v>20</v>
      </c>
      <c r="C146" s="24">
        <v>79.34999999999999</v>
      </c>
    </row>
    <row r="147" spans="2:3" x14ac:dyDescent="0.25">
      <c r="B147" s="24">
        <v>24</v>
      </c>
      <c r="C147" s="24">
        <v>78.54000000000001</v>
      </c>
    </row>
    <row r="148" spans="2:3" x14ac:dyDescent="0.25">
      <c r="B148" s="24">
        <v>9</v>
      </c>
      <c r="C148" s="24">
        <v>78.3</v>
      </c>
    </row>
    <row r="149" spans="2:3" x14ac:dyDescent="0.25">
      <c r="B149" s="24">
        <v>26</v>
      </c>
      <c r="C149" s="24">
        <v>78.3</v>
      </c>
    </row>
    <row r="150" spans="2:3" x14ac:dyDescent="0.25">
      <c r="B150" s="24">
        <v>26</v>
      </c>
      <c r="C150" s="24">
        <v>78.12</v>
      </c>
    </row>
    <row r="151" spans="2:3" x14ac:dyDescent="0.25">
      <c r="B151" s="24">
        <v>31</v>
      </c>
      <c r="C151" s="24">
        <v>78</v>
      </c>
    </row>
    <row r="152" spans="2:3" x14ac:dyDescent="0.25">
      <c r="B152" s="24">
        <v>31</v>
      </c>
      <c r="C152" s="24">
        <v>77.5</v>
      </c>
    </row>
    <row r="153" spans="2:3" x14ac:dyDescent="0.25">
      <c r="B153" s="24">
        <v>28</v>
      </c>
      <c r="C153" s="24">
        <v>77.5</v>
      </c>
    </row>
    <row r="154" spans="2:3" x14ac:dyDescent="0.25">
      <c r="B154" s="24">
        <v>30</v>
      </c>
      <c r="C154" s="24">
        <v>77.5</v>
      </c>
    </row>
    <row r="155" spans="2:3" x14ac:dyDescent="0.25">
      <c r="B155" s="24">
        <v>31</v>
      </c>
      <c r="C155" s="24">
        <v>77.5</v>
      </c>
    </row>
    <row r="156" spans="2:3" x14ac:dyDescent="0.25">
      <c r="B156" s="24">
        <v>31</v>
      </c>
      <c r="C156" s="24">
        <v>77.5</v>
      </c>
    </row>
    <row r="157" spans="2:3" x14ac:dyDescent="0.25">
      <c r="B157" s="24">
        <v>31</v>
      </c>
      <c r="C157" s="24">
        <v>77.5</v>
      </c>
    </row>
    <row r="158" spans="2:3" x14ac:dyDescent="0.25">
      <c r="B158" s="24">
        <v>31</v>
      </c>
      <c r="C158" s="24">
        <v>77.5</v>
      </c>
    </row>
    <row r="159" spans="2:3" x14ac:dyDescent="0.25">
      <c r="B159" s="24">
        <v>31</v>
      </c>
      <c r="C159" s="24">
        <v>77.5</v>
      </c>
    </row>
    <row r="160" spans="2:3" x14ac:dyDescent="0.25">
      <c r="B160" s="24">
        <v>30</v>
      </c>
      <c r="C160" s="24">
        <v>77.5</v>
      </c>
    </row>
    <row r="161" spans="2:3" x14ac:dyDescent="0.25">
      <c r="B161" s="24">
        <v>30</v>
      </c>
      <c r="C161" s="24">
        <v>77.5</v>
      </c>
    </row>
    <row r="162" spans="2:3" x14ac:dyDescent="0.25">
      <c r="B162" s="24">
        <v>31</v>
      </c>
      <c r="C162" s="24">
        <v>77.5</v>
      </c>
    </row>
    <row r="163" spans="2:3" x14ac:dyDescent="0.25">
      <c r="B163" s="24">
        <v>30</v>
      </c>
      <c r="C163" s="24">
        <v>77.5</v>
      </c>
    </row>
    <row r="164" spans="2:3" x14ac:dyDescent="0.25">
      <c r="B164" s="24">
        <v>30</v>
      </c>
      <c r="C164" s="24">
        <v>77.5</v>
      </c>
    </row>
    <row r="165" spans="2:3" x14ac:dyDescent="0.25">
      <c r="B165" s="24">
        <v>30</v>
      </c>
      <c r="C165" s="24">
        <v>77.5</v>
      </c>
    </row>
    <row r="166" spans="2:3" x14ac:dyDescent="0.25">
      <c r="B166" s="24">
        <v>31</v>
      </c>
      <c r="C166" s="24">
        <v>77.5</v>
      </c>
    </row>
    <row r="167" spans="2:3" x14ac:dyDescent="0.25">
      <c r="B167" s="24">
        <v>31</v>
      </c>
      <c r="C167" s="24">
        <v>77.5</v>
      </c>
    </row>
    <row r="168" spans="2:3" x14ac:dyDescent="0.25">
      <c r="B168" s="24">
        <v>11</v>
      </c>
      <c r="C168" s="24">
        <v>77</v>
      </c>
    </row>
    <row r="169" spans="2:3" x14ac:dyDescent="0.25">
      <c r="B169" s="24">
        <v>14</v>
      </c>
      <c r="C169" s="24">
        <v>76.8</v>
      </c>
    </row>
    <row r="170" spans="2:3" x14ac:dyDescent="0.25">
      <c r="B170" s="24">
        <v>29</v>
      </c>
      <c r="C170" s="24">
        <v>75.2</v>
      </c>
    </row>
    <row r="171" spans="2:3" x14ac:dyDescent="0.25">
      <c r="B171" s="24">
        <v>30</v>
      </c>
      <c r="C171" s="24">
        <v>75</v>
      </c>
    </row>
    <row r="172" spans="2:3" x14ac:dyDescent="0.25">
      <c r="B172" s="24">
        <v>22</v>
      </c>
      <c r="C172" s="24">
        <v>74.45999999999999</v>
      </c>
    </row>
    <row r="173" spans="2:3" x14ac:dyDescent="0.25">
      <c r="B173" s="24">
        <v>28</v>
      </c>
      <c r="C173" s="24">
        <v>74.40000000000001</v>
      </c>
    </row>
    <row r="174" spans="2:3" x14ac:dyDescent="0.25">
      <c r="B174" s="24">
        <v>15</v>
      </c>
      <c r="C174" s="24">
        <v>74.25</v>
      </c>
    </row>
    <row r="175" spans="2:3" x14ac:dyDescent="0.25">
      <c r="B175" s="24">
        <v>15</v>
      </c>
      <c r="C175" s="24">
        <v>74.25</v>
      </c>
    </row>
    <row r="176" spans="2:3" x14ac:dyDescent="0.25">
      <c r="B176" s="24">
        <v>14</v>
      </c>
      <c r="C176" s="24">
        <v>73.79000000000001</v>
      </c>
    </row>
    <row r="177" spans="2:3" x14ac:dyDescent="0.25">
      <c r="B177" s="24">
        <v>24</v>
      </c>
      <c r="C177" s="24">
        <v>73.15000000000001</v>
      </c>
    </row>
    <row r="178" spans="2:3" x14ac:dyDescent="0.25">
      <c r="B178" s="24">
        <v>31</v>
      </c>
      <c r="C178" s="24">
        <v>73</v>
      </c>
    </row>
    <row r="179" spans="2:3" x14ac:dyDescent="0.25">
      <c r="B179" s="24">
        <v>31</v>
      </c>
      <c r="C179" s="24">
        <v>73</v>
      </c>
    </row>
    <row r="180" spans="2:3" x14ac:dyDescent="0.25">
      <c r="B180" s="24">
        <v>20</v>
      </c>
      <c r="C180" s="24">
        <v>72.8</v>
      </c>
    </row>
    <row r="181" spans="2:3" x14ac:dyDescent="0.25">
      <c r="B181" s="24">
        <v>8</v>
      </c>
      <c r="C181" s="24">
        <v>72.8</v>
      </c>
    </row>
    <row r="182" spans="2:3" x14ac:dyDescent="0.25">
      <c r="B182" s="24">
        <v>20</v>
      </c>
      <c r="C182" s="24">
        <v>71.5</v>
      </c>
    </row>
    <row r="183" spans="2:3" x14ac:dyDescent="0.25">
      <c r="B183" s="24">
        <v>22</v>
      </c>
      <c r="C183" s="24">
        <v>71</v>
      </c>
    </row>
    <row r="184" spans="2:3" x14ac:dyDescent="0.25">
      <c r="B184" s="24">
        <v>31</v>
      </c>
      <c r="C184" s="24">
        <v>70</v>
      </c>
    </row>
    <row r="185" spans="2:3" x14ac:dyDescent="0.25">
      <c r="B185" s="24">
        <v>31</v>
      </c>
      <c r="C185" s="24">
        <v>70</v>
      </c>
    </row>
    <row r="186" spans="2:3" x14ac:dyDescent="0.25">
      <c r="B186" s="24">
        <v>28</v>
      </c>
      <c r="C186" s="24">
        <v>70</v>
      </c>
    </row>
    <row r="187" spans="2:3" x14ac:dyDescent="0.25">
      <c r="B187" s="24">
        <v>29</v>
      </c>
      <c r="C187" s="24">
        <v>70</v>
      </c>
    </row>
    <row r="188" spans="2:3" x14ac:dyDescent="0.25">
      <c r="B188" s="24">
        <v>31</v>
      </c>
      <c r="C188" s="24">
        <v>70</v>
      </c>
    </row>
    <row r="189" spans="2:3" x14ac:dyDescent="0.25">
      <c r="B189" s="24">
        <v>31</v>
      </c>
      <c r="C189" s="24">
        <v>70</v>
      </c>
    </row>
    <row r="190" spans="2:3" x14ac:dyDescent="0.25">
      <c r="B190" s="24">
        <v>31</v>
      </c>
      <c r="C190" s="24">
        <v>70</v>
      </c>
    </row>
    <row r="191" spans="2:3" x14ac:dyDescent="0.25">
      <c r="B191" s="24">
        <v>30</v>
      </c>
      <c r="C191" s="24">
        <v>70</v>
      </c>
    </row>
    <row r="192" spans="2:3" x14ac:dyDescent="0.25">
      <c r="B192" s="24">
        <v>30</v>
      </c>
      <c r="C192" s="24">
        <v>70</v>
      </c>
    </row>
    <row r="193" spans="2:3" x14ac:dyDescent="0.25">
      <c r="B193" s="24">
        <v>30</v>
      </c>
      <c r="C193" s="24">
        <v>70</v>
      </c>
    </row>
    <row r="194" spans="2:3" x14ac:dyDescent="0.25">
      <c r="B194" s="24">
        <v>30</v>
      </c>
      <c r="C194" s="24">
        <v>70</v>
      </c>
    </row>
    <row r="195" spans="2:3" x14ac:dyDescent="0.25">
      <c r="B195" s="24">
        <v>31</v>
      </c>
      <c r="C195" s="24">
        <v>70</v>
      </c>
    </row>
    <row r="196" spans="2:3" x14ac:dyDescent="0.25">
      <c r="B196" s="24">
        <v>29</v>
      </c>
      <c r="C196" s="24">
        <v>70</v>
      </c>
    </row>
    <row r="197" spans="2:3" x14ac:dyDescent="0.25">
      <c r="B197" s="24">
        <v>30</v>
      </c>
      <c r="C197" s="24">
        <v>70</v>
      </c>
    </row>
    <row r="198" spans="2:3" x14ac:dyDescent="0.25">
      <c r="B198" s="24">
        <v>31</v>
      </c>
      <c r="C198" s="24">
        <v>70</v>
      </c>
    </row>
    <row r="199" spans="2:3" x14ac:dyDescent="0.25">
      <c r="B199" s="24">
        <v>31</v>
      </c>
      <c r="C199" s="24">
        <v>70</v>
      </c>
    </row>
    <row r="200" spans="2:3" x14ac:dyDescent="0.25">
      <c r="B200" s="24">
        <v>31</v>
      </c>
      <c r="C200" s="24">
        <v>70</v>
      </c>
    </row>
    <row r="201" spans="2:3" x14ac:dyDescent="0.25">
      <c r="B201" s="24">
        <v>17</v>
      </c>
      <c r="C201" s="24">
        <v>69.84999999999999</v>
      </c>
    </row>
    <row r="202" spans="2:3" x14ac:dyDescent="0.25">
      <c r="B202" s="24">
        <v>24</v>
      </c>
      <c r="C202" s="24">
        <v>69.3</v>
      </c>
    </row>
    <row r="203" spans="2:3" x14ac:dyDescent="0.25">
      <c r="B203" s="24">
        <v>20</v>
      </c>
      <c r="C203" s="24">
        <v>69</v>
      </c>
    </row>
    <row r="204" spans="2:3" x14ac:dyDescent="0.25">
      <c r="B204" s="24">
        <v>12</v>
      </c>
      <c r="C204" s="24">
        <v>68.25</v>
      </c>
    </row>
    <row r="205" spans="2:3" x14ac:dyDescent="0.25">
      <c r="B205" s="24">
        <v>24</v>
      </c>
      <c r="C205" s="24">
        <v>68.23999999999999</v>
      </c>
    </row>
    <row r="206" spans="2:3" x14ac:dyDescent="0.25">
      <c r="B206" s="24">
        <v>28</v>
      </c>
      <c r="C206" s="24">
        <v>67.89</v>
      </c>
    </row>
    <row r="207" spans="2:3" x14ac:dyDescent="0.25">
      <c r="B207" s="24">
        <v>14</v>
      </c>
      <c r="C207" s="24">
        <v>67.5</v>
      </c>
    </row>
    <row r="208" spans="2:3" x14ac:dyDescent="0.25">
      <c r="B208" s="24">
        <v>14</v>
      </c>
      <c r="C208" s="24">
        <v>67.5</v>
      </c>
    </row>
    <row r="209" spans="2:3" x14ac:dyDescent="0.25">
      <c r="B209" s="24">
        <v>30</v>
      </c>
      <c r="C209" s="24">
        <v>67</v>
      </c>
    </row>
    <row r="210" spans="2:3" x14ac:dyDescent="0.25">
      <c r="B210" s="24">
        <v>27</v>
      </c>
      <c r="C210" s="24">
        <v>66.98999999999999</v>
      </c>
    </row>
    <row r="211" spans="2:3" x14ac:dyDescent="0.25">
      <c r="B211" s="24">
        <v>19</v>
      </c>
      <c r="C211" s="24">
        <v>66.78</v>
      </c>
    </row>
    <row r="212" spans="2:3" x14ac:dyDescent="0.25">
      <c r="B212" s="24">
        <v>10</v>
      </c>
      <c r="C212" s="24">
        <v>65.92</v>
      </c>
    </row>
    <row r="213" spans="2:3" x14ac:dyDescent="0.25">
      <c r="B213" s="24">
        <v>31</v>
      </c>
      <c r="C213" s="24">
        <v>65</v>
      </c>
    </row>
    <row r="214" spans="2:3" x14ac:dyDescent="0.25">
      <c r="B214" s="24">
        <v>29</v>
      </c>
      <c r="C214" s="24">
        <v>65</v>
      </c>
    </row>
    <row r="215" spans="2:3" x14ac:dyDescent="0.25">
      <c r="B215" s="24">
        <v>31</v>
      </c>
      <c r="C215" s="24">
        <v>65</v>
      </c>
    </row>
    <row r="216" spans="2:3" x14ac:dyDescent="0.25">
      <c r="B216" s="24">
        <v>24</v>
      </c>
      <c r="C216" s="24">
        <v>64</v>
      </c>
    </row>
    <row r="217" spans="2:3" x14ac:dyDescent="0.25">
      <c r="B217" s="24">
        <v>18</v>
      </c>
      <c r="C217" s="24">
        <v>63.8</v>
      </c>
    </row>
    <row r="218" spans="2:3" x14ac:dyDescent="0.25">
      <c r="B218" s="24">
        <v>11</v>
      </c>
      <c r="C218" s="24">
        <v>63.64</v>
      </c>
    </row>
    <row r="219" spans="2:3" x14ac:dyDescent="0.25">
      <c r="B219" s="24">
        <v>26</v>
      </c>
      <c r="C219" s="24">
        <v>63.51</v>
      </c>
    </row>
    <row r="220" spans="2:3" x14ac:dyDescent="0.25">
      <c r="B220" s="24">
        <v>25</v>
      </c>
      <c r="C220" s="24">
        <v>63.101</v>
      </c>
    </row>
    <row r="221" spans="2:3" x14ac:dyDescent="0.25">
      <c r="B221" s="24">
        <v>14</v>
      </c>
      <c r="C221" s="24">
        <v>63</v>
      </c>
    </row>
    <row r="222" spans="2:3" x14ac:dyDescent="0.25">
      <c r="B222" s="24">
        <v>21</v>
      </c>
      <c r="C222" s="24">
        <v>63</v>
      </c>
    </row>
    <row r="223" spans="2:3" x14ac:dyDescent="0.25">
      <c r="B223" s="24">
        <v>26</v>
      </c>
      <c r="C223" s="24">
        <v>63</v>
      </c>
    </row>
    <row r="224" spans="2:3" x14ac:dyDescent="0.25">
      <c r="B224" s="24">
        <v>30</v>
      </c>
      <c r="C224" s="24">
        <v>62.856</v>
      </c>
    </row>
    <row r="225" spans="2:3" x14ac:dyDescent="0.25">
      <c r="B225" s="24">
        <v>21</v>
      </c>
      <c r="C225" s="24">
        <v>62.56</v>
      </c>
    </row>
    <row r="226" spans="2:3" x14ac:dyDescent="0.25">
      <c r="B226" s="24">
        <v>13</v>
      </c>
      <c r="C226" s="24">
        <v>62.37</v>
      </c>
    </row>
    <row r="227" spans="2:3" x14ac:dyDescent="0.25">
      <c r="B227" s="24">
        <v>7</v>
      </c>
      <c r="C227" s="24">
        <v>62.1</v>
      </c>
    </row>
    <row r="228" spans="2:3" x14ac:dyDescent="0.25">
      <c r="B228" s="24">
        <v>16</v>
      </c>
      <c r="C228" s="24">
        <v>61.6</v>
      </c>
    </row>
    <row r="229" spans="2:3" x14ac:dyDescent="0.25">
      <c r="B229" s="24">
        <v>21</v>
      </c>
      <c r="C229" s="24">
        <v>61.2</v>
      </c>
    </row>
    <row r="230" spans="2:3" x14ac:dyDescent="0.25">
      <c r="B230" s="24">
        <v>25</v>
      </c>
      <c r="C230" s="24">
        <v>61.155</v>
      </c>
    </row>
    <row r="231" spans="2:3" x14ac:dyDescent="0.25">
      <c r="B231" s="24">
        <v>19</v>
      </c>
      <c r="C231" s="24">
        <v>61</v>
      </c>
    </row>
    <row r="232" spans="2:3" x14ac:dyDescent="0.25">
      <c r="B232" s="24">
        <v>19</v>
      </c>
      <c r="C232" s="24">
        <v>61</v>
      </c>
    </row>
    <row r="233" spans="2:3" x14ac:dyDescent="0.25">
      <c r="B233" s="24">
        <v>18</v>
      </c>
      <c r="C233" s="24">
        <v>60.9</v>
      </c>
    </row>
    <row r="234" spans="2:3" x14ac:dyDescent="0.25">
      <c r="B234" s="24">
        <v>28</v>
      </c>
      <c r="C234" s="24">
        <v>60.45</v>
      </c>
    </row>
    <row r="235" spans="2:3" x14ac:dyDescent="0.25">
      <c r="B235" s="24">
        <v>28</v>
      </c>
      <c r="C235" s="24">
        <v>60.45</v>
      </c>
    </row>
    <row r="236" spans="2:3" x14ac:dyDescent="0.25">
      <c r="B236" s="24">
        <v>31</v>
      </c>
      <c r="C236" s="24">
        <v>60.33</v>
      </c>
    </row>
    <row r="237" spans="2:3" x14ac:dyDescent="0.25">
      <c r="B237" s="24">
        <v>31</v>
      </c>
      <c r="C237" s="24">
        <v>60.33</v>
      </c>
    </row>
    <row r="238" spans="2:3" x14ac:dyDescent="0.25">
      <c r="B238" s="24">
        <v>29</v>
      </c>
      <c r="C238" s="24">
        <v>60.33</v>
      </c>
    </row>
    <row r="239" spans="2:3" x14ac:dyDescent="0.25">
      <c r="B239" s="24">
        <v>31</v>
      </c>
      <c r="C239" s="24">
        <v>60</v>
      </c>
    </row>
    <row r="240" spans="2:3" x14ac:dyDescent="0.25">
      <c r="B240" s="24">
        <v>31</v>
      </c>
      <c r="C240" s="24">
        <v>60</v>
      </c>
    </row>
    <row r="241" spans="2:3" x14ac:dyDescent="0.25">
      <c r="B241" s="24">
        <v>29</v>
      </c>
      <c r="C241" s="24">
        <v>60</v>
      </c>
    </row>
    <row r="242" spans="2:3" x14ac:dyDescent="0.25">
      <c r="B242" s="24">
        <v>15</v>
      </c>
      <c r="C242" s="24">
        <v>60</v>
      </c>
    </row>
    <row r="243" spans="2:3" x14ac:dyDescent="0.25">
      <c r="B243" s="24">
        <v>15</v>
      </c>
      <c r="C243" s="24">
        <v>59.8</v>
      </c>
    </row>
    <row r="244" spans="2:3" x14ac:dyDescent="0.25">
      <c r="B244" s="24">
        <v>21</v>
      </c>
      <c r="C244" s="24">
        <v>59.654</v>
      </c>
    </row>
    <row r="245" spans="2:3" x14ac:dyDescent="0.25">
      <c r="B245" s="24">
        <v>12</v>
      </c>
      <c r="C245" s="24">
        <v>59.4</v>
      </c>
    </row>
    <row r="246" spans="2:3" x14ac:dyDescent="0.25">
      <c r="B246" s="24">
        <v>16</v>
      </c>
      <c r="C246" s="24">
        <v>59.28</v>
      </c>
    </row>
    <row r="247" spans="2:3" x14ac:dyDescent="0.25">
      <c r="B247" s="24">
        <v>31</v>
      </c>
      <c r="C247" s="24">
        <v>58.5</v>
      </c>
    </row>
    <row r="248" spans="2:3" x14ac:dyDescent="0.25">
      <c r="B248" s="24">
        <v>17</v>
      </c>
      <c r="C248" s="24">
        <v>58.3</v>
      </c>
    </row>
    <row r="249" spans="2:3" x14ac:dyDescent="0.25">
      <c r="B249" s="24">
        <v>21</v>
      </c>
      <c r="C249" s="24">
        <v>57.8</v>
      </c>
    </row>
    <row r="250" spans="2:3" x14ac:dyDescent="0.25">
      <c r="B250" s="24">
        <v>8</v>
      </c>
      <c r="C250" s="24">
        <v>57.2</v>
      </c>
    </row>
    <row r="251" spans="2:3" x14ac:dyDescent="0.25">
      <c r="B251" s="24">
        <v>16</v>
      </c>
      <c r="C251" s="24">
        <v>57.2</v>
      </c>
    </row>
    <row r="252" spans="2:3" x14ac:dyDescent="0.25">
      <c r="B252" s="24">
        <v>31</v>
      </c>
      <c r="C252" s="24">
        <v>57</v>
      </c>
    </row>
    <row r="253" spans="2:3" x14ac:dyDescent="0.25">
      <c r="B253" s="24">
        <v>17</v>
      </c>
      <c r="C253" s="24">
        <v>57</v>
      </c>
    </row>
    <row r="254" spans="2:3" x14ac:dyDescent="0.25">
      <c r="B254" s="24">
        <v>30</v>
      </c>
      <c r="C254" s="24">
        <v>57</v>
      </c>
    </row>
    <row r="255" spans="2:3" x14ac:dyDescent="0.25">
      <c r="B255" s="24">
        <v>18</v>
      </c>
      <c r="C255" s="24">
        <v>56.84</v>
      </c>
    </row>
    <row r="256" spans="2:3" x14ac:dyDescent="0.25">
      <c r="B256" s="24">
        <v>29</v>
      </c>
      <c r="C256" s="24">
        <v>56.4</v>
      </c>
    </row>
    <row r="257" spans="2:3" x14ac:dyDescent="0.25">
      <c r="B257" s="24">
        <v>31</v>
      </c>
      <c r="C257" s="24">
        <v>56.35</v>
      </c>
    </row>
    <row r="258" spans="2:3" x14ac:dyDescent="0.25">
      <c r="B258" s="24">
        <v>22</v>
      </c>
      <c r="C258" s="24">
        <v>56.21</v>
      </c>
    </row>
    <row r="259" spans="2:3" x14ac:dyDescent="0.25">
      <c r="B259" s="24">
        <v>31</v>
      </c>
      <c r="C259" s="24">
        <v>56</v>
      </c>
    </row>
    <row r="260" spans="2:3" x14ac:dyDescent="0.25">
      <c r="B260" s="24">
        <v>28</v>
      </c>
      <c r="C260" s="24">
        <v>56</v>
      </c>
    </row>
    <row r="261" spans="2:3" x14ac:dyDescent="0.25">
      <c r="B261" s="24">
        <v>31</v>
      </c>
      <c r="C261" s="24">
        <v>56</v>
      </c>
    </row>
    <row r="262" spans="2:3" x14ac:dyDescent="0.25">
      <c r="B262" s="24">
        <v>30</v>
      </c>
      <c r="C262" s="24">
        <v>56</v>
      </c>
    </row>
    <row r="263" spans="2:3" x14ac:dyDescent="0.25">
      <c r="B263" s="24">
        <v>31</v>
      </c>
      <c r="C263" s="24">
        <v>56</v>
      </c>
    </row>
    <row r="264" spans="2:3" x14ac:dyDescent="0.25">
      <c r="B264" s="24">
        <v>24</v>
      </c>
      <c r="C264" s="24">
        <v>56</v>
      </c>
    </row>
    <row r="265" spans="2:3" x14ac:dyDescent="0.25">
      <c r="B265" s="24">
        <v>30</v>
      </c>
      <c r="C265" s="24">
        <v>56</v>
      </c>
    </row>
    <row r="266" spans="2:3" x14ac:dyDescent="0.25">
      <c r="B266" s="24">
        <v>31</v>
      </c>
      <c r="C266" s="24">
        <v>56</v>
      </c>
    </row>
    <row r="267" spans="2:3" x14ac:dyDescent="0.25">
      <c r="B267" s="24">
        <v>31</v>
      </c>
      <c r="C267" s="24">
        <v>56</v>
      </c>
    </row>
    <row r="268" spans="2:3" x14ac:dyDescent="0.25">
      <c r="B268" s="24">
        <v>11</v>
      </c>
      <c r="C268" s="24">
        <v>56</v>
      </c>
    </row>
    <row r="269" spans="2:3" x14ac:dyDescent="0.25">
      <c r="B269" s="24">
        <v>31</v>
      </c>
      <c r="C269" s="24">
        <v>56</v>
      </c>
    </row>
    <row r="270" spans="2:3" x14ac:dyDescent="0.25">
      <c r="B270" s="24">
        <v>28</v>
      </c>
      <c r="C270" s="24">
        <v>56</v>
      </c>
    </row>
    <row r="271" spans="2:3" x14ac:dyDescent="0.25">
      <c r="B271" s="24">
        <v>28</v>
      </c>
      <c r="C271" s="24">
        <v>55.8</v>
      </c>
    </row>
    <row r="272" spans="2:3" x14ac:dyDescent="0.25">
      <c r="B272" s="24">
        <v>16</v>
      </c>
      <c r="C272" s="24">
        <v>55.65</v>
      </c>
    </row>
    <row r="273" spans="2:3" x14ac:dyDescent="0.25">
      <c r="B273" s="24">
        <v>31</v>
      </c>
      <c r="C273" s="24">
        <v>55.5</v>
      </c>
    </row>
    <row r="274" spans="2:3" x14ac:dyDescent="0.25">
      <c r="B274" s="24">
        <v>29</v>
      </c>
      <c r="C274" s="24">
        <v>55.5</v>
      </c>
    </row>
    <row r="275" spans="2:3" x14ac:dyDescent="0.25">
      <c r="B275" s="24">
        <v>22</v>
      </c>
      <c r="C275" s="24">
        <v>55.3</v>
      </c>
    </row>
    <row r="276" spans="2:3" x14ac:dyDescent="0.25">
      <c r="B276" s="24">
        <v>20</v>
      </c>
      <c r="C276" s="24">
        <v>55.2</v>
      </c>
    </row>
    <row r="277" spans="2:3" x14ac:dyDescent="0.25">
      <c r="B277" s="24">
        <v>31</v>
      </c>
      <c r="C277" s="24">
        <v>55</v>
      </c>
    </row>
    <row r="278" spans="2:3" x14ac:dyDescent="0.25">
      <c r="B278" s="24">
        <v>28</v>
      </c>
      <c r="C278" s="24">
        <v>55</v>
      </c>
    </row>
    <row r="279" spans="2:3" x14ac:dyDescent="0.25">
      <c r="B279" s="24">
        <v>30</v>
      </c>
      <c r="C279" s="24">
        <v>55</v>
      </c>
    </row>
    <row r="280" spans="2:3" x14ac:dyDescent="0.25">
      <c r="B280" s="24">
        <v>31</v>
      </c>
      <c r="C280" s="24">
        <v>55</v>
      </c>
    </row>
    <row r="281" spans="2:3" x14ac:dyDescent="0.25">
      <c r="B281" s="24">
        <v>31</v>
      </c>
      <c r="C281" s="24">
        <v>55</v>
      </c>
    </row>
    <row r="282" spans="2:3" x14ac:dyDescent="0.25">
      <c r="B282" s="24">
        <v>28</v>
      </c>
      <c r="C282" s="24">
        <v>55</v>
      </c>
    </row>
    <row r="283" spans="2:3" x14ac:dyDescent="0.25">
      <c r="B283" s="24">
        <v>31</v>
      </c>
      <c r="C283" s="24">
        <v>55</v>
      </c>
    </row>
    <row r="284" spans="2:3" x14ac:dyDescent="0.25">
      <c r="B284" s="24">
        <v>31</v>
      </c>
      <c r="C284" s="24">
        <v>55</v>
      </c>
    </row>
    <row r="285" spans="2:3" x14ac:dyDescent="0.25">
      <c r="B285" s="24">
        <v>16</v>
      </c>
      <c r="C285" s="24">
        <v>55</v>
      </c>
    </row>
    <row r="286" spans="2:3" x14ac:dyDescent="0.25">
      <c r="B286" s="24">
        <v>31</v>
      </c>
      <c r="C286" s="24">
        <v>55</v>
      </c>
    </row>
    <row r="287" spans="2:3" x14ac:dyDescent="0.25">
      <c r="B287" s="24">
        <v>31</v>
      </c>
      <c r="C287" s="24">
        <v>55</v>
      </c>
    </row>
    <row r="288" spans="2:3" x14ac:dyDescent="0.25">
      <c r="B288" s="24">
        <v>17</v>
      </c>
      <c r="C288" s="24">
        <v>55</v>
      </c>
    </row>
    <row r="289" spans="2:3" x14ac:dyDescent="0.25">
      <c r="B289" s="24">
        <v>30</v>
      </c>
      <c r="C289" s="24">
        <v>55</v>
      </c>
    </row>
    <row r="290" spans="2:3" x14ac:dyDescent="0.25">
      <c r="B290" s="24">
        <v>25</v>
      </c>
      <c r="C290" s="24">
        <v>54.78</v>
      </c>
    </row>
    <row r="291" spans="2:3" x14ac:dyDescent="0.25">
      <c r="B291" s="24">
        <v>30</v>
      </c>
      <c r="C291" s="24">
        <v>54.25</v>
      </c>
    </row>
    <row r="292" spans="2:3" x14ac:dyDescent="0.25">
      <c r="B292" s="24">
        <v>31</v>
      </c>
      <c r="C292" s="24">
        <v>54.25</v>
      </c>
    </row>
    <row r="293" spans="2:3" x14ac:dyDescent="0.25">
      <c r="B293" s="24">
        <v>31</v>
      </c>
      <c r="C293" s="24">
        <v>54.25</v>
      </c>
    </row>
    <row r="294" spans="2:3" x14ac:dyDescent="0.25">
      <c r="B294" s="24">
        <v>30</v>
      </c>
      <c r="C294" s="24">
        <v>54.25</v>
      </c>
    </row>
    <row r="295" spans="2:3" x14ac:dyDescent="0.25">
      <c r="B295" s="24">
        <v>31</v>
      </c>
      <c r="C295" s="24">
        <v>54.25</v>
      </c>
    </row>
    <row r="296" spans="2:3" x14ac:dyDescent="0.25">
      <c r="B296" s="24">
        <v>30</v>
      </c>
      <c r="C296" s="24">
        <v>54.25</v>
      </c>
    </row>
    <row r="297" spans="2:3" x14ac:dyDescent="0.25">
      <c r="B297" s="24">
        <v>31</v>
      </c>
      <c r="C297" s="24">
        <v>54.25</v>
      </c>
    </row>
    <row r="298" spans="2:3" x14ac:dyDescent="0.25">
      <c r="B298" s="24">
        <v>18</v>
      </c>
      <c r="C298" s="24">
        <v>54</v>
      </c>
    </row>
    <row r="299" spans="2:3" x14ac:dyDescent="0.25">
      <c r="B299" s="24">
        <v>25</v>
      </c>
      <c r="C299" s="24">
        <v>53.95</v>
      </c>
    </row>
    <row r="300" spans="2:3" x14ac:dyDescent="0.25">
      <c r="B300" s="24">
        <v>17</v>
      </c>
      <c r="C300" s="24">
        <v>53.9</v>
      </c>
    </row>
    <row r="301" spans="2:3" x14ac:dyDescent="0.25">
      <c r="B301" s="24">
        <v>20</v>
      </c>
      <c r="C301" s="24">
        <v>53.6</v>
      </c>
    </row>
    <row r="302" spans="2:3" x14ac:dyDescent="0.25">
      <c r="B302" s="24">
        <v>24</v>
      </c>
      <c r="C302" s="24">
        <v>53.32</v>
      </c>
    </row>
    <row r="303" spans="2:3" x14ac:dyDescent="0.25">
      <c r="B303" s="24">
        <v>22</v>
      </c>
      <c r="C303" s="24">
        <v>53.29</v>
      </c>
    </row>
    <row r="304" spans="2:3" x14ac:dyDescent="0.25">
      <c r="B304" s="24">
        <v>15</v>
      </c>
      <c r="C304" s="24">
        <v>53.04</v>
      </c>
    </row>
    <row r="305" spans="2:3" x14ac:dyDescent="0.25">
      <c r="B305" s="24">
        <v>28</v>
      </c>
      <c r="C305" s="24">
        <v>53.01</v>
      </c>
    </row>
    <row r="306" spans="2:3" x14ac:dyDescent="0.25">
      <c r="B306" s="24">
        <v>29</v>
      </c>
      <c r="C306" s="24">
        <v>53</v>
      </c>
    </row>
    <row r="307" spans="2:3" x14ac:dyDescent="0.25">
      <c r="B307" s="24">
        <v>16</v>
      </c>
      <c r="C307" s="24">
        <v>53</v>
      </c>
    </row>
    <row r="308" spans="2:3" x14ac:dyDescent="0.25">
      <c r="B308" s="24">
        <v>11</v>
      </c>
      <c r="C308" s="24">
        <v>52.5</v>
      </c>
    </row>
    <row r="309" spans="2:3" x14ac:dyDescent="0.25">
      <c r="B309" s="24">
        <v>6</v>
      </c>
      <c r="C309" s="24">
        <v>52.25</v>
      </c>
    </row>
    <row r="310" spans="2:3" x14ac:dyDescent="0.25">
      <c r="B310" s="24">
        <v>31</v>
      </c>
      <c r="C310" s="24">
        <v>52</v>
      </c>
    </row>
    <row r="311" spans="2:3" x14ac:dyDescent="0.25">
      <c r="B311" s="24">
        <v>30</v>
      </c>
      <c r="C311" s="24">
        <v>52</v>
      </c>
    </row>
    <row r="312" spans="2:3" x14ac:dyDescent="0.25">
      <c r="B312" s="24">
        <v>31</v>
      </c>
      <c r="C312" s="24">
        <v>52</v>
      </c>
    </row>
    <row r="313" spans="2:3" x14ac:dyDescent="0.25">
      <c r="B313" s="24">
        <v>30</v>
      </c>
      <c r="C313" s="24">
        <v>52</v>
      </c>
    </row>
    <row r="314" spans="2:3" x14ac:dyDescent="0.25">
      <c r="B314" s="24">
        <v>29</v>
      </c>
      <c r="C314" s="24">
        <v>51.7</v>
      </c>
    </row>
    <row r="315" spans="2:3" x14ac:dyDescent="0.25">
      <c r="B315" s="24">
        <v>26</v>
      </c>
      <c r="C315" s="24">
        <v>51.3</v>
      </c>
    </row>
    <row r="316" spans="2:3" x14ac:dyDescent="0.25">
      <c r="B316" s="24">
        <v>17</v>
      </c>
      <c r="C316" s="24">
        <v>51.3</v>
      </c>
    </row>
    <row r="317" spans="2:3" x14ac:dyDescent="0.25">
      <c r="B317" s="24">
        <v>15</v>
      </c>
      <c r="C317" s="24">
        <v>50.88</v>
      </c>
    </row>
    <row r="318" spans="2:3" x14ac:dyDescent="0.25">
      <c r="B318" s="24">
        <v>15</v>
      </c>
      <c r="C318" s="24">
        <v>50.4</v>
      </c>
    </row>
    <row r="319" spans="2:3" x14ac:dyDescent="0.25">
      <c r="B319" s="24">
        <v>30</v>
      </c>
      <c r="C319" s="24">
        <v>50.2</v>
      </c>
    </row>
    <row r="320" spans="2:3" x14ac:dyDescent="0.25">
      <c r="B320" s="24">
        <v>28</v>
      </c>
      <c r="C320" s="24">
        <v>50.2</v>
      </c>
    </row>
    <row r="321" spans="2:3" x14ac:dyDescent="0.25">
      <c r="B321" s="24">
        <v>31</v>
      </c>
      <c r="C321" s="24">
        <v>50.2</v>
      </c>
    </row>
    <row r="322" spans="2:3" x14ac:dyDescent="0.25">
      <c r="B322" s="24">
        <v>30</v>
      </c>
      <c r="C322" s="24">
        <v>50</v>
      </c>
    </row>
    <row r="323" spans="2:3" x14ac:dyDescent="0.25">
      <c r="B323" s="24">
        <v>31</v>
      </c>
      <c r="C323" s="24">
        <v>50</v>
      </c>
    </row>
    <row r="324" spans="2:3" x14ac:dyDescent="0.25">
      <c r="B324" s="24">
        <v>31</v>
      </c>
      <c r="C324" s="24">
        <v>50</v>
      </c>
    </row>
    <row r="325" spans="2:3" x14ac:dyDescent="0.25">
      <c r="B325" s="24">
        <v>30</v>
      </c>
      <c r="C325" s="24">
        <v>50</v>
      </c>
    </row>
    <row r="326" spans="2:3" x14ac:dyDescent="0.25">
      <c r="B326" s="24">
        <v>31</v>
      </c>
      <c r="C326" s="24">
        <v>50</v>
      </c>
    </row>
    <row r="327" spans="2:3" x14ac:dyDescent="0.25">
      <c r="B327" s="24">
        <v>31</v>
      </c>
      <c r="C327" s="24">
        <v>50</v>
      </c>
    </row>
    <row r="328" spans="2:3" x14ac:dyDescent="0.25">
      <c r="B328" s="24">
        <v>31</v>
      </c>
      <c r="C328" s="24">
        <v>50</v>
      </c>
    </row>
    <row r="329" spans="2:3" x14ac:dyDescent="0.25">
      <c r="B329" s="24">
        <v>31</v>
      </c>
      <c r="C329" s="24">
        <v>50</v>
      </c>
    </row>
    <row r="330" spans="2:3" x14ac:dyDescent="0.25">
      <c r="B330" s="24">
        <v>6</v>
      </c>
      <c r="C330" s="24">
        <v>50</v>
      </c>
    </row>
    <row r="331" spans="2:3" x14ac:dyDescent="0.25">
      <c r="B331" s="24">
        <v>28</v>
      </c>
      <c r="C331" s="24">
        <v>50</v>
      </c>
    </row>
    <row r="332" spans="2:3" x14ac:dyDescent="0.25">
      <c r="B332" s="24">
        <v>31</v>
      </c>
      <c r="C332" s="24">
        <v>50</v>
      </c>
    </row>
    <row r="333" spans="2:3" x14ac:dyDescent="0.25">
      <c r="B333" s="24">
        <v>28</v>
      </c>
      <c r="C333" s="24">
        <v>50</v>
      </c>
    </row>
    <row r="334" spans="2:3" x14ac:dyDescent="0.25">
      <c r="B334" s="24">
        <v>30</v>
      </c>
      <c r="C334" s="24">
        <v>50</v>
      </c>
    </row>
    <row r="335" spans="2:3" x14ac:dyDescent="0.25">
      <c r="B335" s="24">
        <v>31</v>
      </c>
      <c r="C335" s="24">
        <v>50</v>
      </c>
    </row>
    <row r="336" spans="2:3" x14ac:dyDescent="0.25">
      <c r="B336" s="24">
        <v>30</v>
      </c>
      <c r="C336" s="24">
        <v>50</v>
      </c>
    </row>
    <row r="337" spans="2:3" x14ac:dyDescent="0.25">
      <c r="B337" s="24">
        <v>31</v>
      </c>
      <c r="C337" s="24">
        <v>50</v>
      </c>
    </row>
    <row r="338" spans="2:3" x14ac:dyDescent="0.25">
      <c r="B338" s="24">
        <v>31</v>
      </c>
      <c r="C338" s="24">
        <v>50</v>
      </c>
    </row>
    <row r="339" spans="2:3" x14ac:dyDescent="0.25">
      <c r="B339" s="24">
        <v>30</v>
      </c>
      <c r="C339" s="24">
        <v>50</v>
      </c>
    </row>
    <row r="340" spans="2:3" x14ac:dyDescent="0.25">
      <c r="B340" s="24">
        <v>31</v>
      </c>
      <c r="C340" s="24">
        <v>50</v>
      </c>
    </row>
    <row r="341" spans="2:3" x14ac:dyDescent="0.25">
      <c r="B341" s="24">
        <v>31</v>
      </c>
      <c r="C341" s="24">
        <v>50</v>
      </c>
    </row>
    <row r="342" spans="2:3" x14ac:dyDescent="0.25">
      <c r="B342" s="24">
        <v>31</v>
      </c>
      <c r="C342" s="24">
        <v>50</v>
      </c>
    </row>
    <row r="343" spans="2:3" x14ac:dyDescent="0.25">
      <c r="B343" s="24">
        <v>30</v>
      </c>
      <c r="C343" s="24">
        <v>50</v>
      </c>
    </row>
    <row r="344" spans="2:3" x14ac:dyDescent="0.25">
      <c r="B344" s="24">
        <v>31</v>
      </c>
      <c r="C344" s="24">
        <v>50</v>
      </c>
    </row>
    <row r="345" spans="2:3" x14ac:dyDescent="0.25">
      <c r="B345" s="24">
        <v>31</v>
      </c>
      <c r="C345" s="24">
        <v>50</v>
      </c>
    </row>
    <row r="346" spans="2:3" x14ac:dyDescent="0.25">
      <c r="B346" s="24">
        <v>30</v>
      </c>
      <c r="C346" s="24">
        <v>50</v>
      </c>
    </row>
    <row r="347" spans="2:3" x14ac:dyDescent="0.25">
      <c r="B347" s="24">
        <v>30</v>
      </c>
      <c r="C347" s="24">
        <v>50</v>
      </c>
    </row>
    <row r="348" spans="2:3" x14ac:dyDescent="0.25">
      <c r="B348" s="24">
        <v>30</v>
      </c>
      <c r="C348" s="24">
        <v>50</v>
      </c>
    </row>
    <row r="349" spans="2:3" x14ac:dyDescent="0.25">
      <c r="B349" s="24">
        <v>28</v>
      </c>
      <c r="C349" s="24">
        <v>50</v>
      </c>
    </row>
    <row r="350" spans="2:3" x14ac:dyDescent="0.25">
      <c r="B350" s="24">
        <v>23</v>
      </c>
      <c r="C350" s="24">
        <v>49.8575</v>
      </c>
    </row>
    <row r="351" spans="2:3" x14ac:dyDescent="0.25">
      <c r="B351" s="24">
        <v>25</v>
      </c>
      <c r="C351" s="24">
        <v>49.815</v>
      </c>
    </row>
    <row r="352" spans="2:3" x14ac:dyDescent="0.25">
      <c r="B352" s="24">
        <v>23</v>
      </c>
      <c r="C352" s="24">
        <v>49.665</v>
      </c>
    </row>
    <row r="353" spans="2:3" x14ac:dyDescent="0.25">
      <c r="B353" s="24">
        <v>23</v>
      </c>
      <c r="C353" s="24">
        <v>49.58</v>
      </c>
    </row>
    <row r="354" spans="2:3" x14ac:dyDescent="0.25">
      <c r="B354" s="24">
        <v>17</v>
      </c>
      <c r="C354" s="24">
        <v>49.5</v>
      </c>
    </row>
    <row r="355" spans="2:3" x14ac:dyDescent="0.25">
      <c r="B355" s="24">
        <v>31</v>
      </c>
      <c r="C355" s="24">
        <v>49.5</v>
      </c>
    </row>
    <row r="356" spans="2:3" x14ac:dyDescent="0.25">
      <c r="B356" s="24">
        <v>28</v>
      </c>
      <c r="C356" s="24">
        <v>49.5</v>
      </c>
    </row>
    <row r="357" spans="2:3" x14ac:dyDescent="0.25">
      <c r="B357" s="24">
        <v>26</v>
      </c>
      <c r="C357" s="24">
        <v>49.5</v>
      </c>
    </row>
    <row r="358" spans="2:3" x14ac:dyDescent="0.25">
      <c r="B358" s="24">
        <v>15</v>
      </c>
      <c r="C358" s="24">
        <v>49.44</v>
      </c>
    </row>
    <row r="359" spans="2:3" x14ac:dyDescent="0.25">
      <c r="B359" s="24">
        <v>29</v>
      </c>
      <c r="C359" s="24">
        <v>48.88</v>
      </c>
    </row>
    <row r="360" spans="2:3" x14ac:dyDescent="0.25">
      <c r="B360" s="24">
        <v>19</v>
      </c>
      <c r="C360" s="24">
        <v>48.825</v>
      </c>
    </row>
    <row r="361" spans="2:3" x14ac:dyDescent="0.25">
      <c r="B361" s="24">
        <v>19</v>
      </c>
      <c r="C361" s="24">
        <v>48.8</v>
      </c>
    </row>
    <row r="362" spans="2:3" x14ac:dyDescent="0.25">
      <c r="B362" s="24">
        <v>28</v>
      </c>
      <c r="C362" s="24">
        <v>48.36</v>
      </c>
    </row>
    <row r="363" spans="2:3" x14ac:dyDescent="0.25">
      <c r="B363" s="24">
        <v>18</v>
      </c>
      <c r="C363" s="24">
        <v>48.36</v>
      </c>
    </row>
    <row r="364" spans="2:3" x14ac:dyDescent="0.25">
      <c r="B364" s="24">
        <v>31</v>
      </c>
      <c r="C364" s="24">
        <v>48</v>
      </c>
    </row>
    <row r="365" spans="2:3" x14ac:dyDescent="0.25">
      <c r="B365" s="24">
        <v>24</v>
      </c>
      <c r="C365" s="24">
        <v>48</v>
      </c>
    </row>
    <row r="366" spans="2:3" x14ac:dyDescent="0.25">
      <c r="B366" s="24">
        <v>23</v>
      </c>
      <c r="C366" s="24">
        <v>47.971</v>
      </c>
    </row>
    <row r="367" spans="2:3" x14ac:dyDescent="0.25">
      <c r="B367" s="24">
        <v>27</v>
      </c>
      <c r="C367" s="24">
        <v>47.85</v>
      </c>
    </row>
    <row r="368" spans="2:3" x14ac:dyDescent="0.25">
      <c r="B368" s="24">
        <v>22</v>
      </c>
      <c r="C368" s="24">
        <v>47.815</v>
      </c>
    </row>
    <row r="369" spans="2:3" x14ac:dyDescent="0.25">
      <c r="B369" s="24">
        <v>11</v>
      </c>
      <c r="C369" s="24">
        <v>47.6</v>
      </c>
    </row>
    <row r="370" spans="2:3" x14ac:dyDescent="0.25">
      <c r="B370" s="24">
        <v>22</v>
      </c>
      <c r="C370" s="24">
        <v>47.304</v>
      </c>
    </row>
    <row r="371" spans="2:3" x14ac:dyDescent="0.25">
      <c r="B371" s="24">
        <v>24</v>
      </c>
      <c r="C371" s="24">
        <v>47.3</v>
      </c>
    </row>
    <row r="372" spans="2:3" x14ac:dyDescent="0.25">
      <c r="B372" s="24">
        <v>12</v>
      </c>
      <c r="C372" s="24">
        <v>47.3</v>
      </c>
    </row>
    <row r="373" spans="2:3" x14ac:dyDescent="0.25">
      <c r="B373" s="24">
        <v>14</v>
      </c>
      <c r="C373" s="24">
        <v>47</v>
      </c>
    </row>
    <row r="374" spans="2:3" x14ac:dyDescent="0.25">
      <c r="B374" s="24">
        <v>29</v>
      </c>
      <c r="C374" s="24">
        <v>47</v>
      </c>
    </row>
    <row r="375" spans="2:3" x14ac:dyDescent="0.25">
      <c r="B375" s="24">
        <v>25</v>
      </c>
      <c r="C375" s="24">
        <v>46.98</v>
      </c>
    </row>
    <row r="376" spans="2:3" x14ac:dyDescent="0.25">
      <c r="B376" s="24">
        <v>16</v>
      </c>
      <c r="C376" s="24">
        <v>46.75</v>
      </c>
    </row>
    <row r="377" spans="2:3" x14ac:dyDescent="0.25">
      <c r="B377" s="24">
        <v>18</v>
      </c>
      <c r="C377" s="24">
        <v>46.4</v>
      </c>
    </row>
    <row r="378" spans="2:3" x14ac:dyDescent="0.25">
      <c r="B378" s="24">
        <v>23</v>
      </c>
      <c r="C378" s="24">
        <v>46.2</v>
      </c>
    </row>
    <row r="379" spans="2:3" x14ac:dyDescent="0.25">
      <c r="B379" s="24">
        <v>18</v>
      </c>
      <c r="C379" s="24">
        <v>46.2</v>
      </c>
    </row>
    <row r="380" spans="2:3" x14ac:dyDescent="0.25">
      <c r="B380" s="24">
        <v>25</v>
      </c>
      <c r="C380" s="24">
        <v>46.17</v>
      </c>
    </row>
    <row r="381" spans="2:3" x14ac:dyDescent="0.25">
      <c r="B381" s="24">
        <v>22</v>
      </c>
      <c r="C381" s="24">
        <v>46.15</v>
      </c>
    </row>
    <row r="382" spans="2:3" x14ac:dyDescent="0.25">
      <c r="B382" s="24">
        <v>22</v>
      </c>
      <c r="C382" s="24">
        <v>46.15</v>
      </c>
    </row>
    <row r="383" spans="2:3" x14ac:dyDescent="0.25">
      <c r="B383" s="24">
        <v>16</v>
      </c>
      <c r="C383" s="24">
        <v>45.6</v>
      </c>
    </row>
    <row r="384" spans="2:3" x14ac:dyDescent="0.25">
      <c r="B384" s="24">
        <v>30</v>
      </c>
      <c r="C384" s="24">
        <v>45.5</v>
      </c>
    </row>
    <row r="385" spans="2:3" x14ac:dyDescent="0.25">
      <c r="B385" s="24">
        <v>27</v>
      </c>
      <c r="C385" s="24">
        <v>45.414</v>
      </c>
    </row>
    <row r="386" spans="2:3" x14ac:dyDescent="0.25">
      <c r="B386" s="24">
        <v>31</v>
      </c>
      <c r="C386" s="24">
        <v>45</v>
      </c>
    </row>
    <row r="387" spans="2:3" x14ac:dyDescent="0.25">
      <c r="B387" s="24">
        <v>30</v>
      </c>
      <c r="C387" s="24">
        <v>45</v>
      </c>
    </row>
    <row r="388" spans="2:3" x14ac:dyDescent="0.25">
      <c r="B388" s="24">
        <v>31</v>
      </c>
      <c r="C388" s="24">
        <v>45</v>
      </c>
    </row>
    <row r="389" spans="2:3" x14ac:dyDescent="0.25">
      <c r="B389" s="24">
        <v>31</v>
      </c>
      <c r="C389" s="24">
        <v>45</v>
      </c>
    </row>
    <row r="390" spans="2:3" x14ac:dyDescent="0.25">
      <c r="B390" s="24">
        <v>31</v>
      </c>
      <c r="C390" s="24">
        <v>45</v>
      </c>
    </row>
    <row r="391" spans="2:3" x14ac:dyDescent="0.25">
      <c r="B391" s="24">
        <v>30</v>
      </c>
      <c r="C391" s="24">
        <v>45</v>
      </c>
    </row>
    <row r="392" spans="2:3" x14ac:dyDescent="0.25">
      <c r="B392" s="24">
        <v>31</v>
      </c>
      <c r="C392" s="24">
        <v>45</v>
      </c>
    </row>
    <row r="393" spans="2:3" x14ac:dyDescent="0.25">
      <c r="B393" s="24">
        <v>14</v>
      </c>
      <c r="C393" s="24">
        <v>45</v>
      </c>
    </row>
    <row r="394" spans="2:3" x14ac:dyDescent="0.25">
      <c r="B394" s="24">
        <v>31</v>
      </c>
      <c r="C394" s="24">
        <v>45</v>
      </c>
    </row>
    <row r="395" spans="2:3" x14ac:dyDescent="0.25">
      <c r="B395" s="24">
        <v>24</v>
      </c>
      <c r="C395" s="24">
        <v>44.8</v>
      </c>
    </row>
    <row r="396" spans="2:3" x14ac:dyDescent="0.25">
      <c r="B396" s="24">
        <v>8</v>
      </c>
      <c r="C396" s="24">
        <v>44.8</v>
      </c>
    </row>
    <row r="397" spans="2:3" x14ac:dyDescent="0.25">
      <c r="B397" s="24">
        <v>13</v>
      </c>
      <c r="C397" s="24">
        <v>44.52</v>
      </c>
    </row>
    <row r="398" spans="2:3" x14ac:dyDescent="0.25">
      <c r="B398" s="24">
        <v>25</v>
      </c>
      <c r="C398" s="24">
        <v>44.5</v>
      </c>
    </row>
    <row r="399" spans="2:3" x14ac:dyDescent="0.25">
      <c r="B399" s="24">
        <v>11</v>
      </c>
      <c r="C399" s="24">
        <v>44.45</v>
      </c>
    </row>
    <row r="400" spans="2:3" x14ac:dyDescent="0.25">
      <c r="B400" s="24">
        <v>16</v>
      </c>
      <c r="C400" s="24">
        <v>44.356</v>
      </c>
    </row>
    <row r="401" spans="2:3" x14ac:dyDescent="0.25">
      <c r="B401" s="24">
        <v>16</v>
      </c>
      <c r="C401" s="24">
        <v>44.3144</v>
      </c>
    </row>
    <row r="402" spans="2:3" x14ac:dyDescent="0.25">
      <c r="B402" s="24">
        <v>21</v>
      </c>
      <c r="C402" s="24">
        <v>44.03</v>
      </c>
    </row>
    <row r="403" spans="2:3" x14ac:dyDescent="0.25">
      <c r="B403" s="24">
        <v>17</v>
      </c>
      <c r="C403" s="24">
        <v>44</v>
      </c>
    </row>
    <row r="404" spans="2:3" x14ac:dyDescent="0.25">
      <c r="B404" s="24">
        <v>30</v>
      </c>
      <c r="C404" s="24">
        <v>44</v>
      </c>
    </row>
    <row r="405" spans="2:3" x14ac:dyDescent="0.25">
      <c r="B405" s="24">
        <v>16</v>
      </c>
      <c r="C405" s="24">
        <v>44</v>
      </c>
    </row>
    <row r="406" spans="2:3" x14ac:dyDescent="0.25">
      <c r="B406" s="24">
        <v>16</v>
      </c>
      <c r="C406" s="24">
        <v>44</v>
      </c>
    </row>
    <row r="407" spans="2:3" x14ac:dyDescent="0.25">
      <c r="B407" s="24">
        <v>21</v>
      </c>
      <c r="C407" s="24">
        <v>43.86</v>
      </c>
    </row>
    <row r="408" spans="2:3" x14ac:dyDescent="0.25">
      <c r="B408" s="24">
        <v>22</v>
      </c>
      <c r="C408" s="24">
        <v>43.8</v>
      </c>
    </row>
    <row r="409" spans="2:3" x14ac:dyDescent="0.25">
      <c r="B409" s="24">
        <v>20</v>
      </c>
      <c r="C409" s="24">
        <v>43.55</v>
      </c>
    </row>
    <row r="410" spans="2:3" x14ac:dyDescent="0.25">
      <c r="B410" s="24">
        <v>9</v>
      </c>
      <c r="C410" s="24">
        <v>43.5</v>
      </c>
    </row>
    <row r="411" spans="2:3" x14ac:dyDescent="0.25">
      <c r="B411" s="24">
        <v>15</v>
      </c>
      <c r="C411" s="24">
        <v>43.2</v>
      </c>
    </row>
    <row r="412" spans="2:3" x14ac:dyDescent="0.25">
      <c r="B412" s="24">
        <v>5</v>
      </c>
      <c r="C412" s="24">
        <v>43.2</v>
      </c>
    </row>
    <row r="413" spans="2:3" x14ac:dyDescent="0.25">
      <c r="B413" s="24">
        <v>12</v>
      </c>
      <c r="C413" s="24">
        <v>42.9</v>
      </c>
    </row>
    <row r="414" spans="2:3" x14ac:dyDescent="0.25">
      <c r="B414" s="24">
        <v>8</v>
      </c>
      <c r="C414" s="24">
        <v>42.9</v>
      </c>
    </row>
    <row r="415" spans="2:3" x14ac:dyDescent="0.25">
      <c r="B415" s="24">
        <v>12</v>
      </c>
      <c r="C415" s="24">
        <v>42.9</v>
      </c>
    </row>
    <row r="416" spans="2:3" x14ac:dyDescent="0.25">
      <c r="B416" s="24">
        <v>19</v>
      </c>
      <c r="C416" s="24">
        <v>42.7</v>
      </c>
    </row>
    <row r="417" spans="2:3" x14ac:dyDescent="0.25">
      <c r="B417" s="24">
        <v>30</v>
      </c>
      <c r="C417" s="24">
        <v>42.68</v>
      </c>
    </row>
    <row r="418" spans="2:3" x14ac:dyDescent="0.25">
      <c r="B418" s="24">
        <v>16</v>
      </c>
      <c r="C418" s="24">
        <v>42.625</v>
      </c>
    </row>
    <row r="419" spans="2:3" x14ac:dyDescent="0.25">
      <c r="B419" s="24">
        <v>17</v>
      </c>
      <c r="C419" s="24">
        <v>42.625</v>
      </c>
    </row>
    <row r="420" spans="2:3" x14ac:dyDescent="0.25">
      <c r="B420" s="24">
        <v>20</v>
      </c>
      <c r="C420" s="24">
        <v>42.25</v>
      </c>
    </row>
    <row r="421" spans="2:3" x14ac:dyDescent="0.25">
      <c r="B421" s="24">
        <v>21</v>
      </c>
      <c r="C421" s="24">
        <v>42.231</v>
      </c>
    </row>
    <row r="422" spans="2:3" x14ac:dyDescent="0.25">
      <c r="B422" s="24">
        <v>31</v>
      </c>
      <c r="C422" s="24">
        <v>42</v>
      </c>
    </row>
    <row r="423" spans="2:3" x14ac:dyDescent="0.25">
      <c r="B423" s="24">
        <v>31</v>
      </c>
      <c r="C423" s="24">
        <v>42</v>
      </c>
    </row>
    <row r="424" spans="2:3" x14ac:dyDescent="0.25">
      <c r="B424" s="24">
        <v>28</v>
      </c>
      <c r="C424" s="24">
        <v>42</v>
      </c>
    </row>
    <row r="425" spans="2:3" x14ac:dyDescent="0.25">
      <c r="B425" s="24">
        <v>30</v>
      </c>
      <c r="C425" s="24">
        <v>42</v>
      </c>
    </row>
    <row r="426" spans="2:3" x14ac:dyDescent="0.25">
      <c r="B426" s="24">
        <v>31</v>
      </c>
      <c r="C426" s="24">
        <v>42</v>
      </c>
    </row>
    <row r="427" spans="2:3" x14ac:dyDescent="0.25">
      <c r="B427" s="24">
        <v>30</v>
      </c>
      <c r="C427" s="24">
        <v>42</v>
      </c>
    </row>
    <row r="428" spans="2:3" x14ac:dyDescent="0.25">
      <c r="B428" s="24">
        <v>31</v>
      </c>
      <c r="C428" s="24">
        <v>42</v>
      </c>
    </row>
    <row r="429" spans="2:3" x14ac:dyDescent="0.25">
      <c r="B429" s="24">
        <v>31</v>
      </c>
      <c r="C429" s="24">
        <v>42</v>
      </c>
    </row>
    <row r="430" spans="2:3" x14ac:dyDescent="0.25">
      <c r="B430" s="24">
        <v>31</v>
      </c>
      <c r="C430" s="24">
        <v>42</v>
      </c>
    </row>
    <row r="431" spans="2:3" x14ac:dyDescent="0.25">
      <c r="B431" s="24">
        <v>31</v>
      </c>
      <c r="C431" s="24">
        <v>42</v>
      </c>
    </row>
    <row r="432" spans="2:3" x14ac:dyDescent="0.25">
      <c r="B432" s="24">
        <v>31</v>
      </c>
      <c r="C432" s="24">
        <v>42</v>
      </c>
    </row>
    <row r="433" spans="2:3" x14ac:dyDescent="0.25">
      <c r="B433" s="24">
        <v>28</v>
      </c>
      <c r="C433" s="24">
        <v>42</v>
      </c>
    </row>
    <row r="434" spans="2:3" x14ac:dyDescent="0.25">
      <c r="B434" s="24">
        <v>28</v>
      </c>
      <c r="C434" s="24">
        <v>42</v>
      </c>
    </row>
    <row r="435" spans="2:3" x14ac:dyDescent="0.25">
      <c r="B435" s="24">
        <v>31</v>
      </c>
      <c r="C435" s="24">
        <v>42</v>
      </c>
    </row>
    <row r="436" spans="2:3" x14ac:dyDescent="0.25">
      <c r="B436" s="24">
        <v>31</v>
      </c>
      <c r="C436" s="24">
        <v>42</v>
      </c>
    </row>
    <row r="437" spans="2:3" x14ac:dyDescent="0.25">
      <c r="B437" s="24">
        <v>30</v>
      </c>
      <c r="C437" s="24">
        <v>42</v>
      </c>
    </row>
    <row r="438" spans="2:3" x14ac:dyDescent="0.25">
      <c r="B438" s="24">
        <v>28</v>
      </c>
      <c r="C438" s="24">
        <v>42</v>
      </c>
    </row>
    <row r="439" spans="2:3" x14ac:dyDescent="0.25">
      <c r="B439" s="24">
        <v>31</v>
      </c>
      <c r="C439" s="24">
        <v>42</v>
      </c>
    </row>
    <row r="440" spans="2:3" x14ac:dyDescent="0.25">
      <c r="B440" s="24">
        <v>30</v>
      </c>
      <c r="C440" s="24">
        <v>42</v>
      </c>
    </row>
    <row r="441" spans="2:3" x14ac:dyDescent="0.25">
      <c r="B441" s="24">
        <v>30</v>
      </c>
      <c r="C441" s="24">
        <v>42</v>
      </c>
    </row>
    <row r="442" spans="2:3" x14ac:dyDescent="0.25">
      <c r="B442" s="24">
        <v>30</v>
      </c>
      <c r="C442" s="24">
        <v>42</v>
      </c>
    </row>
    <row r="443" spans="2:3" x14ac:dyDescent="0.25">
      <c r="B443" s="24">
        <v>31</v>
      </c>
      <c r="C443" s="24">
        <v>42</v>
      </c>
    </row>
    <row r="444" spans="2:3" x14ac:dyDescent="0.25">
      <c r="B444" s="24">
        <v>31</v>
      </c>
      <c r="C444" s="24">
        <v>42</v>
      </c>
    </row>
    <row r="445" spans="2:3" x14ac:dyDescent="0.25">
      <c r="B445" s="24">
        <v>13</v>
      </c>
      <c r="C445" s="24">
        <v>42</v>
      </c>
    </row>
    <row r="446" spans="2:3" x14ac:dyDescent="0.25">
      <c r="B446" s="24">
        <v>31</v>
      </c>
      <c r="C446" s="24">
        <v>42</v>
      </c>
    </row>
    <row r="447" spans="2:3" x14ac:dyDescent="0.25">
      <c r="B447" s="24">
        <v>13</v>
      </c>
      <c r="C447" s="24">
        <v>42</v>
      </c>
    </row>
    <row r="448" spans="2:3" x14ac:dyDescent="0.25">
      <c r="B448" s="24">
        <v>9</v>
      </c>
      <c r="C448" s="24">
        <v>42</v>
      </c>
    </row>
    <row r="449" spans="2:3" x14ac:dyDescent="0.25">
      <c r="B449" s="24">
        <v>31</v>
      </c>
      <c r="C449" s="24">
        <v>42</v>
      </c>
    </row>
    <row r="450" spans="2:3" x14ac:dyDescent="0.25">
      <c r="B450" s="24">
        <v>26</v>
      </c>
      <c r="C450" s="24">
        <v>41.85</v>
      </c>
    </row>
    <row r="451" spans="2:3" x14ac:dyDescent="0.25">
      <c r="B451" s="24">
        <v>17</v>
      </c>
      <c r="C451" s="24">
        <v>41.8</v>
      </c>
    </row>
    <row r="452" spans="2:3" x14ac:dyDescent="0.25">
      <c r="B452" s="24">
        <v>16</v>
      </c>
      <c r="C452" s="24">
        <v>41.6</v>
      </c>
    </row>
    <row r="453" spans="2:3" x14ac:dyDescent="0.25">
      <c r="B453" s="24">
        <v>8</v>
      </c>
      <c r="C453" s="24">
        <v>41.6</v>
      </c>
    </row>
    <row r="454" spans="2:3" x14ac:dyDescent="0.25">
      <c r="B454" s="24">
        <v>24</v>
      </c>
      <c r="C454" s="24">
        <v>41.6</v>
      </c>
    </row>
    <row r="455" spans="2:3" x14ac:dyDescent="0.25">
      <c r="B455" s="24">
        <v>16</v>
      </c>
      <c r="C455" s="24">
        <v>41.6</v>
      </c>
    </row>
    <row r="456" spans="2:3" x14ac:dyDescent="0.25">
      <c r="B456" s="24">
        <v>25</v>
      </c>
      <c r="C456" s="24">
        <v>41.5</v>
      </c>
    </row>
    <row r="457" spans="2:3" x14ac:dyDescent="0.25">
      <c r="B457" s="24">
        <v>19</v>
      </c>
      <c r="C457" s="24">
        <v>41.48</v>
      </c>
    </row>
    <row r="458" spans="2:3" x14ac:dyDescent="0.25">
      <c r="B458" s="24">
        <v>30</v>
      </c>
      <c r="C458" s="24">
        <v>41</v>
      </c>
    </row>
    <row r="459" spans="2:3" x14ac:dyDescent="0.25">
      <c r="B459" s="24">
        <v>30</v>
      </c>
      <c r="C459" s="24">
        <v>41</v>
      </c>
    </row>
    <row r="460" spans="2:3" x14ac:dyDescent="0.25">
      <c r="B460" s="24">
        <v>31</v>
      </c>
      <c r="C460" s="24">
        <v>41</v>
      </c>
    </row>
    <row r="461" spans="2:3" x14ac:dyDescent="0.25">
      <c r="B461" s="24">
        <v>31</v>
      </c>
      <c r="C461" s="24">
        <v>41</v>
      </c>
    </row>
    <row r="462" spans="2:3" x14ac:dyDescent="0.25">
      <c r="B462" s="24">
        <v>31</v>
      </c>
      <c r="C462" s="24">
        <v>41</v>
      </c>
    </row>
    <row r="463" spans="2:3" x14ac:dyDescent="0.25">
      <c r="B463" s="24">
        <v>24</v>
      </c>
      <c r="C463" s="24">
        <v>40.964</v>
      </c>
    </row>
    <row r="464" spans="2:3" x14ac:dyDescent="0.25">
      <c r="B464" s="24">
        <v>19</v>
      </c>
      <c r="C464" s="24">
        <v>40.95</v>
      </c>
    </row>
    <row r="465" spans="2:5" x14ac:dyDescent="0.25">
      <c r="B465" s="24">
        <v>19</v>
      </c>
      <c r="C465" s="24">
        <v>40.95</v>
      </c>
    </row>
    <row r="466" spans="2:5" x14ac:dyDescent="0.25">
      <c r="B466" s="24">
        <v>28</v>
      </c>
      <c r="C466" s="24">
        <v>40.92</v>
      </c>
    </row>
    <row r="467" spans="2:5" x14ac:dyDescent="0.25">
      <c r="B467" s="24">
        <v>31</v>
      </c>
      <c r="C467" s="24">
        <v>40.9</v>
      </c>
    </row>
    <row r="468" spans="2:5" x14ac:dyDescent="0.25">
      <c r="B468" s="24">
        <v>30</v>
      </c>
      <c r="C468" s="24">
        <v>40.9</v>
      </c>
    </row>
    <row r="469" spans="2:5" x14ac:dyDescent="0.25">
      <c r="B469" s="24">
        <v>5</v>
      </c>
      <c r="C469" s="24">
        <v>40.8</v>
      </c>
    </row>
    <row r="470" spans="2:5" x14ac:dyDescent="0.25">
      <c r="B470" s="24">
        <v>18</v>
      </c>
      <c r="C470" s="24">
        <v>40.8</v>
      </c>
    </row>
    <row r="471" spans="2:5" x14ac:dyDescent="0.25">
      <c r="B471" s="24">
        <v>5</v>
      </c>
      <c r="C471" s="24">
        <v>40.8</v>
      </c>
    </row>
    <row r="472" spans="2:5" x14ac:dyDescent="0.25">
      <c r="B472" s="24">
        <v>12</v>
      </c>
      <c r="C472" s="24">
        <v>40.8</v>
      </c>
    </row>
    <row r="473" spans="2:5" x14ac:dyDescent="0.25">
      <c r="B473" s="24">
        <v>30</v>
      </c>
      <c r="C473" s="24">
        <v>40.7</v>
      </c>
    </row>
    <row r="474" spans="2:5" x14ac:dyDescent="0.25">
      <c r="B474" s="24">
        <v>18</v>
      </c>
      <c r="C474" s="24">
        <v>40.6</v>
      </c>
    </row>
    <row r="476" spans="2:5" ht="19" customHeight="1" x14ac:dyDescent="0.25">
      <c r="B476" s="5" t="s">
        <v>228</v>
      </c>
      <c r="C476" s="5"/>
      <c r="D476" s="5"/>
      <c r="E476" s="5"/>
    </row>
    <row r="477" spans="2:5" x14ac:dyDescent="0.25">
      <c r="B477" s="21" t="s">
        <v>90</v>
      </c>
      <c r="C477" s="22" t="s">
        <v>2</v>
      </c>
      <c r="D477" s="22" t="s">
        <v>3</v>
      </c>
      <c r="E477" s="22" t="s">
        <v>114</v>
      </c>
    </row>
    <row r="478" spans="2:5" x14ac:dyDescent="0.25">
      <c r="B478" s="23">
        <v>2018</v>
      </c>
      <c r="C478" s="24">
        <v>4733.922434999999</v>
      </c>
      <c r="D478" s="24">
        <v>2804.2227625</v>
      </c>
      <c r="E478" s="32">
        <f>C478+D478</f>
        <v>0</v>
      </c>
    </row>
    <row r="479" spans="2:5" x14ac:dyDescent="0.25">
      <c r="B479" s="23">
        <v>2019</v>
      </c>
      <c r="C479" s="24">
        <v>5354.9320875</v>
      </c>
      <c r="D479" s="24">
        <v>4765.7607075</v>
      </c>
      <c r="E479" s="32">
        <f>C479+D479</f>
        <v>0</v>
      </c>
    </row>
    <row r="480" spans="2:5" x14ac:dyDescent="0.25">
      <c r="B480" s="23">
        <v>2020</v>
      </c>
      <c r="C480" s="24">
        <v>6404.1064625</v>
      </c>
      <c r="D480" s="24">
        <v>28239.093225</v>
      </c>
      <c r="E480" s="32">
        <f>C480+D480</f>
        <v>0</v>
      </c>
    </row>
    <row r="481" spans="2:5" x14ac:dyDescent="0.25">
      <c r="B481" s="23">
        <v>2021</v>
      </c>
      <c r="C481" s="24">
        <v>6499.106255</v>
      </c>
      <c r="D481" s="24">
        <v>15875.9128175</v>
      </c>
      <c r="E481" s="32">
        <f>C481+D481</f>
        <v>0</v>
      </c>
    </row>
    <row r="482" spans="2:5" x14ac:dyDescent="0.25">
      <c r="B482" s="23">
        <v>2022</v>
      </c>
      <c r="C482" s="24">
        <v>5682.3477375</v>
      </c>
      <c r="D482" s="24">
        <v>5520.3298425</v>
      </c>
      <c r="E482" s="32">
        <f>C482+D482</f>
        <v>0</v>
      </c>
    </row>
    <row r="483" spans="2:5" x14ac:dyDescent="0.25">
      <c r="B483" s="23">
        <v>2023</v>
      </c>
      <c r="C483" s="24">
        <v>5999.8846225</v>
      </c>
      <c r="D483" s="24">
        <v>5903.8741425</v>
      </c>
      <c r="E483" s="32">
        <f>C483+D483</f>
        <v>0</v>
      </c>
    </row>
    <row r="484" spans="2:5" x14ac:dyDescent="0.25">
      <c r="B484" s="23">
        <v>2024</v>
      </c>
      <c r="C484" s="24">
        <v>4916.37182</v>
      </c>
      <c r="D484" s="24">
        <v>5721.66524</v>
      </c>
      <c r="E484" s="32">
        <f>C484+D484</f>
        <v>0</v>
      </c>
    </row>
    <row r="485" spans="2:5" x14ac:dyDescent="0.25">
      <c r="B485" s="23">
        <v>2025</v>
      </c>
      <c r="C485" s="24">
        <v>4228.280385</v>
      </c>
      <c r="D485" s="24">
        <v>4216.2302825</v>
      </c>
      <c r="E485" s="32">
        <f>C485+D485</f>
        <v>0</v>
      </c>
    </row>
    <row r="486" spans="2:5" x14ac:dyDescent="0.25">
      <c r="B486" s="40">
        <v>2026</v>
      </c>
      <c r="C486" s="34">
        <v>2585.9664675</v>
      </c>
      <c r="D486" s="34">
        <v>2136.9807025</v>
      </c>
      <c r="E486" s="34">
        <f>C486+D486</f>
        <v>0</v>
      </c>
    </row>
    <row r="487" spans="2:5" x14ac:dyDescent="0.25">
      <c r="B487" s="40">
        <v>2027</v>
      </c>
      <c r="C487" s="34">
        <v>3507.6762475</v>
      </c>
      <c r="D487" s="34">
        <v>0</v>
      </c>
      <c r="E487" s="34">
        <f>C487+D487</f>
        <v>0</v>
      </c>
    </row>
  </sheetData>
  <autoFilter ref="B43:H58"/>
  <mergeCells count="10">
    <mergeCell ref="I1:N1"/>
    <mergeCell ref="B2:N2"/>
    <mergeCell ref="B3:N3"/>
    <mergeCell ref="B6:M6"/>
    <mergeCell ref="B26:I26"/>
    <mergeCell ref="B27:I27"/>
    <mergeCell ref="B42:H42"/>
    <mergeCell ref="B60:J60"/>
    <mergeCell ref="B73:G73"/>
    <mergeCell ref="B476:E476"/>
  </mergeCells>
  <conditionalFormatting sqref="E44:E58">
    <cfRule type="dataBar" priority="2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K8:K24">
    <cfRule type="dataBar" priority="1">
      <dataBar>
        <cfvo type="min"/>
        <cfvo type="max"/>
        <color rgb="FFBF9000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7030A0"/>
              <x14:negativeFillColor rgb="FFFF0000"/>
              <x14:negativeBorderColor rgb="FFFF0000"/>
              <x14:axisColor rgb="FF000000"/>
            </x14:dataBar>
          </x14:cfRule>
          <xm:sqref>E44:E58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autoMin"/>
              <x14:cfvo type="autoMax"/>
              <x14:borderColor rgb="FFBF9000"/>
              <x14:negativeFillColor rgb="FFFF0000"/>
              <x14:negativeBorderColor rgb="FFFF0000"/>
              <x14:axisColor rgb="FF000000"/>
            </x14:dataBar>
          </x14:cfRule>
          <xm:sqref>K8:K24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3C0C"/>
    <pageSetUpPr fitToPage="1"/>
  </sheetPr>
  <dimension ref="B1:O89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7109375" customWidth="1"/>
    <col min="2" max="2" width="27.7109375" customWidth="1"/>
    <col min="3" max="3" width="20.7109375" customWidth="1"/>
    <col min="4" max="14" width="7.7109375" customWidth="1"/>
    <col min="15" max="15" width="8.7109375" customWidth="1"/>
  </cols>
  <sheetData>
    <row r="1" spans="2:15" x14ac:dyDescent="0.25">
      <c r="B1" s="9" t="s">
        <v>77</v>
      </c>
      <c r="J1" s="14" t="s">
        <v>78</v>
      </c>
      <c r="K1" s="14"/>
      <c r="L1" s="14"/>
      <c r="M1" s="14"/>
      <c r="N1" s="14"/>
      <c r="O1" s="14"/>
    </row>
    <row r="2" spans="2:15" x14ac:dyDescent="0.25">
      <c r="B2" s="1" t="s">
        <v>229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2" t="s">
        <v>230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6" spans="2:15" ht="19" customHeight="1" x14ac:dyDescent="0.25">
      <c r="B6" s="47" t="s">
        <v>231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2:15" x14ac:dyDescent="0.25">
      <c r="B7" s="21" t="s">
        <v>232</v>
      </c>
      <c r="C7" s="22" t="s">
        <v>92</v>
      </c>
      <c r="D7" s="22" t="s">
        <v>93</v>
      </c>
      <c r="E7" s="22" t="s">
        <v>94</v>
      </c>
      <c r="F7" s="22" t="s">
        <v>95</v>
      </c>
      <c r="G7" s="22" t="s">
        <v>96</v>
      </c>
      <c r="H7" s="22" t="s">
        <v>97</v>
      </c>
      <c r="I7" s="22" t="s">
        <v>98</v>
      </c>
      <c r="J7" s="22" t="s">
        <v>99</v>
      </c>
      <c r="K7" s="22" t="s">
        <v>100</v>
      </c>
      <c r="L7" s="22" t="s">
        <v>101</v>
      </c>
      <c r="M7" s="22" t="s">
        <v>102</v>
      </c>
      <c r="N7" s="22" t="s">
        <v>103</v>
      </c>
    </row>
    <row r="8" spans="2:15" x14ac:dyDescent="0.25">
      <c r="B8" s="25" t="s">
        <v>233</v>
      </c>
      <c r="C8" s="48">
        <v>92.40000000000001</v>
      </c>
      <c r="D8" s="48">
        <v>19.8</v>
      </c>
      <c r="E8" s="48">
        <v>110</v>
      </c>
      <c r="F8" s="48">
        <v>40.7</v>
      </c>
      <c r="G8" s="48">
        <v>52.8</v>
      </c>
      <c r="H8" s="48">
        <v>69.3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</row>
    <row r="9" spans="2:15" x14ac:dyDescent="0.25">
      <c r="B9" s="25" t="s">
        <v>234</v>
      </c>
      <c r="C9" s="48">
        <v>0</v>
      </c>
      <c r="D9" s="48">
        <v>19.8</v>
      </c>
      <c r="E9" s="48">
        <v>55.33</v>
      </c>
      <c r="F9" s="48">
        <v>0</v>
      </c>
      <c r="G9" s="48">
        <v>0</v>
      </c>
      <c r="H9" s="48">
        <v>0</v>
      </c>
      <c r="I9" s="48">
        <v>42.9</v>
      </c>
      <c r="J9" s="48">
        <v>17.6</v>
      </c>
      <c r="K9" s="48">
        <v>0</v>
      </c>
      <c r="L9" s="48">
        <v>0</v>
      </c>
      <c r="M9" s="48">
        <v>0</v>
      </c>
      <c r="N9" s="48">
        <v>0</v>
      </c>
    </row>
    <row r="10" spans="2:15" x14ac:dyDescent="0.25">
      <c r="B10" s="25" t="s">
        <v>235</v>
      </c>
      <c r="C10" s="48">
        <v>28.6</v>
      </c>
      <c r="D10" s="48">
        <v>110</v>
      </c>
      <c r="E10" s="48">
        <v>0</v>
      </c>
      <c r="F10" s="48">
        <v>0</v>
      </c>
      <c r="G10" s="48">
        <v>6.4</v>
      </c>
      <c r="H10" s="48">
        <v>8</v>
      </c>
      <c r="I10" s="48">
        <v>12.64</v>
      </c>
      <c r="J10" s="48">
        <v>0</v>
      </c>
      <c r="K10" s="48">
        <v>11</v>
      </c>
      <c r="L10" s="48">
        <v>0</v>
      </c>
      <c r="M10" s="48">
        <v>0</v>
      </c>
      <c r="N10" s="48">
        <v>0</v>
      </c>
    </row>
    <row r="11" spans="2:15" x14ac:dyDescent="0.25">
      <c r="B11" s="25" t="s">
        <v>236</v>
      </c>
      <c r="C11" s="48">
        <v>0</v>
      </c>
      <c r="D11" s="48">
        <v>0</v>
      </c>
      <c r="E11" s="48">
        <v>17.6</v>
      </c>
      <c r="F11" s="48">
        <v>7.7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</row>
    <row r="12" spans="2:15" x14ac:dyDescent="0.25">
      <c r="B12" s="25" t="s">
        <v>237</v>
      </c>
      <c r="C12" s="48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2.7</v>
      </c>
      <c r="M12" s="48">
        <v>15.3</v>
      </c>
      <c r="N12" s="48">
        <v>0</v>
      </c>
    </row>
    <row r="13" spans="2:15" x14ac:dyDescent="0.25">
      <c r="B13" s="25" t="s">
        <v>238</v>
      </c>
      <c r="C13" s="48">
        <v>5.4</v>
      </c>
      <c r="D13" s="48">
        <v>90</v>
      </c>
      <c r="E13" s="48">
        <v>37.8</v>
      </c>
      <c r="F13" s="48">
        <v>0</v>
      </c>
      <c r="G13" s="48">
        <v>0</v>
      </c>
      <c r="H13" s="48">
        <v>6.3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</row>
    <row r="14" spans="2:15" x14ac:dyDescent="0.25">
      <c r="B14" s="25" t="s">
        <v>239</v>
      </c>
      <c r="C14" s="48">
        <v>1.3</v>
      </c>
      <c r="D14" s="48">
        <v>0</v>
      </c>
      <c r="E14" s="48">
        <v>0</v>
      </c>
      <c r="F14" s="48">
        <v>0</v>
      </c>
      <c r="G14" s="48">
        <v>16.25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</row>
    <row r="15" spans="2:15" x14ac:dyDescent="0.25">
      <c r="B15" s="25" t="s">
        <v>240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38.4</v>
      </c>
    </row>
    <row r="16" spans="2:15" x14ac:dyDescent="0.25">
      <c r="B16" s="25" t="s">
        <v>241</v>
      </c>
      <c r="C16" s="48">
        <v>104.4</v>
      </c>
      <c r="D16" s="48">
        <v>68.40000000000001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2.04</v>
      </c>
      <c r="L16" s="48">
        <v>0</v>
      </c>
      <c r="M16" s="48">
        <v>0</v>
      </c>
      <c r="N16" s="48">
        <v>0</v>
      </c>
    </row>
    <row r="17" spans="2:14" x14ac:dyDescent="0.25">
      <c r="B17" s="25" t="s">
        <v>242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60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</row>
    <row r="18" spans="2:14" x14ac:dyDescent="0.25">
      <c r="B18" s="25" t="s">
        <v>243</v>
      </c>
      <c r="C18" s="48">
        <v>0</v>
      </c>
      <c r="D18" s="48">
        <v>0</v>
      </c>
      <c r="E18" s="48">
        <v>0</v>
      </c>
      <c r="F18" s="48">
        <v>0</v>
      </c>
      <c r="G18" s="48">
        <v>15.6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</row>
    <row r="19" spans="2:14" x14ac:dyDescent="0.25">
      <c r="B19" s="25" t="s">
        <v>244</v>
      </c>
      <c r="C19" s="48">
        <v>0</v>
      </c>
      <c r="D19" s="48">
        <v>0</v>
      </c>
      <c r="E19" s="48">
        <v>0</v>
      </c>
      <c r="F19" s="48">
        <v>28.46</v>
      </c>
      <c r="G19" s="48">
        <v>0</v>
      </c>
      <c r="H19" s="48">
        <v>0</v>
      </c>
      <c r="I19" s="48">
        <v>0</v>
      </c>
      <c r="J19" s="48">
        <v>0</v>
      </c>
      <c r="K19" s="48">
        <v>0</v>
      </c>
      <c r="L19" s="48">
        <v>0</v>
      </c>
      <c r="M19" s="48">
        <v>0</v>
      </c>
      <c r="N19" s="48">
        <v>0</v>
      </c>
    </row>
    <row r="20" spans="2:14" x14ac:dyDescent="0.25">
      <c r="B20" s="25" t="s">
        <v>245</v>
      </c>
      <c r="C20" s="48">
        <v>0</v>
      </c>
      <c r="D20" s="48">
        <v>0</v>
      </c>
      <c r="E20" s="48">
        <v>34.3</v>
      </c>
      <c r="F20" s="48">
        <v>61.74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</row>
    <row r="21" spans="2:14" x14ac:dyDescent="0.25">
      <c r="B21" s="25" t="s">
        <v>246</v>
      </c>
      <c r="C21" s="48">
        <v>0</v>
      </c>
      <c r="D21" s="48">
        <v>0</v>
      </c>
      <c r="E21" s="48">
        <v>0</v>
      </c>
      <c r="F21" s="48">
        <v>98</v>
      </c>
      <c r="G21" s="48">
        <v>66.64</v>
      </c>
      <c r="H21" s="48">
        <v>0</v>
      </c>
      <c r="I21" s="48">
        <v>53.9</v>
      </c>
      <c r="J21" s="48">
        <v>31.36</v>
      </c>
      <c r="K21" s="48">
        <v>0</v>
      </c>
      <c r="L21" s="48">
        <v>2.94</v>
      </c>
      <c r="M21" s="48">
        <v>0</v>
      </c>
      <c r="N21" s="48">
        <v>0</v>
      </c>
    </row>
    <row r="22" spans="2:14" x14ac:dyDescent="0.25">
      <c r="B22" s="25" t="s">
        <v>247</v>
      </c>
      <c r="C22" s="48">
        <v>0</v>
      </c>
      <c r="D22" s="48">
        <v>16.34</v>
      </c>
      <c r="E22" s="48">
        <v>16.8</v>
      </c>
      <c r="F22" s="48">
        <v>15.4</v>
      </c>
      <c r="G22" s="48">
        <v>9.31</v>
      </c>
      <c r="H22" s="48">
        <v>0</v>
      </c>
      <c r="I22" s="48">
        <v>0</v>
      </c>
      <c r="J22" s="48">
        <v>0</v>
      </c>
      <c r="K22" s="48">
        <v>0</v>
      </c>
      <c r="L22" s="48">
        <v>9.800000000000001</v>
      </c>
      <c r="M22" s="48">
        <v>0</v>
      </c>
      <c r="N22" s="48">
        <v>0</v>
      </c>
    </row>
    <row r="23" spans="2:14" x14ac:dyDescent="0.25">
      <c r="B23" s="25" t="s">
        <v>248</v>
      </c>
      <c r="C23" s="48">
        <v>0</v>
      </c>
      <c r="D23" s="48">
        <v>17.5</v>
      </c>
      <c r="E23" s="48">
        <v>25</v>
      </c>
      <c r="F23" s="48">
        <v>17.74</v>
      </c>
      <c r="G23" s="48">
        <v>38.22</v>
      </c>
      <c r="H23" s="48">
        <v>18.9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</row>
    <row r="25" spans="2:14" ht="19" customHeight="1" x14ac:dyDescent="0.25">
      <c r="B25" s="47" t="s">
        <v>249</v>
      </c>
      <c r="C25" s="47"/>
      <c r="D25" s="47"/>
      <c r="E25" s="47"/>
      <c r="F25" s="47"/>
      <c r="G25" s="47"/>
      <c r="H25" s="47"/>
      <c r="I25" s="47"/>
    </row>
    <row r="26" spans="2:14" x14ac:dyDescent="0.25">
      <c r="B26" s="21" t="s">
        <v>185</v>
      </c>
      <c r="C26" s="22" t="s">
        <v>60</v>
      </c>
      <c r="D26" s="22" t="s">
        <v>90</v>
      </c>
      <c r="E26" s="22" t="s">
        <v>250</v>
      </c>
      <c r="F26" s="22" t="s">
        <v>251</v>
      </c>
      <c r="G26" s="22" t="s">
        <v>13</v>
      </c>
      <c r="H26" s="22" t="s">
        <v>252</v>
      </c>
    </row>
    <row r="27" spans="2:14" x14ac:dyDescent="0.25">
      <c r="B27" s="25" t="s">
        <v>204</v>
      </c>
      <c r="C27" s="25" t="s">
        <v>6</v>
      </c>
      <c r="D27" s="23">
        <v>2022</v>
      </c>
      <c r="E27" s="25" t="s">
        <v>253</v>
      </c>
      <c r="F27" s="24">
        <v>6</v>
      </c>
      <c r="G27" s="24">
        <v>385</v>
      </c>
      <c r="H27" s="39">
        <v>0.5571428571428572</v>
      </c>
    </row>
    <row r="28" spans="2:14" x14ac:dyDescent="0.25">
      <c r="B28" s="25" t="s">
        <v>200</v>
      </c>
      <c r="C28" s="25" t="s">
        <v>6</v>
      </c>
      <c r="D28" s="23">
        <v>2019</v>
      </c>
      <c r="E28" s="25" t="s">
        <v>254</v>
      </c>
      <c r="F28" s="24">
        <v>6</v>
      </c>
      <c r="G28" s="24">
        <v>218.54</v>
      </c>
      <c r="H28" s="39">
        <v>0.8229157133705501</v>
      </c>
    </row>
    <row r="29" spans="2:14" x14ac:dyDescent="0.25">
      <c r="B29" s="25" t="s">
        <v>207</v>
      </c>
      <c r="C29" s="25" t="s">
        <v>5</v>
      </c>
      <c r="D29" s="40">
        <v>2026</v>
      </c>
      <c r="E29" s="25" t="s">
        <v>255</v>
      </c>
      <c r="F29" s="24">
        <v>5</v>
      </c>
      <c r="G29" s="24">
        <v>117.36</v>
      </c>
      <c r="H29" s="39">
        <v>0.7443762781186092</v>
      </c>
    </row>
    <row r="30" spans="2:14" x14ac:dyDescent="0.25">
      <c r="B30" s="25" t="s">
        <v>204</v>
      </c>
      <c r="C30" s="25" t="s">
        <v>6</v>
      </c>
      <c r="D30" s="23">
        <v>2015</v>
      </c>
      <c r="E30" s="25" t="s">
        <v>256</v>
      </c>
      <c r="F30" s="24">
        <v>4</v>
      </c>
      <c r="G30" s="24">
        <v>320.1</v>
      </c>
      <c r="H30" s="39">
        <v>0.2783505154639175</v>
      </c>
    </row>
    <row r="31" spans="2:14" x14ac:dyDescent="0.25">
      <c r="B31" s="25" t="s">
        <v>202</v>
      </c>
      <c r="C31" s="25" t="s">
        <v>6</v>
      </c>
      <c r="D31" s="23">
        <v>2014</v>
      </c>
      <c r="E31" s="25" t="s">
        <v>257</v>
      </c>
      <c r="F31" s="24">
        <v>4</v>
      </c>
      <c r="G31" s="24">
        <v>294</v>
      </c>
      <c r="H31" s="39">
        <v>1</v>
      </c>
    </row>
    <row r="32" spans="2:14" x14ac:dyDescent="0.25">
      <c r="B32" s="25" t="s">
        <v>200</v>
      </c>
      <c r="C32" s="25" t="s">
        <v>6</v>
      </c>
      <c r="D32" s="23">
        <v>2014</v>
      </c>
      <c r="E32" s="25" t="s">
        <v>258</v>
      </c>
      <c r="F32" s="24">
        <v>4</v>
      </c>
      <c r="G32" s="24">
        <v>290</v>
      </c>
      <c r="H32" s="39">
        <v>1</v>
      </c>
    </row>
    <row r="33" spans="2:9" x14ac:dyDescent="0.25">
      <c r="B33" s="25" t="s">
        <v>200</v>
      </c>
      <c r="C33" s="25" t="s">
        <v>6</v>
      </c>
      <c r="D33" s="23">
        <v>2017</v>
      </c>
      <c r="E33" s="25" t="s">
        <v>259</v>
      </c>
      <c r="F33" s="24">
        <v>4</v>
      </c>
      <c r="G33" s="24">
        <v>263.775</v>
      </c>
      <c r="H33" s="39">
        <v>0.007108330963889679</v>
      </c>
    </row>
    <row r="34" spans="2:9" x14ac:dyDescent="0.25">
      <c r="B34" s="25" t="s">
        <v>207</v>
      </c>
      <c r="C34" s="25" t="s">
        <v>5</v>
      </c>
      <c r="D34" s="23">
        <v>2019</v>
      </c>
      <c r="E34" s="25" t="s">
        <v>260</v>
      </c>
      <c r="F34" s="24">
        <v>4</v>
      </c>
      <c r="G34" s="24">
        <v>263.62</v>
      </c>
      <c r="H34" s="39">
        <v>0.02230483271375465</v>
      </c>
    </row>
    <row r="35" spans="2:9" x14ac:dyDescent="0.25">
      <c r="B35" s="25" t="s">
        <v>207</v>
      </c>
      <c r="C35" s="25" t="s">
        <v>5</v>
      </c>
      <c r="D35" s="23">
        <v>2025</v>
      </c>
      <c r="E35" s="25" t="s">
        <v>261</v>
      </c>
      <c r="F35" s="24">
        <v>4</v>
      </c>
      <c r="G35" s="24">
        <v>57.84999999999999</v>
      </c>
      <c r="H35" s="39">
        <v>0.4433880726015558</v>
      </c>
    </row>
    <row r="36" spans="2:9" x14ac:dyDescent="0.25">
      <c r="B36" s="25" t="s">
        <v>204</v>
      </c>
      <c r="C36" s="25" t="s">
        <v>6</v>
      </c>
      <c r="D36" s="23">
        <v>2017</v>
      </c>
      <c r="E36" s="25" t="s">
        <v>262</v>
      </c>
      <c r="F36" s="24">
        <v>3</v>
      </c>
      <c r="G36" s="24">
        <v>383.9</v>
      </c>
      <c r="H36" s="39">
        <v>0</v>
      </c>
    </row>
    <row r="37" spans="2:9" x14ac:dyDescent="0.25">
      <c r="B37" s="25" t="s">
        <v>204</v>
      </c>
      <c r="C37" s="25" t="s">
        <v>6</v>
      </c>
      <c r="D37" s="23">
        <v>2011</v>
      </c>
      <c r="E37" s="25" t="s">
        <v>263</v>
      </c>
      <c r="F37" s="24">
        <v>3</v>
      </c>
      <c r="G37" s="24">
        <v>214.83</v>
      </c>
      <c r="H37" s="39">
        <v>1</v>
      </c>
    </row>
    <row r="38" spans="2:9" x14ac:dyDescent="0.25">
      <c r="B38" s="25" t="s">
        <v>200</v>
      </c>
      <c r="C38" s="25" t="s">
        <v>6</v>
      </c>
      <c r="D38" s="40">
        <v>2027</v>
      </c>
      <c r="E38" s="25" t="s">
        <v>263</v>
      </c>
      <c r="F38" s="24">
        <v>3</v>
      </c>
      <c r="G38" s="24">
        <v>210</v>
      </c>
      <c r="H38" s="39">
        <v>0</v>
      </c>
    </row>
    <row r="39" spans="2:9" x14ac:dyDescent="0.25">
      <c r="B39" s="25" t="s">
        <v>200</v>
      </c>
      <c r="C39" s="25" t="s">
        <v>6</v>
      </c>
      <c r="D39" s="23">
        <v>2018</v>
      </c>
      <c r="E39" s="25" t="s">
        <v>264</v>
      </c>
      <c r="F39" s="24">
        <v>3</v>
      </c>
      <c r="G39" s="24">
        <v>207.1875</v>
      </c>
      <c r="H39" s="39">
        <v>1</v>
      </c>
    </row>
    <row r="40" spans="2:9" x14ac:dyDescent="0.25">
      <c r="B40" s="25" t="s">
        <v>207</v>
      </c>
      <c r="C40" s="25" t="s">
        <v>5</v>
      </c>
      <c r="D40" s="23">
        <v>2013</v>
      </c>
      <c r="E40" s="25" t="s">
        <v>265</v>
      </c>
      <c r="F40" s="24">
        <v>3</v>
      </c>
      <c r="G40" s="24">
        <v>179.55</v>
      </c>
      <c r="H40" s="39">
        <v>1</v>
      </c>
    </row>
    <row r="41" spans="2:9" x14ac:dyDescent="0.25">
      <c r="B41" s="25" t="s">
        <v>202</v>
      </c>
      <c r="C41" s="25" t="s">
        <v>6</v>
      </c>
      <c r="D41" s="23">
        <v>2015</v>
      </c>
      <c r="E41" s="25" t="s">
        <v>266</v>
      </c>
      <c r="F41" s="24">
        <v>3</v>
      </c>
      <c r="G41" s="24">
        <v>178.8</v>
      </c>
      <c r="H41" s="39">
        <v>0.2214765100671141</v>
      </c>
    </row>
    <row r="42" spans="2:9" x14ac:dyDescent="0.25">
      <c r="B42" s="25" t="s">
        <v>200</v>
      </c>
      <c r="C42" s="25" t="s">
        <v>6</v>
      </c>
      <c r="D42" s="23">
        <v>2023</v>
      </c>
      <c r="E42" s="25" t="s">
        <v>262</v>
      </c>
      <c r="F42" s="24">
        <v>3</v>
      </c>
      <c r="G42" s="24">
        <v>133.2</v>
      </c>
      <c r="H42" s="39">
        <v>0</v>
      </c>
    </row>
    <row r="43" spans="2:9" x14ac:dyDescent="0.25">
      <c r="B43" s="25" t="s">
        <v>207</v>
      </c>
      <c r="C43" s="25" t="s">
        <v>5</v>
      </c>
      <c r="D43" s="23">
        <v>2017</v>
      </c>
      <c r="E43" s="25" t="s">
        <v>264</v>
      </c>
      <c r="F43" s="24">
        <v>3</v>
      </c>
      <c r="G43" s="24">
        <v>54.88000000000001</v>
      </c>
      <c r="H43" s="39">
        <v>1</v>
      </c>
    </row>
    <row r="44" spans="2:9" x14ac:dyDescent="0.25">
      <c r="B44" s="25" t="s">
        <v>204</v>
      </c>
      <c r="C44" s="25" t="s">
        <v>6</v>
      </c>
      <c r="D44" s="23">
        <v>2024</v>
      </c>
      <c r="E44" s="25" t="s">
        <v>264</v>
      </c>
      <c r="F44" s="24">
        <v>3</v>
      </c>
      <c r="G44" s="24">
        <v>27.04</v>
      </c>
      <c r="H44" s="39">
        <v>1</v>
      </c>
    </row>
    <row r="46" spans="2:9" ht="19" customHeight="1" x14ac:dyDescent="0.25">
      <c r="B46" s="8" t="s">
        <v>267</v>
      </c>
      <c r="C46" s="8"/>
      <c r="D46" s="8"/>
      <c r="E46" s="8"/>
      <c r="F46" s="8"/>
      <c r="G46" s="8"/>
      <c r="H46" s="8"/>
      <c r="I46" s="8"/>
    </row>
    <row r="47" spans="2:9" x14ac:dyDescent="0.25">
      <c r="B47" s="21" t="s">
        <v>186</v>
      </c>
      <c r="C47" s="21" t="s">
        <v>185</v>
      </c>
      <c r="D47" s="21" t="s">
        <v>268</v>
      </c>
      <c r="E47" s="22" t="s">
        <v>269</v>
      </c>
      <c r="F47" s="22" t="s">
        <v>270</v>
      </c>
      <c r="G47" s="22" t="s">
        <v>271</v>
      </c>
      <c r="H47" s="22" t="s">
        <v>272</v>
      </c>
    </row>
    <row r="48" spans="2:9" x14ac:dyDescent="0.25">
      <c r="B48" s="25" t="s">
        <v>190</v>
      </c>
      <c r="C48" s="25" t="s">
        <v>273</v>
      </c>
      <c r="D48" s="25" t="s">
        <v>164</v>
      </c>
      <c r="E48" s="24">
        <v>43.12</v>
      </c>
      <c r="F48" s="39">
        <v>0.008749010587743394</v>
      </c>
      <c r="G48" s="49">
        <v>46024</v>
      </c>
      <c r="H48" s="49">
        <v>46047</v>
      </c>
    </row>
    <row r="49" spans="2:9" x14ac:dyDescent="0.25">
      <c r="B49" s="50" t="s">
        <v>198</v>
      </c>
      <c r="C49" s="50" t="s">
        <v>274</v>
      </c>
      <c r="D49" s="50" t="s">
        <v>170</v>
      </c>
      <c r="E49" s="43">
        <v>33.55</v>
      </c>
      <c r="F49" s="39">
        <v>0.006807265890973814</v>
      </c>
      <c r="G49" s="51">
        <v>46029</v>
      </c>
      <c r="H49" s="51">
        <v>46047</v>
      </c>
    </row>
    <row r="50" spans="2:9" x14ac:dyDescent="0.25">
      <c r="B50" s="25" t="s">
        <v>188</v>
      </c>
      <c r="C50" s="25" t="s">
        <v>275</v>
      </c>
      <c r="D50" s="25" t="s">
        <v>165</v>
      </c>
      <c r="E50" s="24">
        <v>23.12</v>
      </c>
      <c r="F50" s="39">
        <v>0.004691027940367052</v>
      </c>
      <c r="G50" s="49">
        <v>46030</v>
      </c>
      <c r="H50" s="49">
        <v>46050</v>
      </c>
    </row>
    <row r="51" spans="2:9" x14ac:dyDescent="0.25">
      <c r="B51" s="50" t="s">
        <v>188</v>
      </c>
      <c r="C51" s="50" t="s">
        <v>275</v>
      </c>
      <c r="D51" s="50" t="s">
        <v>165</v>
      </c>
      <c r="E51" s="43">
        <v>34</v>
      </c>
      <c r="F51" s="39">
        <v>0.006898570500539782</v>
      </c>
      <c r="G51" s="51">
        <v>46030</v>
      </c>
      <c r="H51" s="51">
        <v>46050</v>
      </c>
    </row>
    <row r="52" spans="2:9" x14ac:dyDescent="0.25">
      <c r="B52" s="25" t="s">
        <v>188</v>
      </c>
      <c r="C52" s="25" t="s">
        <v>275</v>
      </c>
      <c r="D52" s="25" t="s">
        <v>165</v>
      </c>
      <c r="E52" s="24">
        <v>49.64</v>
      </c>
      <c r="F52" s="39">
        <v>0.01007191293078808</v>
      </c>
      <c r="G52" s="49">
        <v>46030</v>
      </c>
      <c r="H52" s="49">
        <v>46050</v>
      </c>
    </row>
    <row r="53" spans="2:9" x14ac:dyDescent="0.25">
      <c r="B53" s="50" t="s">
        <v>190</v>
      </c>
      <c r="C53" s="50" t="s">
        <v>189</v>
      </c>
      <c r="D53" s="50" t="s">
        <v>166</v>
      </c>
      <c r="E53" s="43">
        <v>90.53333333333332</v>
      </c>
      <c r="F53" s="39">
        <v>0.01836913478379024</v>
      </c>
      <c r="G53" s="51">
        <v>46033</v>
      </c>
      <c r="H53" s="51">
        <v>46089</v>
      </c>
    </row>
    <row r="54" spans="2:9" x14ac:dyDescent="0.25">
      <c r="B54" s="25" t="s">
        <v>198</v>
      </c>
      <c r="C54" s="25" t="s">
        <v>276</v>
      </c>
      <c r="D54" s="25" t="s">
        <v>166</v>
      </c>
      <c r="E54" s="24">
        <v>37.05</v>
      </c>
      <c r="F54" s="39">
        <v>0.007517412854264675</v>
      </c>
      <c r="G54" s="49">
        <v>46035</v>
      </c>
      <c r="H54" s="49">
        <v>46084</v>
      </c>
    </row>
    <row r="55" spans="2:9" x14ac:dyDescent="0.25">
      <c r="B55" s="50" t="s">
        <v>277</v>
      </c>
      <c r="C55" s="50" t="s">
        <v>278</v>
      </c>
      <c r="D55" s="50" t="s">
        <v>166</v>
      </c>
      <c r="E55" s="43">
        <v>38.5</v>
      </c>
      <c r="F55" s="39">
        <v>0.007811616596199459</v>
      </c>
      <c r="G55" s="51">
        <v>46036</v>
      </c>
      <c r="H55" s="51">
        <v>46076</v>
      </c>
    </row>
    <row r="56" spans="2:9" x14ac:dyDescent="0.25">
      <c r="B56" s="25" t="s">
        <v>190</v>
      </c>
      <c r="C56" s="25" t="s">
        <v>199</v>
      </c>
      <c r="D56" s="25" t="s">
        <v>164</v>
      </c>
      <c r="E56" s="24">
        <v>63</v>
      </c>
      <c r="F56" s="39">
        <v>0.01278264533923548</v>
      </c>
      <c r="G56" s="49">
        <v>46037</v>
      </c>
      <c r="H56" s="49">
        <v>46073</v>
      </c>
    </row>
    <row r="57" spans="2:9" x14ac:dyDescent="0.25">
      <c r="B57" s="50" t="s">
        <v>198</v>
      </c>
      <c r="C57" s="50" t="s">
        <v>279</v>
      </c>
      <c r="D57" s="50" t="s">
        <v>167</v>
      </c>
      <c r="E57" s="43">
        <v>25.2</v>
      </c>
      <c r="F57" s="39">
        <v>0.005113058135694191</v>
      </c>
      <c r="G57" s="51">
        <v>46038</v>
      </c>
      <c r="H57" s="51">
        <v>46086</v>
      </c>
    </row>
    <row r="58" spans="2:9" x14ac:dyDescent="0.25">
      <c r="B58" s="25" t="s">
        <v>198</v>
      </c>
      <c r="C58" s="25" t="s">
        <v>279</v>
      </c>
      <c r="D58" s="25" t="s">
        <v>164</v>
      </c>
      <c r="E58" s="24">
        <v>29.68</v>
      </c>
      <c r="F58" s="39">
        <v>0.006022046248706493</v>
      </c>
      <c r="G58" s="49">
        <v>46038</v>
      </c>
      <c r="H58" s="49">
        <v>46086</v>
      </c>
    </row>
    <row r="59" spans="2:9" x14ac:dyDescent="0.25">
      <c r="B59" s="50" t="s">
        <v>198</v>
      </c>
      <c r="C59" s="50" t="s">
        <v>279</v>
      </c>
      <c r="D59" s="50" t="s">
        <v>167</v>
      </c>
      <c r="E59" s="43">
        <v>39.2</v>
      </c>
      <c r="F59" s="39">
        <v>0.007953645988857632</v>
      </c>
      <c r="G59" s="51">
        <v>46038</v>
      </c>
      <c r="H59" s="51">
        <v>46086</v>
      </c>
    </row>
    <row r="61" spans="2:9" ht="19" customHeight="1" x14ac:dyDescent="0.25">
      <c r="B61" s="8" t="s">
        <v>280</v>
      </c>
      <c r="C61" s="8"/>
      <c r="D61" s="8"/>
      <c r="E61" s="8"/>
      <c r="F61" s="8"/>
      <c r="G61" s="8"/>
      <c r="H61" s="8"/>
      <c r="I61" s="8"/>
    </row>
    <row r="62" spans="2:9" x14ac:dyDescent="0.25">
      <c r="B62" s="21" t="s">
        <v>186</v>
      </c>
      <c r="C62" s="21" t="s">
        <v>185</v>
      </c>
      <c r="D62" s="21" t="s">
        <v>268</v>
      </c>
      <c r="E62" s="22" t="s">
        <v>269</v>
      </c>
      <c r="F62" s="22" t="s">
        <v>270</v>
      </c>
      <c r="G62" s="22" t="s">
        <v>271</v>
      </c>
      <c r="H62" s="22" t="s">
        <v>272</v>
      </c>
    </row>
    <row r="63" spans="2:9" x14ac:dyDescent="0.25">
      <c r="B63" s="25" t="s">
        <v>281</v>
      </c>
      <c r="C63" s="25" t="s">
        <v>282</v>
      </c>
      <c r="D63" s="25" t="s">
        <v>166</v>
      </c>
      <c r="E63" s="24">
        <v>33.32</v>
      </c>
      <c r="F63" s="39">
        <v>0.007190881651295762</v>
      </c>
      <c r="G63" s="49">
        <v>46074</v>
      </c>
      <c r="H63" s="49">
        <v>46093</v>
      </c>
    </row>
    <row r="64" spans="2:9" x14ac:dyDescent="0.25">
      <c r="B64" s="50" t="s">
        <v>188</v>
      </c>
      <c r="C64" s="50" t="s">
        <v>203</v>
      </c>
      <c r="D64" s="50" t="s">
        <v>169</v>
      </c>
      <c r="E64" s="43">
        <v>41.4375</v>
      </c>
      <c r="F64" s="39">
        <v>0.008942741849506847</v>
      </c>
      <c r="G64" s="51">
        <v>46074</v>
      </c>
      <c r="H64" s="51">
        <v>46150</v>
      </c>
    </row>
    <row r="65" spans="2:9" x14ac:dyDescent="0.25">
      <c r="B65" s="25" t="s">
        <v>281</v>
      </c>
      <c r="C65" s="25" t="s">
        <v>282</v>
      </c>
      <c r="D65" s="25" t="s">
        <v>164</v>
      </c>
      <c r="E65" s="24">
        <v>54.4</v>
      </c>
      <c r="F65" s="39">
        <v>0.01174021494089104</v>
      </c>
      <c r="G65" s="49">
        <v>46074</v>
      </c>
      <c r="H65" s="49">
        <v>46093</v>
      </c>
    </row>
    <row r="66" spans="2:9" x14ac:dyDescent="0.25">
      <c r="B66" s="50" t="s">
        <v>281</v>
      </c>
      <c r="C66" s="50" t="s">
        <v>282</v>
      </c>
      <c r="D66" s="50" t="s">
        <v>167</v>
      </c>
      <c r="E66" s="43">
        <v>27.075</v>
      </c>
      <c r="F66" s="39">
        <v>0.005843130873614428</v>
      </c>
      <c r="G66" s="51">
        <v>46077</v>
      </c>
      <c r="H66" s="51">
        <v>46093</v>
      </c>
    </row>
    <row r="67" spans="2:9" x14ac:dyDescent="0.25">
      <c r="B67" s="25" t="s">
        <v>281</v>
      </c>
      <c r="C67" s="25" t="s">
        <v>282</v>
      </c>
      <c r="D67" s="25" t="s">
        <v>165</v>
      </c>
      <c r="E67" s="24">
        <v>18.815</v>
      </c>
      <c r="F67" s="39">
        <v>0.004060517355015899</v>
      </c>
      <c r="G67" s="49">
        <v>46078</v>
      </c>
      <c r="H67" s="49">
        <v>46093</v>
      </c>
    </row>
    <row r="68" spans="2:9" x14ac:dyDescent="0.25">
      <c r="B68" s="50" t="s">
        <v>188</v>
      </c>
      <c r="C68" s="50" t="s">
        <v>203</v>
      </c>
      <c r="D68" s="50" t="s">
        <v>164</v>
      </c>
      <c r="E68" s="43">
        <v>71.09999999999999</v>
      </c>
      <c r="F68" s="39">
        <v>0.01534428827752487</v>
      </c>
      <c r="G68" s="51">
        <v>46079</v>
      </c>
      <c r="H68" s="51">
        <v>46150</v>
      </c>
    </row>
    <row r="69" spans="2:9" x14ac:dyDescent="0.25">
      <c r="B69" s="25" t="s">
        <v>188</v>
      </c>
      <c r="C69" s="25" t="s">
        <v>203</v>
      </c>
      <c r="D69" s="25" t="s">
        <v>167</v>
      </c>
      <c r="E69" s="24">
        <v>65.45</v>
      </c>
      <c r="F69" s="39">
        <v>0.01412494610075953</v>
      </c>
      <c r="G69" s="49">
        <v>46080</v>
      </c>
      <c r="H69" s="49">
        <v>46136</v>
      </c>
    </row>
    <row r="70" spans="2:9" x14ac:dyDescent="0.25">
      <c r="B70" s="50" t="s">
        <v>212</v>
      </c>
      <c r="C70" s="50" t="s">
        <v>283</v>
      </c>
      <c r="D70" s="50" t="s">
        <v>164</v>
      </c>
      <c r="E70" s="43">
        <v>28.2</v>
      </c>
      <c r="F70" s="39">
        <v>0.006085920245094252</v>
      </c>
      <c r="G70" s="51">
        <v>46083</v>
      </c>
      <c r="H70" s="51">
        <v>46111</v>
      </c>
    </row>
    <row r="71" spans="2:9" x14ac:dyDescent="0.25">
      <c r="B71" s="25" t="s">
        <v>201</v>
      </c>
      <c r="C71" s="25" t="s">
        <v>207</v>
      </c>
      <c r="D71" s="25" t="s">
        <v>169</v>
      </c>
      <c r="E71" s="24">
        <v>19.5</v>
      </c>
      <c r="F71" s="39">
        <v>0.004208349105650281</v>
      </c>
      <c r="G71" s="49">
        <v>46089</v>
      </c>
      <c r="H71" s="49">
        <v>46108</v>
      </c>
    </row>
    <row r="72" spans="2:9" x14ac:dyDescent="0.25">
      <c r="B72" s="50" t="s">
        <v>201</v>
      </c>
      <c r="C72" s="50" t="s">
        <v>207</v>
      </c>
      <c r="D72" s="50" t="s">
        <v>164</v>
      </c>
      <c r="E72" s="43">
        <v>53.25</v>
      </c>
      <c r="F72" s="39">
        <v>0.011492030250045</v>
      </c>
      <c r="G72" s="51">
        <v>46089</v>
      </c>
      <c r="H72" s="51">
        <v>46110</v>
      </c>
    </row>
    <row r="73" spans="2:9" x14ac:dyDescent="0.25">
      <c r="B73" s="25" t="s">
        <v>192</v>
      </c>
      <c r="C73" s="25" t="s">
        <v>284</v>
      </c>
      <c r="D73" s="25" t="s">
        <v>164</v>
      </c>
      <c r="E73" s="24">
        <v>37.4</v>
      </c>
      <c r="F73" s="39">
        <v>0.008071397771862589</v>
      </c>
      <c r="G73" s="49">
        <v>46090</v>
      </c>
      <c r="H73" s="49">
        <v>46146</v>
      </c>
    </row>
    <row r="74" spans="2:9" x14ac:dyDescent="0.25">
      <c r="B74" s="50" t="s">
        <v>192</v>
      </c>
      <c r="C74" s="50" t="s">
        <v>284</v>
      </c>
      <c r="D74" s="50" t="s">
        <v>166</v>
      </c>
      <c r="E74" s="43">
        <v>36.15333333333334</v>
      </c>
      <c r="F74" s="39">
        <v>0.007802351179467171</v>
      </c>
      <c r="G74" s="51">
        <v>46090</v>
      </c>
      <c r="H74" s="51">
        <v>46146</v>
      </c>
    </row>
    <row r="76" spans="2:9" ht="19" customHeight="1" x14ac:dyDescent="0.25">
      <c r="B76" s="8" t="s">
        <v>285</v>
      </c>
      <c r="C76" s="8"/>
      <c r="D76" s="8"/>
      <c r="E76" s="8"/>
      <c r="F76" s="8"/>
      <c r="G76" s="8"/>
      <c r="H76" s="8"/>
      <c r="I76" s="8"/>
    </row>
    <row r="77" spans="2:9" x14ac:dyDescent="0.25">
      <c r="B77" s="21" t="s">
        <v>186</v>
      </c>
      <c r="C77" s="21" t="s">
        <v>185</v>
      </c>
      <c r="D77" s="21" t="s">
        <v>268</v>
      </c>
      <c r="E77" s="22" t="s">
        <v>269</v>
      </c>
      <c r="F77" s="22" t="s">
        <v>270</v>
      </c>
      <c r="G77" s="22" t="s">
        <v>271</v>
      </c>
      <c r="H77" s="22" t="s">
        <v>272</v>
      </c>
    </row>
    <row r="78" spans="2:9" x14ac:dyDescent="0.25">
      <c r="B78" s="25" t="s">
        <v>190</v>
      </c>
      <c r="C78" s="25" t="s">
        <v>286</v>
      </c>
      <c r="D78" s="25" t="s">
        <v>168</v>
      </c>
      <c r="E78" s="24">
        <v>13</v>
      </c>
      <c r="F78" s="39">
        <v>0.007371126345528238</v>
      </c>
      <c r="G78" s="49">
        <v>46027</v>
      </c>
      <c r="H78" s="49">
        <v>46065</v>
      </c>
    </row>
    <row r="79" spans="2:9" x14ac:dyDescent="0.25">
      <c r="B79" s="50" t="s">
        <v>287</v>
      </c>
      <c r="C79" s="50" t="s">
        <v>288</v>
      </c>
      <c r="D79" s="50" t="s">
        <v>169</v>
      </c>
      <c r="E79" s="43">
        <v>13.905</v>
      </c>
      <c r="F79" s="39">
        <v>0.007884270141120781</v>
      </c>
      <c r="G79" s="51">
        <v>46032</v>
      </c>
      <c r="H79" s="51">
        <v>46062</v>
      </c>
    </row>
    <row r="80" spans="2:9" x14ac:dyDescent="0.25">
      <c r="B80" s="25" t="s">
        <v>206</v>
      </c>
      <c r="C80" s="25" t="s">
        <v>289</v>
      </c>
      <c r="D80" s="25" t="s">
        <v>165</v>
      </c>
      <c r="E80" s="24">
        <v>33.372</v>
      </c>
      <c r="F80" s="39">
        <v>0.01892224833868987</v>
      </c>
      <c r="G80" s="49">
        <v>46032</v>
      </c>
      <c r="H80" s="49">
        <v>46062</v>
      </c>
    </row>
    <row r="81" spans="2:8" x14ac:dyDescent="0.25">
      <c r="B81" s="50" t="s">
        <v>206</v>
      </c>
      <c r="C81" s="50" t="s">
        <v>289</v>
      </c>
      <c r="D81" s="50" t="s">
        <v>165</v>
      </c>
      <c r="E81" s="43">
        <v>46.56</v>
      </c>
      <c r="F81" s="39">
        <v>0.02639997251136883</v>
      </c>
      <c r="G81" s="51">
        <v>46034</v>
      </c>
      <c r="H81" s="51">
        <v>46062</v>
      </c>
    </row>
    <row r="82" spans="2:8" x14ac:dyDescent="0.25">
      <c r="B82" s="25" t="s">
        <v>287</v>
      </c>
      <c r="C82" s="25" t="s">
        <v>288</v>
      </c>
      <c r="D82" s="25" t="s">
        <v>171</v>
      </c>
      <c r="E82" s="24">
        <v>17.4675</v>
      </c>
      <c r="F82" s="39">
        <v>0.009904242264654962</v>
      </c>
      <c r="G82" s="49">
        <v>46036</v>
      </c>
      <c r="H82" s="49">
        <v>46075</v>
      </c>
    </row>
    <row r="83" spans="2:8" x14ac:dyDescent="0.25">
      <c r="B83" s="50" t="s">
        <v>287</v>
      </c>
      <c r="C83" s="50" t="s">
        <v>288</v>
      </c>
      <c r="D83" s="50" t="s">
        <v>165</v>
      </c>
      <c r="E83" s="43">
        <v>13.4</v>
      </c>
      <c r="F83" s="39">
        <v>0.007597930233082953</v>
      </c>
      <c r="G83" s="51">
        <v>46037</v>
      </c>
      <c r="H83" s="51">
        <v>46075</v>
      </c>
    </row>
    <row r="84" spans="2:8" x14ac:dyDescent="0.25">
      <c r="B84" s="25" t="s">
        <v>290</v>
      </c>
      <c r="C84" s="25" t="s">
        <v>291</v>
      </c>
      <c r="D84" s="25" t="s">
        <v>164</v>
      </c>
      <c r="E84" s="24">
        <v>8.747999999999999</v>
      </c>
      <c r="F84" s="39">
        <v>0.004960201020821617</v>
      </c>
      <c r="G84" s="49">
        <v>46055</v>
      </c>
      <c r="H84" s="49">
        <v>46064</v>
      </c>
    </row>
    <row r="85" spans="2:8" x14ac:dyDescent="0.25">
      <c r="B85" s="50" t="s">
        <v>292</v>
      </c>
      <c r="C85" s="50" t="s">
        <v>293</v>
      </c>
      <c r="D85" s="50" t="s">
        <v>167</v>
      </c>
      <c r="E85" s="43">
        <v>12.48</v>
      </c>
      <c r="F85" s="39">
        <v>0.007076281291707108</v>
      </c>
      <c r="G85" s="51">
        <v>46059</v>
      </c>
      <c r="H85" s="51">
        <v>46076</v>
      </c>
    </row>
    <row r="86" spans="2:8" x14ac:dyDescent="0.25">
      <c r="B86" s="25" t="s">
        <v>292</v>
      </c>
      <c r="C86" s="25" t="s">
        <v>293</v>
      </c>
      <c r="D86" s="25" t="s">
        <v>164</v>
      </c>
      <c r="E86" s="24">
        <v>26.88</v>
      </c>
      <c r="F86" s="39">
        <v>0.01524122124367685</v>
      </c>
      <c r="G86" s="49">
        <v>46059</v>
      </c>
      <c r="H86" s="49">
        <v>46076</v>
      </c>
    </row>
    <row r="87" spans="2:8" x14ac:dyDescent="0.25">
      <c r="B87" s="50" t="s">
        <v>198</v>
      </c>
      <c r="C87" s="50" t="s">
        <v>294</v>
      </c>
      <c r="D87" s="50" t="s">
        <v>167</v>
      </c>
      <c r="E87" s="43">
        <v>15.444</v>
      </c>
      <c r="F87" s="39">
        <v>0.008756898098487547</v>
      </c>
      <c r="G87" s="51">
        <v>46060</v>
      </c>
      <c r="H87" s="51">
        <v>46069</v>
      </c>
    </row>
    <row r="88" spans="2:8" x14ac:dyDescent="0.25">
      <c r="B88" s="25" t="s">
        <v>198</v>
      </c>
      <c r="C88" s="25" t="s">
        <v>294</v>
      </c>
      <c r="D88" s="25" t="s">
        <v>165</v>
      </c>
      <c r="E88" s="24">
        <v>9.7416</v>
      </c>
      <c r="F88" s="39">
        <v>0.005523581877507529</v>
      </c>
      <c r="G88" s="49">
        <v>46060</v>
      </c>
      <c r="H88" s="49">
        <v>46069</v>
      </c>
    </row>
    <row r="89" spans="2:8" x14ac:dyDescent="0.25">
      <c r="B89" s="50" t="s">
        <v>198</v>
      </c>
      <c r="C89" s="50" t="s">
        <v>294</v>
      </c>
      <c r="D89" s="50" t="s">
        <v>165</v>
      </c>
      <c r="E89" s="43">
        <v>8.82</v>
      </c>
      <c r="F89" s="39">
        <v>0.005001025720581466</v>
      </c>
      <c r="G89" s="51">
        <v>46062</v>
      </c>
      <c r="H89" s="51">
        <v>46149</v>
      </c>
    </row>
  </sheetData>
  <mergeCells count="8">
    <mergeCell ref="J1:O1"/>
    <mergeCell ref="B2:O2"/>
    <mergeCell ref="B3:O3"/>
    <mergeCell ref="B6:O6"/>
    <mergeCell ref="B25:I25"/>
    <mergeCell ref="B46:I46"/>
    <mergeCell ref="B61:I61"/>
    <mergeCell ref="B76:I76"/>
  </mergeCells>
  <conditionalFormatting sqref="C8:N23">
    <cfRule type="colorScale" priority="1">
      <colorScale>
        <cfvo type="num" val="0"/>
        <cfvo type="max" val="0"/>
        <color rgb="FFFFFFFF"/>
        <color rgb="FFED7D31"/>
      </colorScale>
    </cfRule>
  </conditionalFormatting>
  <conditionalFormatting sqref="G27:G44"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ED7D31"/>
              <x14:negativeFillColor rgb="FFFF0000"/>
              <x14:negativeBorderColor rgb="FFFF0000"/>
              <x14:axisColor rgb="FF000000"/>
            </x14:dataBar>
          </x14:cfRule>
          <xm:sqref>G27:G44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B1:N63"/>
  <sheetViews>
    <sheetView showGridLines="0" workbookViewId="0"/>
  </sheetViews>
  <sheetFormatPr defaultRowHeight="15"/>
  <cols>
    <col min="1" max="1" width="2.7109375" customWidth="1"/>
    <col min="2" max="2" width="24.7109375" customWidth="1"/>
    <col min="3" max="14" width="8.7109375" customWidth="1"/>
  </cols>
  <sheetData>
    <row r="1" spans="2:14">
      <c r="B1" s="9" t="s">
        <v>77</v>
      </c>
      <c r="I1" s="14" t="s">
        <v>78</v>
      </c>
      <c r="J1" s="14"/>
      <c r="K1" s="14"/>
      <c r="L1" s="14"/>
      <c r="M1" s="14"/>
      <c r="N1" s="14"/>
    </row>
    <row r="2" spans="2:14">
      <c r="B2" s="1" t="s">
        <v>295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296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19" customHeight="1">
      <c r="B6" s="47" t="s">
        <v>297</v>
      </c>
      <c r="C6" s="47"/>
      <c r="D6" s="47"/>
      <c r="E6" s="47"/>
    </row>
    <row r="7" spans="2:14">
      <c r="B7" s="27" t="s">
        <v>298</v>
      </c>
      <c r="C7" s="28" t="s">
        <v>299</v>
      </c>
      <c r="D7" s="28"/>
      <c r="E7" s="28"/>
    </row>
    <row r="8" spans="2:14">
      <c r="B8" s="27" t="s">
        <v>300</v>
      </c>
      <c r="C8" s="52">
        <v>0</v>
      </c>
      <c r="D8" s="52"/>
      <c r="E8" s="52"/>
    </row>
    <row r="9" spans="2:14">
      <c r="B9" s="27" t="s">
        <v>301</v>
      </c>
      <c r="C9" s="53">
        <v>1</v>
      </c>
      <c r="D9" s="53"/>
      <c r="E9" s="53"/>
    </row>
    <row r="10" spans="2:14">
      <c r="B10" s="27" t="s">
        <v>302</v>
      </c>
      <c r="C10" s="54">
        <v>0</v>
      </c>
      <c r="D10" s="54"/>
      <c r="E10" s="54"/>
    </row>
    <row r="11" spans="2:14">
      <c r="B11" s="27" t="s">
        <v>303</v>
      </c>
      <c r="C11" s="28" t="s">
        <v>100</v>
      </c>
      <c r="D11" s="28"/>
      <c r="E11" s="28"/>
    </row>
    <row r="13" spans="2:14" ht="19" customHeight="1">
      <c r="B13" s="8" t="s">
        <v>304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2:14">
      <c r="B14" s="21" t="s">
        <v>305</v>
      </c>
      <c r="C14" s="22" t="s">
        <v>92</v>
      </c>
      <c r="D14" s="22" t="s">
        <v>93</v>
      </c>
      <c r="E14" s="22" t="s">
        <v>94</v>
      </c>
      <c r="F14" s="22" t="s">
        <v>95</v>
      </c>
      <c r="G14" s="22" t="s">
        <v>96</v>
      </c>
      <c r="H14" s="22" t="s">
        <v>97</v>
      </c>
      <c r="I14" s="22" t="s">
        <v>98</v>
      </c>
      <c r="J14" s="22" t="s">
        <v>99</v>
      </c>
      <c r="K14" s="22" t="s">
        <v>100</v>
      </c>
      <c r="L14" s="22" t="s">
        <v>101</v>
      </c>
      <c r="M14" s="22" t="s">
        <v>102</v>
      </c>
      <c r="N14" s="22" t="s">
        <v>103</v>
      </c>
    </row>
    <row r="15" spans="2:14">
      <c r="B15" s="25" t="s">
        <v>299</v>
      </c>
      <c r="C15" s="24">
        <v>2282.61105</v>
      </c>
      <c r="D15" s="24">
        <v>3072.01685</v>
      </c>
      <c r="E15" s="24">
        <v>2313.48415</v>
      </c>
      <c r="F15" s="24">
        <v>2274.507825</v>
      </c>
      <c r="G15" s="24">
        <v>1589.601875</v>
      </c>
      <c r="H15" s="24">
        <v>1370.05175</v>
      </c>
      <c r="I15" s="24">
        <v>1306.436325</v>
      </c>
      <c r="J15" s="24">
        <v>1245.677625</v>
      </c>
      <c r="K15" s="24">
        <v>1515.4383</v>
      </c>
      <c r="L15" s="24">
        <v>2050.317675</v>
      </c>
      <c r="M15" s="24">
        <v>1344.783825</v>
      </c>
      <c r="N15" s="24">
        <v>1425.26985</v>
      </c>
    </row>
    <row r="16" spans="2:14">
      <c r="B16" s="25" t="s">
        <v>306</v>
      </c>
      <c r="C16" s="24">
        <v>2331.3456</v>
      </c>
      <c r="D16" s="24">
        <v>3242.643133333333</v>
      </c>
      <c r="E16" s="24">
        <v>2452.0467</v>
      </c>
      <c r="F16" s="24">
        <v>2323.8248</v>
      </c>
      <c r="G16" s="24">
        <v>1480.8669</v>
      </c>
      <c r="H16" s="24">
        <v>1371.5984</v>
      </c>
      <c r="I16" s="24">
        <v>1295.816366666667</v>
      </c>
      <c r="J16" s="24">
        <v>1211.909366666667</v>
      </c>
      <c r="K16" s="24">
        <v>1621.180633333333</v>
      </c>
      <c r="L16" s="24">
        <v>2132.550833333333</v>
      </c>
      <c r="M16" s="24">
        <v>1240.659633333333</v>
      </c>
      <c r="N16" s="24">
        <v>806.3173666666667</v>
      </c>
    </row>
    <row r="17" spans="2:14">
      <c r="B17" s="25" t="s">
        <v>307</v>
      </c>
      <c r="C17" s="24">
        <v>1933.502583333333</v>
      </c>
      <c r="D17" s="24">
        <v>2767.98955</v>
      </c>
      <c r="E17" s="24">
        <v>2082.86935</v>
      </c>
      <c r="F17" s="24">
        <v>2054.312466666667</v>
      </c>
      <c r="G17" s="24">
        <v>1459.746016666667</v>
      </c>
      <c r="H17" s="24">
        <v>1224.888666666667</v>
      </c>
      <c r="I17" s="24">
        <v>1258.94175</v>
      </c>
      <c r="J17" s="24">
        <v>1115.338283333333</v>
      </c>
      <c r="K17" s="24">
        <v>1463.838083333333</v>
      </c>
      <c r="L17" s="24">
        <v>1795.539</v>
      </c>
      <c r="M17" s="24">
        <v>1192.92015</v>
      </c>
      <c r="N17" s="24">
        <v>1127.578033333333</v>
      </c>
    </row>
    <row r="18" spans="2:14">
      <c r="B18" s="25" t="s">
        <v>308</v>
      </c>
      <c r="C18" s="24">
        <v>1643.7977</v>
      </c>
      <c r="D18" s="24">
        <v>2083.21442</v>
      </c>
      <c r="E18" s="24">
        <v>1614.52331</v>
      </c>
      <c r="F18" s="24">
        <v>1584.22778</v>
      </c>
      <c r="G18" s="24">
        <v>1154.09354</v>
      </c>
      <c r="H18" s="24">
        <v>997.7466400000001</v>
      </c>
      <c r="I18" s="24">
        <v>999.65198</v>
      </c>
      <c r="J18" s="24">
        <v>1210.45329</v>
      </c>
      <c r="K18" s="24">
        <v>1988.70389</v>
      </c>
      <c r="L18" s="24">
        <v>1586.17207</v>
      </c>
      <c r="M18" s="24">
        <v>1044.36847</v>
      </c>
      <c r="N18" s="24">
        <v>916.2710999999999</v>
      </c>
    </row>
    <row r="20" spans="2:14" ht="19" customHeight="1">
      <c r="B20" s="47" t="s">
        <v>309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</row>
    <row r="21" spans="2:14">
      <c r="B21" s="21"/>
      <c r="C21" s="22" t="s">
        <v>92</v>
      </c>
      <c r="D21" s="22" t="s">
        <v>93</v>
      </c>
      <c r="E21" s="22" t="s">
        <v>94</v>
      </c>
      <c r="F21" s="22" t="s">
        <v>95</v>
      </c>
      <c r="G21" s="22" t="s">
        <v>96</v>
      </c>
      <c r="H21" s="22" t="s">
        <v>97</v>
      </c>
      <c r="I21" s="22" t="s">
        <v>98</v>
      </c>
      <c r="J21" s="22" t="s">
        <v>99</v>
      </c>
      <c r="K21" s="22" t="s">
        <v>100</v>
      </c>
      <c r="L21" s="22" t="s">
        <v>101</v>
      </c>
      <c r="M21" s="22" t="s">
        <v>102</v>
      </c>
      <c r="N21" s="22" t="s">
        <v>103</v>
      </c>
    </row>
    <row r="22" spans="2:14">
      <c r="B22" s="25" t="s">
        <v>310</v>
      </c>
      <c r="C22" s="24">
        <f>INDEX($C$15:$N$18,MATCH($C$7,$B$15:$B$18,0),1)</f>
        <v>0</v>
      </c>
      <c r="D22" s="24">
        <f>INDEX($C$15:$N$18,MATCH($C$7,$B$15:$B$18,0),2)</f>
        <v>0</v>
      </c>
      <c r="E22" s="24">
        <f>INDEX($C$15:$N$18,MATCH($C$7,$B$15:$B$18,0),3)</f>
        <v>0</v>
      </c>
      <c r="F22" s="24">
        <f>INDEX($C$15:$N$18,MATCH($C$7,$B$15:$B$18,0),4)</f>
        <v>0</v>
      </c>
      <c r="G22" s="24">
        <f>INDEX($C$15:$N$18,MATCH($C$7,$B$15:$B$18,0),5)</f>
        <v>0</v>
      </c>
      <c r="H22" s="24">
        <f>INDEX($C$15:$N$18,MATCH($C$7,$B$15:$B$18,0),6)</f>
        <v>0</v>
      </c>
      <c r="I22" s="24">
        <f>INDEX($C$15:$N$18,MATCH($C$7,$B$15:$B$18,0),7)</f>
        <v>0</v>
      </c>
      <c r="J22" s="24">
        <f>INDEX($C$15:$N$18,MATCH($C$7,$B$15:$B$18,0),8)</f>
        <v>0</v>
      </c>
      <c r="K22" s="24">
        <f>INDEX($C$15:$N$18,MATCH($C$7,$B$15:$B$18,0),9)</f>
        <v>0</v>
      </c>
      <c r="L22" s="24">
        <f>INDEX($C$15:$N$18,MATCH($C$7,$B$15:$B$18,0),10)</f>
        <v>0</v>
      </c>
      <c r="M22" s="24">
        <f>INDEX($C$15:$N$18,MATCH($C$7,$B$15:$B$18,0),11)</f>
        <v>0</v>
      </c>
      <c r="N22" s="24">
        <f>INDEX($C$15:$N$18,MATCH($C$7,$B$15:$B$18,0),12)</f>
        <v>0</v>
      </c>
    </row>
    <row r="23" spans="2:14">
      <c r="B23" s="41" t="s">
        <v>311</v>
      </c>
      <c r="C23" s="29">
        <f>C22*(1+$C$8)*$C$9+IF($C$11=C21,$C$10,0)</f>
        <v>0</v>
      </c>
      <c r="D23" s="29">
        <f>D22*(1+$C$8)*$C$9+IF($C$11=D21,$C$10,0)</f>
        <v>0</v>
      </c>
      <c r="E23" s="29">
        <f>E22*(1+$C$8)*$C$9+IF($C$11=E21,$C$10,0)</f>
        <v>0</v>
      </c>
      <c r="F23" s="29">
        <f>F22*(1+$C$8)*$C$9+IF($C$11=F21,$C$10,0)</f>
        <v>0</v>
      </c>
      <c r="G23" s="29">
        <f>G22*(1+$C$8)*$C$9+IF($C$11=G21,$C$10,0)</f>
        <v>0</v>
      </c>
      <c r="H23" s="29">
        <f>H22*(1+$C$8)*$C$9+IF($C$11=H21,$C$10,0)</f>
        <v>0</v>
      </c>
      <c r="I23" s="29">
        <f>I22*(1+$C$8)*$C$9+IF($C$11=I21,$C$10,0)</f>
        <v>0</v>
      </c>
      <c r="J23" s="29">
        <f>J22*(1+$C$8)*$C$9+IF($C$11=J21,$C$10,0)</f>
        <v>0</v>
      </c>
      <c r="K23" s="29">
        <f>K22*(1+$C$8)*$C$9+IF($C$11=K21,$C$10,0)</f>
        <v>0</v>
      </c>
      <c r="L23" s="29">
        <f>L22*(1+$C$8)*$C$9+IF($C$11=L21,$C$10,0)</f>
        <v>0</v>
      </c>
      <c r="M23" s="29">
        <f>M22*(1+$C$8)*$C$9+IF($C$11=M21,$C$10,0)</f>
        <v>0</v>
      </c>
      <c r="N23" s="29">
        <f>N22*(1+$C$8)*$C$9+IF($C$11=N21,$C$10,0)</f>
        <v>0</v>
      </c>
    </row>
    <row r="25" spans="2:14" ht="19" customHeight="1">
      <c r="B25" s="47" t="s">
        <v>312</v>
      </c>
      <c r="C25" s="47"/>
      <c r="D25" s="47"/>
      <c r="E25" s="47"/>
    </row>
    <row r="26" spans="2:14">
      <c r="B26" s="25" t="s">
        <v>313</v>
      </c>
      <c r="C26" s="24">
        <f>SUM(C22:N22)</f>
        <v>0</v>
      </c>
    </row>
    <row r="27" spans="2:14">
      <c r="B27" s="41" t="s">
        <v>314</v>
      </c>
      <c r="C27" s="29">
        <f>SUM(C23:N23)</f>
        <v>0</v>
      </c>
    </row>
    <row r="28" spans="2:14">
      <c r="B28" s="25" t="s">
        <v>315</v>
      </c>
      <c r="C28" s="55">
        <v>15923.1696</v>
      </c>
    </row>
    <row r="29" spans="2:14">
      <c r="B29" s="41" t="s">
        <v>316</v>
      </c>
      <c r="C29" s="29">
        <f>$C$27+$C$28</f>
        <v>0</v>
      </c>
    </row>
    <row r="30" spans="2:14">
      <c r="B30" s="25" t="s">
        <v>317</v>
      </c>
      <c r="C30" s="24">
        <v>21001.313475</v>
      </c>
      <c r="D30" s="24">
        <v>22105.538</v>
      </c>
      <c r="E30" s="24">
        <v>23373.06399</v>
      </c>
    </row>
    <row r="31" spans="2:14">
      <c r="B31" s="25" t="s">
        <v>318</v>
      </c>
      <c r="C31" s="24">
        <f>D30+$C$28</f>
        <v>0</v>
      </c>
      <c r="D31" s="24">
        <f>E30+$C$28</f>
        <v>0</v>
      </c>
    </row>
    <row r="33" spans="2:14" ht="19" customHeight="1">
      <c r="B33" s="5" t="s">
        <v>319</v>
      </c>
      <c r="C33" s="5"/>
      <c r="D33" s="5"/>
      <c r="E33" s="5"/>
    </row>
    <row r="34" spans="2:14">
      <c r="B34" s="21" t="s">
        <v>60</v>
      </c>
      <c r="C34" s="22" t="s">
        <v>320</v>
      </c>
      <c r="D34" s="22" t="s">
        <v>321</v>
      </c>
      <c r="E34" s="22" t="s">
        <v>322</v>
      </c>
    </row>
    <row r="35" spans="2:14">
      <c r="B35" s="25" t="s">
        <v>4</v>
      </c>
      <c r="C35" s="24">
        <v>1000.115125</v>
      </c>
      <c r="D35" s="29">
        <f>C35*(1+$C$8)*$C$9</f>
        <v>0</v>
      </c>
      <c r="E35" s="56">
        <f>IF($D$40=0,0,D35/$D$40)</f>
        <v>0</v>
      </c>
    </row>
    <row r="36" spans="2:14">
      <c r="B36" s="25" t="s">
        <v>5</v>
      </c>
      <c r="C36" s="24">
        <v>5461.137000000001</v>
      </c>
      <c r="D36" s="29">
        <f>C36*(1+$C$8)*$C$9</f>
        <v>0</v>
      </c>
      <c r="E36" s="56">
        <f>IF($D$40=0,0,D36/$D$40)</f>
        <v>0</v>
      </c>
    </row>
    <row r="37" spans="2:14">
      <c r="B37" s="25" t="s">
        <v>6</v>
      </c>
      <c r="C37" s="24">
        <v>10251.807025</v>
      </c>
      <c r="D37" s="29">
        <f>C37*(1+$C$8)*$C$9</f>
        <v>0</v>
      </c>
      <c r="E37" s="56">
        <f>IF($D$40=0,0,D37/$D$40)</f>
        <v>0</v>
      </c>
    </row>
    <row r="38" spans="2:14">
      <c r="B38" s="25" t="s">
        <v>7</v>
      </c>
      <c r="C38" s="24">
        <v>736.9075499999999</v>
      </c>
      <c r="D38" s="29">
        <f>C38*(1+$C$8)*$C$9</f>
        <v>0</v>
      </c>
      <c r="E38" s="56">
        <f>IF($D$40=0,0,D38/$D$40)</f>
        <v>0</v>
      </c>
    </row>
    <row r="39" spans="2:14">
      <c r="B39" s="25" t="s">
        <v>8</v>
      </c>
      <c r="C39" s="24">
        <v>4340.230399999999</v>
      </c>
      <c r="D39" s="29">
        <f>C39*(1+$C$8)*$C$9</f>
        <v>0</v>
      </c>
      <c r="E39" s="56">
        <f>IF($D$40=0,0,D39/$D$40)</f>
        <v>0</v>
      </c>
    </row>
    <row r="40" spans="2:14">
      <c r="B40" s="41" t="s">
        <v>0</v>
      </c>
      <c r="C40" s="29">
        <f>SUM(C35:C39)</f>
        <v>0</v>
      </c>
      <c r="D40" s="29">
        <f>SUM(D35:D39)</f>
        <v>0</v>
      </c>
    </row>
    <row r="42" spans="2:14" ht="19" customHeight="1">
      <c r="B42" s="8" t="s">
        <v>323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2:14">
      <c r="B43" s="21" t="s">
        <v>145</v>
      </c>
      <c r="C43" s="22" t="s">
        <v>92</v>
      </c>
      <c r="D43" s="22" t="s">
        <v>93</v>
      </c>
      <c r="E43" s="22" t="s">
        <v>94</v>
      </c>
      <c r="F43" s="22" t="s">
        <v>95</v>
      </c>
      <c r="G43" s="22" t="s">
        <v>96</v>
      </c>
      <c r="H43" s="22" t="s">
        <v>97</v>
      </c>
      <c r="I43" s="22" t="s">
        <v>98</v>
      </c>
      <c r="J43" s="22" t="s">
        <v>99</v>
      </c>
      <c r="K43" s="22" t="s">
        <v>100</v>
      </c>
      <c r="L43" s="22" t="s">
        <v>101</v>
      </c>
      <c r="M43" s="22" t="s">
        <v>102</v>
      </c>
      <c r="N43" s="22" t="s">
        <v>103</v>
      </c>
    </row>
    <row r="44" spans="2:14">
      <c r="B44" s="25" t="s">
        <v>324</v>
      </c>
      <c r="C44" s="24">
        <f>C23</f>
        <v>0</v>
      </c>
      <c r="D44" s="24">
        <f>D23</f>
        <v>0</v>
      </c>
      <c r="E44" s="24">
        <f>E23</f>
        <v>0</v>
      </c>
      <c r="F44" s="24">
        <f>F23</f>
        <v>0</v>
      </c>
      <c r="G44" s="24">
        <f>G23</f>
        <v>0</v>
      </c>
      <c r="H44" s="24">
        <f>H23</f>
        <v>0</v>
      </c>
      <c r="I44" s="24">
        <f>I23</f>
        <v>0</v>
      </c>
      <c r="J44" s="24">
        <f>J23</f>
        <v>0</v>
      </c>
      <c r="K44" s="24">
        <f>K23</f>
        <v>0</v>
      </c>
      <c r="L44" s="24">
        <f>L23</f>
        <v>0</v>
      </c>
      <c r="M44" s="24">
        <f>M23</f>
        <v>0</v>
      </c>
      <c r="N44" s="24">
        <f>N23</f>
        <v>0</v>
      </c>
    </row>
    <row r="45" spans="2:14">
      <c r="B45" s="25" t="s">
        <v>151</v>
      </c>
      <c r="C45" s="24">
        <v>1088.333</v>
      </c>
      <c r="D45" s="24">
        <v>2092.4001</v>
      </c>
      <c r="E45" s="24">
        <v>2910.1523</v>
      </c>
      <c r="F45" s="24">
        <v>2004.0124</v>
      </c>
      <c r="G45" s="24">
        <v>901.152</v>
      </c>
      <c r="H45" s="24">
        <v>215.305</v>
      </c>
      <c r="I45" s="24">
        <v>167.5</v>
      </c>
      <c r="J45" s="24">
        <v>51.06</v>
      </c>
      <c r="K45" s="24">
        <v>2986.8719</v>
      </c>
      <c r="L45" s="24">
        <v>2955.9469</v>
      </c>
      <c r="M45" s="24">
        <v>546.936</v>
      </c>
      <c r="N45" s="24">
        <v>3.5</v>
      </c>
    </row>
    <row r="46" spans="2:14">
      <c r="B46" s="25" t="s">
        <v>325</v>
      </c>
      <c r="C46" s="24">
        <v>1400.9949</v>
      </c>
      <c r="D46" s="24">
        <v>2023.3805</v>
      </c>
      <c r="E46" s="24">
        <v>2228.4465</v>
      </c>
      <c r="F46" s="24">
        <v>2621.2351</v>
      </c>
      <c r="G46" s="24">
        <v>1753.1826</v>
      </c>
      <c r="H46" s="24">
        <v>1169.5851</v>
      </c>
      <c r="I46" s="24">
        <v>939.4538</v>
      </c>
      <c r="J46" s="24">
        <v>979.7175</v>
      </c>
      <c r="K46" s="24">
        <v>1487.0255</v>
      </c>
      <c r="L46" s="24">
        <v>2468.751</v>
      </c>
      <c r="M46" s="24">
        <v>1324.048</v>
      </c>
      <c r="N46" s="24">
        <v>861.7330000000001</v>
      </c>
    </row>
    <row r="47" spans="2:14">
      <c r="B47" s="25" t="s">
        <v>326</v>
      </c>
      <c r="C47" s="24">
        <v>2433.6238</v>
      </c>
      <c r="D47" s="24">
        <v>5025.1422</v>
      </c>
      <c r="E47" s="24">
        <v>2051.1556</v>
      </c>
      <c r="F47" s="24">
        <v>1881.5364</v>
      </c>
      <c r="G47" s="24">
        <v>940.6905</v>
      </c>
      <c r="H47" s="24">
        <v>1023.714</v>
      </c>
      <c r="I47" s="24">
        <v>1472.8685</v>
      </c>
      <c r="J47" s="24">
        <v>1211.9996</v>
      </c>
      <c r="K47" s="24">
        <v>1844.9944</v>
      </c>
      <c r="L47" s="24">
        <v>1940.158</v>
      </c>
      <c r="M47" s="24">
        <v>1047.007</v>
      </c>
      <c r="N47" s="24">
        <v>709.6768</v>
      </c>
    </row>
    <row r="49" spans="2:8" ht="19" customHeight="1">
      <c r="B49" s="47" t="s">
        <v>327</v>
      </c>
      <c r="C49" s="47"/>
      <c r="D49" s="47"/>
      <c r="E49" s="47"/>
      <c r="F49" s="47"/>
      <c r="G49" s="47"/>
      <c r="H49" s="47"/>
    </row>
    <row r="50" spans="2:8">
      <c r="B50" s="57" t="s">
        <v>328</v>
      </c>
      <c r="C50" s="58">
        <v>0.7</v>
      </c>
      <c r="D50" s="58">
        <v>0.85</v>
      </c>
      <c r="E50" s="58">
        <v>1</v>
      </c>
      <c r="F50" s="58">
        <v>1.15</v>
      </c>
      <c r="G50" s="58">
        <v>1.3</v>
      </c>
      <c r="H50" s="58">
        <v>1.5</v>
      </c>
    </row>
    <row r="51" spans="2:8">
      <c r="B51" s="59">
        <v>-0.1</v>
      </c>
      <c r="C51" s="60">
        <f>$C$26*(1+$B51)*C$50</f>
        <v>0</v>
      </c>
      <c r="D51" s="60">
        <f>$C$26*(1+$B51)*D$50</f>
        <v>0</v>
      </c>
      <c r="E51" s="60">
        <f>$C$26*(1+$B51)*E$50</f>
        <v>0</v>
      </c>
      <c r="F51" s="60">
        <f>$C$26*(1+$B51)*F$50</f>
        <v>0</v>
      </c>
      <c r="G51" s="60">
        <f>$C$26*(1+$B51)*G$50</f>
        <v>0</v>
      </c>
      <c r="H51" s="60">
        <f>$C$26*(1+$B51)*H$50</f>
        <v>0</v>
      </c>
    </row>
    <row r="52" spans="2:8">
      <c r="B52" s="59">
        <v>-0.05</v>
      </c>
      <c r="C52" s="60">
        <f>$C$26*(1+$B52)*C$50</f>
        <v>0</v>
      </c>
      <c r="D52" s="60">
        <f>$C$26*(1+$B52)*D$50</f>
        <v>0</v>
      </c>
      <c r="E52" s="60">
        <f>$C$26*(1+$B52)*E$50</f>
        <v>0</v>
      </c>
      <c r="F52" s="60">
        <f>$C$26*(1+$B52)*F$50</f>
        <v>0</v>
      </c>
      <c r="G52" s="60">
        <f>$C$26*(1+$B52)*G$50</f>
        <v>0</v>
      </c>
      <c r="H52" s="60">
        <f>$C$26*(1+$B52)*H$50</f>
        <v>0</v>
      </c>
    </row>
    <row r="53" spans="2:8">
      <c r="B53" s="59">
        <v>0</v>
      </c>
      <c r="C53" s="60">
        <f>$C$26*(1+$B53)*C$50</f>
        <v>0</v>
      </c>
      <c r="D53" s="60">
        <f>$C$26*(1+$B53)*D$50</f>
        <v>0</v>
      </c>
      <c r="E53" s="61">
        <f>$C$26*(1+$B53)*E$50</f>
        <v>0</v>
      </c>
      <c r="F53" s="60">
        <f>$C$26*(1+$B53)*F$50</f>
        <v>0</v>
      </c>
      <c r="G53" s="60">
        <f>$C$26*(1+$B53)*G$50</f>
        <v>0</v>
      </c>
      <c r="H53" s="60">
        <f>$C$26*(1+$B53)*H$50</f>
        <v>0</v>
      </c>
    </row>
    <row r="54" spans="2:8">
      <c r="B54" s="59">
        <v>0.05</v>
      </c>
      <c r="C54" s="60">
        <f>$C$26*(1+$B54)*C$50</f>
        <v>0</v>
      </c>
      <c r="D54" s="60">
        <f>$C$26*(1+$B54)*D$50</f>
        <v>0</v>
      </c>
      <c r="E54" s="60">
        <f>$C$26*(1+$B54)*E$50</f>
        <v>0</v>
      </c>
      <c r="F54" s="60">
        <f>$C$26*(1+$B54)*F$50</f>
        <v>0</v>
      </c>
      <c r="G54" s="60">
        <f>$C$26*(1+$B54)*G$50</f>
        <v>0</v>
      </c>
      <c r="H54" s="60">
        <f>$C$26*(1+$B54)*H$50</f>
        <v>0</v>
      </c>
    </row>
    <row r="55" spans="2:8">
      <c r="B55" s="59">
        <v>0.1</v>
      </c>
      <c r="C55" s="60">
        <f>$C$26*(1+$B55)*C$50</f>
        <v>0</v>
      </c>
      <c r="D55" s="60">
        <f>$C$26*(1+$B55)*D$50</f>
        <v>0</v>
      </c>
      <c r="E55" s="60">
        <f>$C$26*(1+$B55)*E$50</f>
        <v>0</v>
      </c>
      <c r="F55" s="60">
        <f>$C$26*(1+$B55)*F$50</f>
        <v>0</v>
      </c>
      <c r="G55" s="60">
        <f>$C$26*(1+$B55)*G$50</f>
        <v>0</v>
      </c>
      <c r="H55" s="60">
        <f>$C$26*(1+$B55)*H$50</f>
        <v>0</v>
      </c>
    </row>
    <row r="56" spans="2:8">
      <c r="B56" s="59">
        <v>0.15</v>
      </c>
      <c r="C56" s="60">
        <f>$C$26*(1+$B56)*C$50</f>
        <v>0</v>
      </c>
      <c r="D56" s="60">
        <f>$C$26*(1+$B56)*D$50</f>
        <v>0</v>
      </c>
      <c r="E56" s="60">
        <f>$C$26*(1+$B56)*E$50</f>
        <v>0</v>
      </c>
      <c r="F56" s="60">
        <f>$C$26*(1+$B56)*F$50</f>
        <v>0</v>
      </c>
      <c r="G56" s="60">
        <f>$C$26*(1+$B56)*G$50</f>
        <v>0</v>
      </c>
      <c r="H56" s="60">
        <f>$C$26*(1+$B56)*H$50</f>
        <v>0</v>
      </c>
    </row>
    <row r="58" spans="2:8" ht="19" customHeight="1">
      <c r="B58" s="47" t="s">
        <v>329</v>
      </c>
      <c r="C58" s="47"/>
      <c r="D58" s="47"/>
      <c r="E58" s="47"/>
      <c r="F58" s="47"/>
      <c r="G58" s="47"/>
    </row>
    <row r="59" spans="2:8">
      <c r="B59" s="21" t="s">
        <v>330</v>
      </c>
      <c r="C59" s="22" t="s">
        <v>331</v>
      </c>
      <c r="D59" s="22" t="s">
        <v>332</v>
      </c>
      <c r="E59" s="22" t="s">
        <v>333</v>
      </c>
      <c r="F59" s="22" t="s">
        <v>334</v>
      </c>
      <c r="G59" s="22" t="s">
        <v>335</v>
      </c>
    </row>
    <row r="60" spans="2:8">
      <c r="B60" s="25" t="s">
        <v>336</v>
      </c>
      <c r="C60" s="24">
        <v>15253.13797</v>
      </c>
      <c r="D60" s="24">
        <v>21790.1971</v>
      </c>
      <c r="E60" s="24">
        <v>28327.25623</v>
      </c>
      <c r="F60" s="24">
        <f>C60-D60</f>
        <v>0</v>
      </c>
      <c r="G60" s="24">
        <f>E60-D60</f>
        <v>0</v>
      </c>
    </row>
    <row r="61" spans="2:8">
      <c r="B61" s="25" t="s">
        <v>337</v>
      </c>
      <c r="C61" s="24">
        <v>18521.667535</v>
      </c>
      <c r="D61" s="24">
        <v>21790.1971</v>
      </c>
      <c r="E61" s="24">
        <v>25058.726665</v>
      </c>
      <c r="F61" s="24">
        <f>C61-D61</f>
        <v>0</v>
      </c>
      <c r="G61" s="24">
        <f>E61-D61</f>
        <v>0</v>
      </c>
    </row>
    <row r="62" spans="2:8">
      <c r="B62" s="25" t="s">
        <v>338</v>
      </c>
      <c r="C62" s="24">
        <v>19611.17739</v>
      </c>
      <c r="D62" s="24">
        <v>21790.1971</v>
      </c>
      <c r="E62" s="24">
        <v>23969.21681</v>
      </c>
      <c r="F62" s="24">
        <f>C62-D62</f>
        <v>0</v>
      </c>
      <c r="G62" s="24">
        <f>E62-D62</f>
        <v>0</v>
      </c>
    </row>
    <row r="63" spans="2:8">
      <c r="B63" s="25" t="s">
        <v>339</v>
      </c>
      <c r="C63" s="24">
        <v>21790.1971</v>
      </c>
      <c r="D63" s="24">
        <v>21790.1971</v>
      </c>
      <c r="E63" s="24">
        <v>22090.1971</v>
      </c>
      <c r="F63" s="24">
        <f>C63-D63</f>
        <v>0</v>
      </c>
      <c r="G63" s="24">
        <f>E63-D63</f>
        <v>0</v>
      </c>
    </row>
  </sheetData>
  <mergeCells count="16">
    <mergeCell ref="I1:N1"/>
    <mergeCell ref="B2:N2"/>
    <mergeCell ref="B3:N3"/>
    <mergeCell ref="B6:E6"/>
    <mergeCell ref="C7:E7"/>
    <mergeCell ref="C8:E8"/>
    <mergeCell ref="C9:E9"/>
    <mergeCell ref="C10:E10"/>
    <mergeCell ref="C11:E11"/>
    <mergeCell ref="B13:N13"/>
    <mergeCell ref="B20:N20"/>
    <mergeCell ref="B25:E25"/>
    <mergeCell ref="B33:E33"/>
    <mergeCell ref="B42:N42"/>
    <mergeCell ref="B49:H49"/>
    <mergeCell ref="B58:G58"/>
  </mergeCells>
  <conditionalFormatting sqref="C51:H5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promptTitle="Baseline window" prompt="History that sets the seasonal baseline (2020-21 excluded)." sqref="C7">
      <formula1>"2022-2025,2023-2025,2018-19 &amp; 22-25,All ex-2020/21"</formula1>
    </dataValidation>
    <dataValidation type="list" allowBlank="1" showInputMessage="1" showErrorMessage="1" promptTitle="Stress month" prompt="Which month the one-off shock above lands in." sqref="C11">
      <formula1>"Jan,Feb,Mar,Apr,May,Jun,Jul,Aug,Sep,Oct,Nov,Dec"</formula1>
    </dataValidation>
  </dataValidations>
  <hyperlinks>
    <hyperlink ref="B1" location="'Cover'!A1" display="Home"/>
  </hyperlinks>
  <printOptions horizontalCentered="1"/>
  <pageMargins left="0.3" right="0.3" top="0.4" bottom="0.45" header="0.3" footer="0.3"/>
  <pageSetup paperSize="1" fitToHeight="0" orientation="landscape"/>
  <headerFooter>
    <oddFooter>&amp;L&amp;8Refinery Outage Model  -  &amp;A&amp;C&amp;8&amp;D&amp;R&amp;8Page &amp;P of &amp;N</oddFooter>
  </headerFooter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369"/>
  <sheetViews>
    <sheetView workbookViewId="0"/>
  </sheetViews>
  <sheetFormatPr defaultRowHeight="15"/>
  <cols>
    <col min="1" max="14" width="9.7109375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 s="62">
        <v>2014</v>
      </c>
      <c r="B2" s="62">
        <v>1</v>
      </c>
      <c r="C2" s="62" t="s">
        <v>0</v>
      </c>
      <c r="D2" s="62" t="s">
        <v>1</v>
      </c>
      <c r="E2" s="62">
        <v>2511.0416</v>
      </c>
      <c r="F2" s="62">
        <v>553.454705</v>
      </c>
      <c r="I2" s="62">
        <v>2014</v>
      </c>
      <c r="J2" s="62">
        <v>1</v>
      </c>
      <c r="K2" s="62" t="s">
        <v>15</v>
      </c>
      <c r="L2" s="62" t="s">
        <v>1</v>
      </c>
      <c r="M2" s="62">
        <v>2511.0416</v>
      </c>
      <c r="N2" s="62">
        <v>553.454705</v>
      </c>
    </row>
    <row r="3" spans="1:14">
      <c r="A3" s="62">
        <v>2014</v>
      </c>
      <c r="B3" s="62">
        <v>2</v>
      </c>
      <c r="C3" s="62" t="s">
        <v>0</v>
      </c>
      <c r="D3" s="62" t="s">
        <v>1</v>
      </c>
      <c r="E3" s="62">
        <v>4128.6346</v>
      </c>
      <c r="F3" s="62">
        <v>889.0617549999999</v>
      </c>
      <c r="I3" s="62">
        <v>2014</v>
      </c>
      <c r="J3" s="62">
        <v>2</v>
      </c>
      <c r="K3" s="62" t="s">
        <v>15</v>
      </c>
      <c r="L3" s="62" t="s">
        <v>1</v>
      </c>
      <c r="M3" s="62">
        <v>4128.6346</v>
      </c>
      <c r="N3" s="62">
        <v>889.0617549999999</v>
      </c>
    </row>
    <row r="4" spans="1:14">
      <c r="A4" s="62">
        <v>2014</v>
      </c>
      <c r="B4" s="62">
        <v>3</v>
      </c>
      <c r="C4" s="62" t="s">
        <v>0</v>
      </c>
      <c r="D4" s="62" t="s">
        <v>1</v>
      </c>
      <c r="E4" s="62">
        <v>4421.8774</v>
      </c>
      <c r="F4" s="62">
        <v>1013.924205</v>
      </c>
      <c r="I4" s="62">
        <v>2014</v>
      </c>
      <c r="J4" s="62">
        <v>3</v>
      </c>
      <c r="K4" s="62" t="s">
        <v>15</v>
      </c>
      <c r="L4" s="62" t="s">
        <v>1</v>
      </c>
      <c r="M4" s="62">
        <v>4421.8774</v>
      </c>
      <c r="N4" s="62">
        <v>1013.924205</v>
      </c>
    </row>
    <row r="5" spans="1:14">
      <c r="A5" s="62">
        <v>2014</v>
      </c>
      <c r="B5" s="62">
        <v>4</v>
      </c>
      <c r="C5" s="62" t="s">
        <v>0</v>
      </c>
      <c r="D5" s="62" t="s">
        <v>1</v>
      </c>
      <c r="E5" s="62">
        <v>3123.1709</v>
      </c>
      <c r="F5" s="62">
        <v>680.7851075</v>
      </c>
      <c r="I5" s="62">
        <v>2014</v>
      </c>
      <c r="J5" s="62">
        <v>4</v>
      </c>
      <c r="K5" s="62" t="s">
        <v>15</v>
      </c>
      <c r="L5" s="62" t="s">
        <v>1</v>
      </c>
      <c r="M5" s="62">
        <v>3123.1709</v>
      </c>
      <c r="N5" s="62">
        <v>680.7851075</v>
      </c>
    </row>
    <row r="6" spans="1:14">
      <c r="A6" s="62">
        <v>2014</v>
      </c>
      <c r="B6" s="62">
        <v>5</v>
      </c>
      <c r="C6" s="62" t="s">
        <v>0</v>
      </c>
      <c r="D6" s="62" t="s">
        <v>1</v>
      </c>
      <c r="E6" s="62">
        <v>2949.3403</v>
      </c>
      <c r="F6" s="62">
        <v>602.7059399999999</v>
      </c>
      <c r="I6" s="62">
        <v>2014</v>
      </c>
      <c r="J6" s="62">
        <v>5</v>
      </c>
      <c r="K6" s="62" t="s">
        <v>15</v>
      </c>
      <c r="L6" s="62" t="s">
        <v>1</v>
      </c>
      <c r="M6" s="62">
        <v>2949.3403</v>
      </c>
      <c r="N6" s="62">
        <v>602.7059399999999</v>
      </c>
    </row>
    <row r="7" spans="1:14">
      <c r="A7" s="62">
        <v>2014</v>
      </c>
      <c r="B7" s="62">
        <v>6</v>
      </c>
      <c r="C7" s="62" t="s">
        <v>0</v>
      </c>
      <c r="D7" s="62" t="s">
        <v>1</v>
      </c>
      <c r="E7" s="62">
        <v>2742.8294</v>
      </c>
      <c r="F7" s="62">
        <v>619.94639</v>
      </c>
      <c r="I7" s="62">
        <v>2014</v>
      </c>
      <c r="J7" s="62">
        <v>6</v>
      </c>
      <c r="K7" s="62" t="s">
        <v>15</v>
      </c>
      <c r="L7" s="62" t="s">
        <v>1</v>
      </c>
      <c r="M7" s="62">
        <v>2742.8294</v>
      </c>
      <c r="N7" s="62">
        <v>619.94639</v>
      </c>
    </row>
    <row r="8" spans="1:14">
      <c r="A8" s="62">
        <v>2014</v>
      </c>
      <c r="B8" s="62">
        <v>7</v>
      </c>
      <c r="C8" s="62" t="s">
        <v>0</v>
      </c>
      <c r="D8" s="62" t="s">
        <v>1</v>
      </c>
      <c r="E8" s="62">
        <v>1119.411</v>
      </c>
      <c r="F8" s="62">
        <v>288.5019</v>
      </c>
      <c r="I8" s="62">
        <v>2014</v>
      </c>
      <c r="J8" s="62">
        <v>7</v>
      </c>
      <c r="K8" s="62" t="s">
        <v>15</v>
      </c>
      <c r="L8" s="62" t="s">
        <v>1</v>
      </c>
      <c r="M8" s="62">
        <v>1119.411</v>
      </c>
      <c r="N8" s="62">
        <v>288.5019</v>
      </c>
    </row>
    <row r="9" spans="1:14">
      <c r="A9" s="62">
        <v>2014</v>
      </c>
      <c r="B9" s="62">
        <v>8</v>
      </c>
      <c r="C9" s="62" t="s">
        <v>0</v>
      </c>
      <c r="D9" s="62" t="s">
        <v>1</v>
      </c>
      <c r="E9" s="62">
        <v>1306.1466</v>
      </c>
      <c r="F9" s="62">
        <v>332.69938</v>
      </c>
      <c r="I9" s="62">
        <v>2014</v>
      </c>
      <c r="J9" s="62">
        <v>8</v>
      </c>
      <c r="K9" s="62" t="s">
        <v>15</v>
      </c>
      <c r="L9" s="62" t="s">
        <v>1</v>
      </c>
      <c r="M9" s="62">
        <v>1306.1466</v>
      </c>
      <c r="N9" s="62">
        <v>332.69938</v>
      </c>
    </row>
    <row r="10" spans="1:14">
      <c r="A10" s="62">
        <v>2014</v>
      </c>
      <c r="B10" s="62">
        <v>9</v>
      </c>
      <c r="C10" s="62" t="s">
        <v>0</v>
      </c>
      <c r="D10" s="62" t="s">
        <v>1</v>
      </c>
      <c r="E10" s="62">
        <v>2626.4711</v>
      </c>
      <c r="F10" s="62">
        <v>787.017345</v>
      </c>
      <c r="I10" s="62">
        <v>2014</v>
      </c>
      <c r="J10" s="62">
        <v>9</v>
      </c>
      <c r="K10" s="62" t="s">
        <v>15</v>
      </c>
      <c r="L10" s="62" t="s">
        <v>1</v>
      </c>
      <c r="M10" s="62">
        <v>2626.4711</v>
      </c>
      <c r="N10" s="62">
        <v>787.017345</v>
      </c>
    </row>
    <row r="11" spans="1:14">
      <c r="A11" s="62">
        <v>2014</v>
      </c>
      <c r="B11" s="62">
        <v>10</v>
      </c>
      <c r="C11" s="62" t="s">
        <v>0</v>
      </c>
      <c r="D11" s="62" t="s">
        <v>1</v>
      </c>
      <c r="E11" s="62">
        <v>4089.875</v>
      </c>
      <c r="F11" s="62">
        <v>1088.2179</v>
      </c>
      <c r="I11" s="62">
        <v>2014</v>
      </c>
      <c r="J11" s="62">
        <v>10</v>
      </c>
      <c r="K11" s="62" t="s">
        <v>15</v>
      </c>
      <c r="L11" s="62" t="s">
        <v>1</v>
      </c>
      <c r="M11" s="62">
        <v>4089.875</v>
      </c>
      <c r="N11" s="62">
        <v>1088.2179</v>
      </c>
    </row>
    <row r="12" spans="1:14">
      <c r="A12" s="62">
        <v>2014</v>
      </c>
      <c r="B12" s="62">
        <v>11</v>
      </c>
      <c r="C12" s="62" t="s">
        <v>0</v>
      </c>
      <c r="D12" s="62" t="s">
        <v>1</v>
      </c>
      <c r="E12" s="62">
        <v>2189.1843</v>
      </c>
      <c r="F12" s="62">
        <v>496.2822175</v>
      </c>
      <c r="I12" s="62">
        <v>2014</v>
      </c>
      <c r="J12" s="62">
        <v>11</v>
      </c>
      <c r="K12" s="62" t="s">
        <v>15</v>
      </c>
      <c r="L12" s="62" t="s">
        <v>1</v>
      </c>
      <c r="M12" s="62">
        <v>2189.1843</v>
      </c>
      <c r="N12" s="62">
        <v>496.2822175</v>
      </c>
    </row>
    <row r="13" spans="1:14">
      <c r="A13" s="62">
        <v>2014</v>
      </c>
      <c r="B13" s="62">
        <v>12</v>
      </c>
      <c r="C13" s="62" t="s">
        <v>0</v>
      </c>
      <c r="D13" s="62" t="s">
        <v>1</v>
      </c>
      <c r="E13" s="62">
        <v>652.3785</v>
      </c>
      <c r="F13" s="62">
        <v>171.780675</v>
      </c>
      <c r="I13" s="62">
        <v>2014</v>
      </c>
      <c r="J13" s="62">
        <v>12</v>
      </c>
      <c r="K13" s="62" t="s">
        <v>15</v>
      </c>
      <c r="L13" s="62" t="s">
        <v>1</v>
      </c>
      <c r="M13" s="62">
        <v>652.3785</v>
      </c>
      <c r="N13" s="62">
        <v>171.780675</v>
      </c>
    </row>
    <row r="14" spans="1:14">
      <c r="A14" s="62">
        <v>2015</v>
      </c>
      <c r="B14" s="62">
        <v>1</v>
      </c>
      <c r="C14" s="62" t="s">
        <v>0</v>
      </c>
      <c r="D14" s="62" t="s">
        <v>1</v>
      </c>
      <c r="E14" s="62">
        <v>2716.3423</v>
      </c>
      <c r="F14" s="62">
        <v>708.53964</v>
      </c>
      <c r="I14" s="62">
        <v>2015</v>
      </c>
      <c r="J14" s="62">
        <v>1</v>
      </c>
      <c r="K14" s="62" t="s">
        <v>15</v>
      </c>
      <c r="L14" s="62" t="s">
        <v>1</v>
      </c>
      <c r="M14" s="62">
        <v>2716.3423</v>
      </c>
      <c r="N14" s="62">
        <v>708.53964</v>
      </c>
    </row>
    <row r="15" spans="1:14">
      <c r="A15" s="62">
        <v>2015</v>
      </c>
      <c r="B15" s="62">
        <v>2</v>
      </c>
      <c r="C15" s="62" t="s">
        <v>0</v>
      </c>
      <c r="D15" s="62" t="s">
        <v>1</v>
      </c>
      <c r="E15" s="62">
        <v>3737.6747</v>
      </c>
      <c r="F15" s="62">
        <v>998.336135</v>
      </c>
      <c r="I15" s="62">
        <v>2015</v>
      </c>
      <c r="J15" s="62">
        <v>2</v>
      </c>
      <c r="K15" s="62" t="s">
        <v>15</v>
      </c>
      <c r="L15" s="62" t="s">
        <v>1</v>
      </c>
      <c r="M15" s="62">
        <v>3737.6747</v>
      </c>
      <c r="N15" s="62">
        <v>998.336135</v>
      </c>
    </row>
    <row r="16" spans="1:14">
      <c r="A16" s="62">
        <v>2015</v>
      </c>
      <c r="B16" s="62">
        <v>3</v>
      </c>
      <c r="C16" s="62" t="s">
        <v>0</v>
      </c>
      <c r="D16" s="62" t="s">
        <v>1</v>
      </c>
      <c r="E16" s="62">
        <v>4082.843</v>
      </c>
      <c r="F16" s="62">
        <v>1119.41595</v>
      </c>
      <c r="I16" s="62">
        <v>2015</v>
      </c>
      <c r="J16" s="62">
        <v>3</v>
      </c>
      <c r="K16" s="62" t="s">
        <v>15</v>
      </c>
      <c r="L16" s="62" t="s">
        <v>1</v>
      </c>
      <c r="M16" s="62">
        <v>4082.843</v>
      </c>
      <c r="N16" s="62">
        <v>1119.41595</v>
      </c>
    </row>
    <row r="17" spans="1:14">
      <c r="A17" s="62">
        <v>2015</v>
      </c>
      <c r="B17" s="62">
        <v>4</v>
      </c>
      <c r="C17" s="62" t="s">
        <v>0</v>
      </c>
      <c r="D17" s="62" t="s">
        <v>1</v>
      </c>
      <c r="E17" s="62">
        <v>2932.338</v>
      </c>
      <c r="F17" s="62">
        <v>767.92975</v>
      </c>
      <c r="I17" s="62">
        <v>2015</v>
      </c>
      <c r="J17" s="62">
        <v>4</v>
      </c>
      <c r="K17" s="62" t="s">
        <v>15</v>
      </c>
      <c r="L17" s="62" t="s">
        <v>1</v>
      </c>
      <c r="M17" s="62">
        <v>2932.338</v>
      </c>
      <c r="N17" s="62">
        <v>767.92975</v>
      </c>
    </row>
    <row r="18" spans="1:14">
      <c r="A18" s="62">
        <v>2015</v>
      </c>
      <c r="B18" s="62">
        <v>5</v>
      </c>
      <c r="C18" s="62" t="s">
        <v>0</v>
      </c>
      <c r="D18" s="62" t="s">
        <v>1</v>
      </c>
      <c r="E18" s="62">
        <v>2131.8025</v>
      </c>
      <c r="F18" s="62">
        <v>624.842</v>
      </c>
      <c r="I18" s="62">
        <v>2015</v>
      </c>
      <c r="J18" s="62">
        <v>5</v>
      </c>
      <c r="K18" s="62" t="s">
        <v>15</v>
      </c>
      <c r="L18" s="62" t="s">
        <v>1</v>
      </c>
      <c r="M18" s="62">
        <v>2131.8025</v>
      </c>
      <c r="N18" s="62">
        <v>624.842</v>
      </c>
    </row>
    <row r="19" spans="1:14">
      <c r="A19" s="62">
        <v>2015</v>
      </c>
      <c r="B19" s="62">
        <v>6</v>
      </c>
      <c r="C19" s="62" t="s">
        <v>0</v>
      </c>
      <c r="D19" s="62" t="s">
        <v>1</v>
      </c>
      <c r="E19" s="62">
        <v>2002.252</v>
      </c>
      <c r="F19" s="62">
        <v>641.336935</v>
      </c>
      <c r="I19" s="62">
        <v>2015</v>
      </c>
      <c r="J19" s="62">
        <v>6</v>
      </c>
      <c r="K19" s="62" t="s">
        <v>15</v>
      </c>
      <c r="L19" s="62" t="s">
        <v>1</v>
      </c>
      <c r="M19" s="62">
        <v>2002.252</v>
      </c>
      <c r="N19" s="62">
        <v>641.336935</v>
      </c>
    </row>
    <row r="20" spans="1:14">
      <c r="A20" s="62">
        <v>2015</v>
      </c>
      <c r="B20" s="62">
        <v>7</v>
      </c>
      <c r="C20" s="62" t="s">
        <v>0</v>
      </c>
      <c r="D20" s="62" t="s">
        <v>1</v>
      </c>
      <c r="E20" s="62">
        <v>1680.527</v>
      </c>
      <c r="F20" s="62">
        <v>441.67201</v>
      </c>
      <c r="I20" s="62">
        <v>2015</v>
      </c>
      <c r="J20" s="62">
        <v>7</v>
      </c>
      <c r="K20" s="62" t="s">
        <v>15</v>
      </c>
      <c r="L20" s="62" t="s">
        <v>1</v>
      </c>
      <c r="M20" s="62">
        <v>1680.527</v>
      </c>
      <c r="N20" s="62">
        <v>441.67201</v>
      </c>
    </row>
    <row r="21" spans="1:14">
      <c r="A21" s="62">
        <v>2015</v>
      </c>
      <c r="B21" s="62">
        <v>8</v>
      </c>
      <c r="C21" s="62" t="s">
        <v>0</v>
      </c>
      <c r="D21" s="62" t="s">
        <v>1</v>
      </c>
      <c r="E21" s="62">
        <v>1941.514</v>
      </c>
      <c r="F21" s="62">
        <v>426.21055</v>
      </c>
      <c r="I21" s="62">
        <v>2015</v>
      </c>
      <c r="J21" s="62">
        <v>8</v>
      </c>
      <c r="K21" s="62" t="s">
        <v>15</v>
      </c>
      <c r="L21" s="62" t="s">
        <v>1</v>
      </c>
      <c r="M21" s="62">
        <v>1941.514</v>
      </c>
      <c r="N21" s="62">
        <v>426.21055</v>
      </c>
    </row>
    <row r="22" spans="1:14">
      <c r="A22" s="62">
        <v>2015</v>
      </c>
      <c r="B22" s="62">
        <v>9</v>
      </c>
      <c r="C22" s="62" t="s">
        <v>0</v>
      </c>
      <c r="D22" s="62" t="s">
        <v>1</v>
      </c>
      <c r="E22" s="62">
        <v>3163.8233</v>
      </c>
      <c r="F22" s="62">
        <v>780.725935</v>
      </c>
      <c r="I22" s="62">
        <v>2015</v>
      </c>
      <c r="J22" s="62">
        <v>9</v>
      </c>
      <c r="K22" s="62" t="s">
        <v>15</v>
      </c>
      <c r="L22" s="62" t="s">
        <v>1</v>
      </c>
      <c r="M22" s="62">
        <v>3163.8233</v>
      </c>
      <c r="N22" s="62">
        <v>780.725935</v>
      </c>
    </row>
    <row r="23" spans="1:14">
      <c r="A23" s="62">
        <v>2015</v>
      </c>
      <c r="B23" s="62">
        <v>10</v>
      </c>
      <c r="C23" s="62" t="s">
        <v>0</v>
      </c>
      <c r="D23" s="62" t="s">
        <v>1</v>
      </c>
      <c r="E23" s="62">
        <v>4245.1544</v>
      </c>
      <c r="F23" s="62">
        <v>1081.3002575</v>
      </c>
      <c r="I23" s="62">
        <v>2015</v>
      </c>
      <c r="J23" s="62">
        <v>10</v>
      </c>
      <c r="K23" s="62" t="s">
        <v>15</v>
      </c>
      <c r="L23" s="62" t="s">
        <v>1</v>
      </c>
      <c r="M23" s="62">
        <v>4245.1544</v>
      </c>
      <c r="N23" s="62">
        <v>1081.3002575</v>
      </c>
    </row>
    <row r="24" spans="1:14">
      <c r="A24" s="62">
        <v>2015</v>
      </c>
      <c r="B24" s="62">
        <v>11</v>
      </c>
      <c r="C24" s="62" t="s">
        <v>0</v>
      </c>
      <c r="D24" s="62" t="s">
        <v>1</v>
      </c>
      <c r="E24" s="62">
        <v>2429.7722</v>
      </c>
      <c r="F24" s="62">
        <v>684.403605</v>
      </c>
      <c r="I24" s="62">
        <v>2015</v>
      </c>
      <c r="J24" s="62">
        <v>11</v>
      </c>
      <c r="K24" s="62" t="s">
        <v>15</v>
      </c>
      <c r="L24" s="62" t="s">
        <v>1</v>
      </c>
      <c r="M24" s="62">
        <v>2429.7722</v>
      </c>
      <c r="N24" s="62">
        <v>684.403605</v>
      </c>
    </row>
    <row r="25" spans="1:14">
      <c r="A25" s="62">
        <v>2015</v>
      </c>
      <c r="B25" s="62">
        <v>12</v>
      </c>
      <c r="C25" s="62" t="s">
        <v>0</v>
      </c>
      <c r="D25" s="62" t="s">
        <v>1</v>
      </c>
      <c r="E25" s="62">
        <v>1935.2694</v>
      </c>
      <c r="F25" s="62">
        <v>542.568755</v>
      </c>
      <c r="I25" s="62">
        <v>2015</v>
      </c>
      <c r="J25" s="62">
        <v>12</v>
      </c>
      <c r="K25" s="62" t="s">
        <v>15</v>
      </c>
      <c r="L25" s="62" t="s">
        <v>1</v>
      </c>
      <c r="M25" s="62">
        <v>1935.2694</v>
      </c>
      <c r="N25" s="62">
        <v>542.568755</v>
      </c>
    </row>
    <row r="26" spans="1:14">
      <c r="A26" s="62">
        <v>2016</v>
      </c>
      <c r="B26" s="62">
        <v>1</v>
      </c>
      <c r="C26" s="62" t="s">
        <v>0</v>
      </c>
      <c r="D26" s="62" t="s">
        <v>1</v>
      </c>
      <c r="E26" s="62">
        <v>2860.983</v>
      </c>
      <c r="F26" s="62">
        <v>702.5405</v>
      </c>
      <c r="I26" s="62">
        <v>2016</v>
      </c>
      <c r="J26" s="62">
        <v>1</v>
      </c>
      <c r="K26" s="62" t="s">
        <v>15</v>
      </c>
      <c r="L26" s="62" t="s">
        <v>1</v>
      </c>
      <c r="M26" s="62">
        <v>2860.983</v>
      </c>
      <c r="N26" s="62">
        <v>702.5405</v>
      </c>
    </row>
    <row r="27" spans="1:14">
      <c r="A27" s="62">
        <v>2016</v>
      </c>
      <c r="B27" s="62">
        <v>2</v>
      </c>
      <c r="C27" s="62" t="s">
        <v>0</v>
      </c>
      <c r="D27" s="62" t="s">
        <v>1</v>
      </c>
      <c r="E27" s="62">
        <v>3378.2843</v>
      </c>
      <c r="F27" s="62">
        <v>856.4378525</v>
      </c>
      <c r="I27" s="62">
        <v>2016</v>
      </c>
      <c r="J27" s="62">
        <v>2</v>
      </c>
      <c r="K27" s="62" t="s">
        <v>15</v>
      </c>
      <c r="L27" s="62" t="s">
        <v>1</v>
      </c>
      <c r="M27" s="62">
        <v>3378.2843</v>
      </c>
      <c r="N27" s="62">
        <v>856.4378525</v>
      </c>
    </row>
    <row r="28" spans="1:14">
      <c r="A28" s="62">
        <v>2016</v>
      </c>
      <c r="B28" s="62">
        <v>3</v>
      </c>
      <c r="C28" s="62" t="s">
        <v>0</v>
      </c>
      <c r="D28" s="62" t="s">
        <v>1</v>
      </c>
      <c r="E28" s="62">
        <v>2856.6649</v>
      </c>
      <c r="F28" s="62">
        <v>680.7402925</v>
      </c>
      <c r="I28" s="62">
        <v>2016</v>
      </c>
      <c r="J28" s="62">
        <v>3</v>
      </c>
      <c r="K28" s="62" t="s">
        <v>15</v>
      </c>
      <c r="L28" s="62" t="s">
        <v>1</v>
      </c>
      <c r="M28" s="62">
        <v>2856.6649</v>
      </c>
      <c r="N28" s="62">
        <v>680.7402925</v>
      </c>
    </row>
    <row r="29" spans="1:14">
      <c r="A29" s="62">
        <v>2016</v>
      </c>
      <c r="B29" s="62">
        <v>4</v>
      </c>
      <c r="C29" s="62" t="s">
        <v>0</v>
      </c>
      <c r="D29" s="62" t="s">
        <v>1</v>
      </c>
      <c r="E29" s="62">
        <v>3420.6431</v>
      </c>
      <c r="F29" s="62">
        <v>914.6574425</v>
      </c>
      <c r="I29" s="62">
        <v>2016</v>
      </c>
      <c r="J29" s="62">
        <v>4</v>
      </c>
      <c r="K29" s="62" t="s">
        <v>15</v>
      </c>
      <c r="L29" s="62" t="s">
        <v>1</v>
      </c>
      <c r="M29" s="62">
        <v>3420.6431</v>
      </c>
      <c r="N29" s="62">
        <v>914.6574425</v>
      </c>
    </row>
    <row r="30" spans="1:14">
      <c r="A30" s="62">
        <v>2016</v>
      </c>
      <c r="B30" s="62">
        <v>5</v>
      </c>
      <c r="C30" s="62" t="s">
        <v>0</v>
      </c>
      <c r="D30" s="62" t="s">
        <v>1</v>
      </c>
      <c r="E30" s="62">
        <v>2686.364</v>
      </c>
      <c r="F30" s="62">
        <v>715.8103275</v>
      </c>
      <c r="I30" s="62">
        <v>2016</v>
      </c>
      <c r="J30" s="62">
        <v>5</v>
      </c>
      <c r="K30" s="62" t="s">
        <v>15</v>
      </c>
      <c r="L30" s="62" t="s">
        <v>1</v>
      </c>
      <c r="M30" s="62">
        <v>2686.364</v>
      </c>
      <c r="N30" s="62">
        <v>715.8103275</v>
      </c>
    </row>
    <row r="31" spans="1:14">
      <c r="A31" s="62">
        <v>2016</v>
      </c>
      <c r="B31" s="62">
        <v>6</v>
      </c>
      <c r="C31" s="62" t="s">
        <v>0</v>
      </c>
      <c r="D31" s="62" t="s">
        <v>1</v>
      </c>
      <c r="E31" s="62">
        <v>1393.9105</v>
      </c>
      <c r="F31" s="62">
        <v>389.6</v>
      </c>
      <c r="I31" s="62">
        <v>2016</v>
      </c>
      <c r="J31" s="62">
        <v>6</v>
      </c>
      <c r="K31" s="62" t="s">
        <v>15</v>
      </c>
      <c r="L31" s="62" t="s">
        <v>1</v>
      </c>
      <c r="M31" s="62">
        <v>1393.9105</v>
      </c>
      <c r="N31" s="62">
        <v>389.6</v>
      </c>
    </row>
    <row r="32" spans="1:14">
      <c r="A32" s="62">
        <v>2016</v>
      </c>
      <c r="B32" s="62">
        <v>7</v>
      </c>
      <c r="C32" s="62" t="s">
        <v>0</v>
      </c>
      <c r="D32" s="62" t="s">
        <v>1</v>
      </c>
      <c r="E32" s="62">
        <v>1169.45</v>
      </c>
      <c r="F32" s="62">
        <v>292.450925</v>
      </c>
      <c r="I32" s="62">
        <v>2016</v>
      </c>
      <c r="J32" s="62">
        <v>7</v>
      </c>
      <c r="K32" s="62" t="s">
        <v>15</v>
      </c>
      <c r="L32" s="62" t="s">
        <v>1</v>
      </c>
      <c r="M32" s="62">
        <v>1169.45</v>
      </c>
      <c r="N32" s="62">
        <v>292.450925</v>
      </c>
    </row>
    <row r="33" spans="1:14">
      <c r="A33" s="62">
        <v>2016</v>
      </c>
      <c r="B33" s="62">
        <v>8</v>
      </c>
      <c r="C33" s="62" t="s">
        <v>0</v>
      </c>
      <c r="D33" s="62" t="s">
        <v>1</v>
      </c>
      <c r="E33" s="62">
        <v>1157.1605</v>
      </c>
      <c r="F33" s="62">
        <v>285.445125</v>
      </c>
      <c r="I33" s="62">
        <v>2016</v>
      </c>
      <c r="J33" s="62">
        <v>8</v>
      </c>
      <c r="K33" s="62" t="s">
        <v>15</v>
      </c>
      <c r="L33" s="62" t="s">
        <v>1</v>
      </c>
      <c r="M33" s="62">
        <v>1157.1605</v>
      </c>
      <c r="N33" s="62">
        <v>285.445125</v>
      </c>
    </row>
    <row r="34" spans="1:14">
      <c r="A34" s="62">
        <v>2016</v>
      </c>
      <c r="B34" s="62">
        <v>9</v>
      </c>
      <c r="C34" s="62" t="s">
        <v>0</v>
      </c>
      <c r="D34" s="62" t="s">
        <v>1</v>
      </c>
      <c r="E34" s="62">
        <v>2368.8943</v>
      </c>
      <c r="F34" s="62">
        <v>498.17494</v>
      </c>
      <c r="I34" s="62">
        <v>2016</v>
      </c>
      <c r="J34" s="62">
        <v>9</v>
      </c>
      <c r="K34" s="62" t="s">
        <v>15</v>
      </c>
      <c r="L34" s="62" t="s">
        <v>1</v>
      </c>
      <c r="M34" s="62">
        <v>2368.8943</v>
      </c>
      <c r="N34" s="62">
        <v>498.17494</v>
      </c>
    </row>
    <row r="35" spans="1:14">
      <c r="A35" s="62">
        <v>2016</v>
      </c>
      <c r="B35" s="62">
        <v>10</v>
      </c>
      <c r="C35" s="62" t="s">
        <v>0</v>
      </c>
      <c r="D35" s="62" t="s">
        <v>1</v>
      </c>
      <c r="E35" s="62">
        <v>4515.0891</v>
      </c>
      <c r="F35" s="62">
        <v>998.8200425</v>
      </c>
      <c r="I35" s="62">
        <v>2016</v>
      </c>
      <c r="J35" s="62">
        <v>10</v>
      </c>
      <c r="K35" s="62" t="s">
        <v>15</v>
      </c>
      <c r="L35" s="62" t="s">
        <v>1</v>
      </c>
      <c r="M35" s="62">
        <v>4515.0891</v>
      </c>
      <c r="N35" s="62">
        <v>998.8200425</v>
      </c>
    </row>
    <row r="36" spans="1:14">
      <c r="A36" s="62">
        <v>2016</v>
      </c>
      <c r="B36" s="62">
        <v>11</v>
      </c>
      <c r="C36" s="62" t="s">
        <v>0</v>
      </c>
      <c r="D36" s="62" t="s">
        <v>1</v>
      </c>
      <c r="E36" s="62">
        <v>2142.3115</v>
      </c>
      <c r="F36" s="62">
        <v>513.50755</v>
      </c>
      <c r="I36" s="62">
        <v>2016</v>
      </c>
      <c r="J36" s="62">
        <v>11</v>
      </c>
      <c r="K36" s="62" t="s">
        <v>15</v>
      </c>
      <c r="L36" s="62" t="s">
        <v>1</v>
      </c>
      <c r="M36" s="62">
        <v>2142.3115</v>
      </c>
      <c r="N36" s="62">
        <v>513.50755</v>
      </c>
    </row>
    <row r="37" spans="1:14">
      <c r="A37" s="62">
        <v>2016</v>
      </c>
      <c r="B37" s="62">
        <v>12</v>
      </c>
      <c r="C37" s="62" t="s">
        <v>0</v>
      </c>
      <c r="D37" s="62" t="s">
        <v>1</v>
      </c>
      <c r="E37" s="62">
        <v>1047.3438</v>
      </c>
      <c r="F37" s="62">
        <v>234.136005</v>
      </c>
      <c r="I37" s="62">
        <v>2016</v>
      </c>
      <c r="J37" s="62">
        <v>12</v>
      </c>
      <c r="K37" s="62" t="s">
        <v>15</v>
      </c>
      <c r="L37" s="62" t="s">
        <v>1</v>
      </c>
      <c r="M37" s="62">
        <v>1047.3438</v>
      </c>
      <c r="N37" s="62">
        <v>234.136005</v>
      </c>
    </row>
    <row r="38" spans="1:14">
      <c r="A38" s="62">
        <v>2017</v>
      </c>
      <c r="B38" s="62">
        <v>1</v>
      </c>
      <c r="C38" s="62" t="s">
        <v>0</v>
      </c>
      <c r="D38" s="62" t="s">
        <v>1</v>
      </c>
      <c r="E38" s="62">
        <v>2701.2162</v>
      </c>
      <c r="F38" s="62">
        <v>698.7721</v>
      </c>
      <c r="I38" s="62">
        <v>2017</v>
      </c>
      <c r="J38" s="62">
        <v>1</v>
      </c>
      <c r="K38" s="62" t="s">
        <v>15</v>
      </c>
      <c r="L38" s="62" t="s">
        <v>1</v>
      </c>
      <c r="M38" s="62">
        <v>2701.2162</v>
      </c>
      <c r="N38" s="62">
        <v>698.7721</v>
      </c>
    </row>
    <row r="39" spans="1:14">
      <c r="A39" s="62">
        <v>2017</v>
      </c>
      <c r="B39" s="62">
        <v>2</v>
      </c>
      <c r="C39" s="62" t="s">
        <v>0</v>
      </c>
      <c r="D39" s="62" t="s">
        <v>1</v>
      </c>
      <c r="E39" s="62">
        <v>4727.1466</v>
      </c>
      <c r="F39" s="62">
        <v>1166.28422</v>
      </c>
      <c r="I39" s="62">
        <v>2017</v>
      </c>
      <c r="J39" s="62">
        <v>2</v>
      </c>
      <c r="K39" s="62" t="s">
        <v>15</v>
      </c>
      <c r="L39" s="62" t="s">
        <v>1</v>
      </c>
      <c r="M39" s="62">
        <v>4727.1466</v>
      </c>
      <c r="N39" s="62">
        <v>1166.28422</v>
      </c>
    </row>
    <row r="40" spans="1:14">
      <c r="A40" s="62">
        <v>2017</v>
      </c>
      <c r="B40" s="62">
        <v>3</v>
      </c>
      <c r="C40" s="62" t="s">
        <v>0</v>
      </c>
      <c r="D40" s="62" t="s">
        <v>1</v>
      </c>
      <c r="E40" s="62">
        <v>4391.0779</v>
      </c>
      <c r="F40" s="62">
        <v>1052.759555</v>
      </c>
      <c r="I40" s="62">
        <v>2017</v>
      </c>
      <c r="J40" s="62">
        <v>3</v>
      </c>
      <c r="K40" s="62" t="s">
        <v>15</v>
      </c>
      <c r="L40" s="62" t="s">
        <v>1</v>
      </c>
      <c r="M40" s="62">
        <v>4391.0779</v>
      </c>
      <c r="N40" s="62">
        <v>1052.759555</v>
      </c>
    </row>
    <row r="41" spans="1:14">
      <c r="A41" s="62">
        <v>2017</v>
      </c>
      <c r="B41" s="62">
        <v>4</v>
      </c>
      <c r="C41" s="62" t="s">
        <v>0</v>
      </c>
      <c r="D41" s="62" t="s">
        <v>1</v>
      </c>
      <c r="E41" s="62">
        <v>2546.959</v>
      </c>
      <c r="F41" s="62">
        <v>652.0986875</v>
      </c>
      <c r="I41" s="62">
        <v>2017</v>
      </c>
      <c r="J41" s="62">
        <v>4</v>
      </c>
      <c r="K41" s="62" t="s">
        <v>15</v>
      </c>
      <c r="L41" s="62" t="s">
        <v>1</v>
      </c>
      <c r="M41" s="62">
        <v>2546.959</v>
      </c>
      <c r="N41" s="62">
        <v>652.0986875</v>
      </c>
    </row>
    <row r="42" spans="1:14">
      <c r="A42" s="62">
        <v>2017</v>
      </c>
      <c r="B42" s="62">
        <v>5</v>
      </c>
      <c r="C42" s="62" t="s">
        <v>0</v>
      </c>
      <c r="D42" s="62" t="s">
        <v>1</v>
      </c>
      <c r="E42" s="62">
        <v>2036.6085</v>
      </c>
      <c r="F42" s="62">
        <v>491.9073375</v>
      </c>
      <c r="I42" s="62">
        <v>2017</v>
      </c>
      <c r="J42" s="62">
        <v>5</v>
      </c>
      <c r="K42" s="62" t="s">
        <v>15</v>
      </c>
      <c r="L42" s="62" t="s">
        <v>1</v>
      </c>
      <c r="M42" s="62">
        <v>2036.6085</v>
      </c>
      <c r="N42" s="62">
        <v>491.9073375</v>
      </c>
    </row>
    <row r="43" spans="1:14">
      <c r="A43" s="62">
        <v>2017</v>
      </c>
      <c r="B43" s="62">
        <v>6</v>
      </c>
      <c r="C43" s="62" t="s">
        <v>0</v>
      </c>
      <c r="D43" s="62" t="s">
        <v>1</v>
      </c>
      <c r="E43" s="62">
        <v>1271.599</v>
      </c>
      <c r="F43" s="62">
        <v>267.2421</v>
      </c>
      <c r="I43" s="62">
        <v>2017</v>
      </c>
      <c r="J43" s="62">
        <v>6</v>
      </c>
      <c r="K43" s="62" t="s">
        <v>15</v>
      </c>
      <c r="L43" s="62" t="s">
        <v>1</v>
      </c>
      <c r="M43" s="62">
        <v>1271.599</v>
      </c>
      <c r="N43" s="62">
        <v>267.2421</v>
      </c>
    </row>
    <row r="44" spans="1:14">
      <c r="A44" s="62">
        <v>2017</v>
      </c>
      <c r="B44" s="62">
        <v>7</v>
      </c>
      <c r="C44" s="62" t="s">
        <v>0</v>
      </c>
      <c r="D44" s="62" t="s">
        <v>1</v>
      </c>
      <c r="E44" s="62">
        <v>949.1197999999999</v>
      </c>
      <c r="F44" s="62">
        <v>303.7709725</v>
      </c>
      <c r="I44" s="62">
        <v>2017</v>
      </c>
      <c r="J44" s="62">
        <v>7</v>
      </c>
      <c r="K44" s="62" t="s">
        <v>15</v>
      </c>
      <c r="L44" s="62" t="s">
        <v>1</v>
      </c>
      <c r="M44" s="62">
        <v>949.1197999999999</v>
      </c>
      <c r="N44" s="62">
        <v>303.7709725</v>
      </c>
    </row>
    <row r="45" spans="1:14">
      <c r="A45" s="62">
        <v>2017</v>
      </c>
      <c r="B45" s="62">
        <v>8</v>
      </c>
      <c r="C45" s="62" t="s">
        <v>0</v>
      </c>
      <c r="D45" s="62" t="s">
        <v>1</v>
      </c>
      <c r="E45" s="62">
        <v>2815.6721</v>
      </c>
      <c r="F45" s="62">
        <v>658.8261025</v>
      </c>
      <c r="I45" s="62">
        <v>2017</v>
      </c>
      <c r="J45" s="62">
        <v>8</v>
      </c>
      <c r="K45" s="62" t="s">
        <v>15</v>
      </c>
      <c r="L45" s="62" t="s">
        <v>1</v>
      </c>
      <c r="M45" s="62">
        <v>2815.6721</v>
      </c>
      <c r="N45" s="62">
        <v>658.8261025</v>
      </c>
    </row>
    <row r="46" spans="1:14">
      <c r="A46" s="62">
        <v>2017</v>
      </c>
      <c r="B46" s="62">
        <v>9</v>
      </c>
      <c r="C46" s="62" t="s">
        <v>0</v>
      </c>
      <c r="D46" s="62" t="s">
        <v>1</v>
      </c>
      <c r="E46" s="62">
        <v>7943.7785</v>
      </c>
      <c r="F46" s="62">
        <v>1705.3783875</v>
      </c>
      <c r="I46" s="62">
        <v>2017</v>
      </c>
      <c r="J46" s="62">
        <v>9</v>
      </c>
      <c r="K46" s="62" t="s">
        <v>15</v>
      </c>
      <c r="L46" s="62" t="s">
        <v>1</v>
      </c>
      <c r="M46" s="62">
        <v>7943.7785</v>
      </c>
      <c r="N46" s="62">
        <v>1705.3783875</v>
      </c>
    </row>
    <row r="47" spans="1:14">
      <c r="A47" s="62">
        <v>2017</v>
      </c>
      <c r="B47" s="62">
        <v>10</v>
      </c>
      <c r="C47" s="62" t="s">
        <v>0</v>
      </c>
      <c r="D47" s="62" t="s">
        <v>1</v>
      </c>
      <c r="E47" s="62">
        <v>4559.5532</v>
      </c>
      <c r="F47" s="62">
        <v>846.46646</v>
      </c>
      <c r="I47" s="62">
        <v>2017</v>
      </c>
      <c r="J47" s="62">
        <v>10</v>
      </c>
      <c r="K47" s="62" t="s">
        <v>15</v>
      </c>
      <c r="L47" s="62" t="s">
        <v>1</v>
      </c>
      <c r="M47" s="62">
        <v>4559.5532</v>
      </c>
      <c r="N47" s="62">
        <v>846.46646</v>
      </c>
    </row>
    <row r="48" spans="1:14">
      <c r="A48" s="62">
        <v>2017</v>
      </c>
      <c r="B48" s="62">
        <v>11</v>
      </c>
      <c r="C48" s="62" t="s">
        <v>0</v>
      </c>
      <c r="D48" s="62" t="s">
        <v>1</v>
      </c>
      <c r="E48" s="62">
        <v>2616.032</v>
      </c>
      <c r="F48" s="62">
        <v>625.490625</v>
      </c>
      <c r="I48" s="62">
        <v>2017</v>
      </c>
      <c r="J48" s="62">
        <v>11</v>
      </c>
      <c r="K48" s="62" t="s">
        <v>15</v>
      </c>
      <c r="L48" s="62" t="s">
        <v>1</v>
      </c>
      <c r="M48" s="62">
        <v>2616.032</v>
      </c>
      <c r="N48" s="62">
        <v>625.490625</v>
      </c>
    </row>
    <row r="49" spans="1:14">
      <c r="A49" s="62">
        <v>2017</v>
      </c>
      <c r="B49" s="62">
        <v>12</v>
      </c>
      <c r="C49" s="62" t="s">
        <v>0</v>
      </c>
      <c r="D49" s="62" t="s">
        <v>1</v>
      </c>
      <c r="E49" s="62">
        <v>626.8315</v>
      </c>
      <c r="F49" s="62">
        <v>153.8517625</v>
      </c>
      <c r="I49" s="62">
        <v>2017</v>
      </c>
      <c r="J49" s="62">
        <v>12</v>
      </c>
      <c r="K49" s="62" t="s">
        <v>15</v>
      </c>
      <c r="L49" s="62" t="s">
        <v>1</v>
      </c>
      <c r="M49" s="62">
        <v>626.8315</v>
      </c>
      <c r="N49" s="62">
        <v>153.8517625</v>
      </c>
    </row>
    <row r="50" spans="1:14">
      <c r="A50" s="62">
        <v>2018</v>
      </c>
      <c r="B50" s="62">
        <v>1</v>
      </c>
      <c r="C50" s="62" t="s">
        <v>0</v>
      </c>
      <c r="D50" s="62" t="s">
        <v>1</v>
      </c>
      <c r="E50" s="62">
        <v>1861.8575</v>
      </c>
      <c r="F50" s="62">
        <v>449.1352375</v>
      </c>
      <c r="I50" s="62">
        <v>2018</v>
      </c>
      <c r="J50" s="62">
        <v>1</v>
      </c>
      <c r="K50" s="62" t="s">
        <v>15</v>
      </c>
      <c r="L50" s="62" t="s">
        <v>1</v>
      </c>
      <c r="M50" s="62">
        <v>1861.8575</v>
      </c>
      <c r="N50" s="62">
        <v>449.1352375</v>
      </c>
    </row>
    <row r="51" spans="1:14">
      <c r="A51" s="62">
        <v>2018</v>
      </c>
      <c r="B51" s="62">
        <v>2</v>
      </c>
      <c r="C51" s="62" t="s">
        <v>0</v>
      </c>
      <c r="D51" s="62" t="s">
        <v>1</v>
      </c>
      <c r="E51" s="62">
        <v>4385.2274</v>
      </c>
      <c r="F51" s="62">
        <v>1014.83313</v>
      </c>
      <c r="I51" s="62">
        <v>2018</v>
      </c>
      <c r="J51" s="62">
        <v>2</v>
      </c>
      <c r="K51" s="62" t="s">
        <v>15</v>
      </c>
      <c r="L51" s="62" t="s">
        <v>1</v>
      </c>
      <c r="M51" s="62">
        <v>4385.2274</v>
      </c>
      <c r="N51" s="62">
        <v>1014.83313</v>
      </c>
    </row>
    <row r="52" spans="1:14">
      <c r="A52" s="62">
        <v>2018</v>
      </c>
      <c r="B52" s="62">
        <v>3</v>
      </c>
      <c r="C52" s="62" t="s">
        <v>0</v>
      </c>
      <c r="D52" s="62" t="s">
        <v>1</v>
      </c>
      <c r="E52" s="62">
        <v>3891.1352</v>
      </c>
      <c r="F52" s="62">
        <v>913.15254</v>
      </c>
      <c r="I52" s="62">
        <v>2018</v>
      </c>
      <c r="J52" s="62">
        <v>3</v>
      </c>
      <c r="K52" s="62" t="s">
        <v>15</v>
      </c>
      <c r="L52" s="62" t="s">
        <v>1</v>
      </c>
      <c r="M52" s="62">
        <v>3891.1352</v>
      </c>
      <c r="N52" s="62">
        <v>913.15254</v>
      </c>
    </row>
    <row r="53" spans="1:14">
      <c r="A53" s="62">
        <v>2018</v>
      </c>
      <c r="B53" s="62">
        <v>4</v>
      </c>
      <c r="C53" s="62" t="s">
        <v>0</v>
      </c>
      <c r="D53" s="62" t="s">
        <v>1</v>
      </c>
      <c r="E53" s="62">
        <v>3200.5971</v>
      </c>
      <c r="F53" s="62">
        <v>741.8362925</v>
      </c>
      <c r="I53" s="62">
        <v>2018</v>
      </c>
      <c r="J53" s="62">
        <v>4</v>
      </c>
      <c r="K53" s="62" t="s">
        <v>15</v>
      </c>
      <c r="L53" s="62" t="s">
        <v>1</v>
      </c>
      <c r="M53" s="62">
        <v>3200.5971</v>
      </c>
      <c r="N53" s="62">
        <v>741.8362925</v>
      </c>
    </row>
    <row r="54" spans="1:14">
      <c r="A54" s="62">
        <v>2018</v>
      </c>
      <c r="B54" s="62">
        <v>5</v>
      </c>
      <c r="C54" s="62" t="s">
        <v>0</v>
      </c>
      <c r="D54" s="62" t="s">
        <v>1</v>
      </c>
      <c r="E54" s="62">
        <v>2830.4237</v>
      </c>
      <c r="F54" s="62">
        <v>687.3091075</v>
      </c>
      <c r="I54" s="62">
        <v>2018</v>
      </c>
      <c r="J54" s="62">
        <v>5</v>
      </c>
      <c r="K54" s="62" t="s">
        <v>15</v>
      </c>
      <c r="L54" s="62" t="s">
        <v>1</v>
      </c>
      <c r="M54" s="62">
        <v>2830.4237</v>
      </c>
      <c r="N54" s="62">
        <v>687.3091075</v>
      </c>
    </row>
    <row r="55" spans="1:14">
      <c r="A55" s="62">
        <v>2018</v>
      </c>
      <c r="B55" s="62">
        <v>6</v>
      </c>
      <c r="C55" s="62" t="s">
        <v>0</v>
      </c>
      <c r="D55" s="62" t="s">
        <v>1</v>
      </c>
      <c r="E55" s="62">
        <v>1361.831</v>
      </c>
      <c r="F55" s="62">
        <v>367.025325</v>
      </c>
      <c r="I55" s="62">
        <v>2018</v>
      </c>
      <c r="J55" s="62">
        <v>6</v>
      </c>
      <c r="K55" s="62" t="s">
        <v>15</v>
      </c>
      <c r="L55" s="62" t="s">
        <v>1</v>
      </c>
      <c r="M55" s="62">
        <v>1361.831</v>
      </c>
      <c r="N55" s="62">
        <v>367.025325</v>
      </c>
    </row>
    <row r="56" spans="1:14">
      <c r="A56" s="62">
        <v>2018</v>
      </c>
      <c r="B56" s="62">
        <v>7</v>
      </c>
      <c r="C56" s="62" t="s">
        <v>0</v>
      </c>
      <c r="D56" s="62" t="s">
        <v>1</v>
      </c>
      <c r="E56" s="62">
        <v>2025.8086</v>
      </c>
      <c r="F56" s="62">
        <v>487.629875</v>
      </c>
      <c r="I56" s="62">
        <v>2018</v>
      </c>
      <c r="J56" s="62">
        <v>7</v>
      </c>
      <c r="K56" s="62" t="s">
        <v>15</v>
      </c>
      <c r="L56" s="62" t="s">
        <v>1</v>
      </c>
      <c r="M56" s="62">
        <v>2025.8086</v>
      </c>
      <c r="N56" s="62">
        <v>487.629875</v>
      </c>
    </row>
    <row r="57" spans="1:14">
      <c r="A57" s="62">
        <v>2018</v>
      </c>
      <c r="B57" s="62">
        <v>8</v>
      </c>
      <c r="C57" s="62" t="s">
        <v>0</v>
      </c>
      <c r="D57" s="62" t="s">
        <v>1</v>
      </c>
      <c r="E57" s="62">
        <v>1681.6739</v>
      </c>
      <c r="F57" s="62">
        <v>421.1981075</v>
      </c>
      <c r="I57" s="62">
        <v>2018</v>
      </c>
      <c r="J57" s="62">
        <v>8</v>
      </c>
      <c r="K57" s="62" t="s">
        <v>15</v>
      </c>
      <c r="L57" s="62" t="s">
        <v>1</v>
      </c>
      <c r="M57" s="62">
        <v>1681.6739</v>
      </c>
      <c r="N57" s="62">
        <v>421.1981075</v>
      </c>
    </row>
    <row r="58" spans="1:14">
      <c r="A58" s="62">
        <v>2018</v>
      </c>
      <c r="B58" s="62">
        <v>9</v>
      </c>
      <c r="C58" s="62" t="s">
        <v>0</v>
      </c>
      <c r="D58" s="62" t="s">
        <v>1</v>
      </c>
      <c r="E58" s="62">
        <v>2841.9706</v>
      </c>
      <c r="F58" s="62">
        <v>651.4354099999999</v>
      </c>
      <c r="I58" s="62">
        <v>2018</v>
      </c>
      <c r="J58" s="62">
        <v>9</v>
      </c>
      <c r="K58" s="62" t="s">
        <v>15</v>
      </c>
      <c r="L58" s="62" t="s">
        <v>1</v>
      </c>
      <c r="M58" s="62">
        <v>2841.9706</v>
      </c>
      <c r="N58" s="62">
        <v>651.4354099999999</v>
      </c>
    </row>
    <row r="59" spans="1:14">
      <c r="A59" s="62">
        <v>2018</v>
      </c>
      <c r="B59" s="62">
        <v>10</v>
      </c>
      <c r="C59" s="62" t="s">
        <v>0</v>
      </c>
      <c r="D59" s="62" t="s">
        <v>1</v>
      </c>
      <c r="E59" s="62">
        <v>4856.704</v>
      </c>
      <c r="F59" s="62">
        <v>1051.53718</v>
      </c>
      <c r="I59" s="62">
        <v>2018</v>
      </c>
      <c r="J59" s="62">
        <v>10</v>
      </c>
      <c r="K59" s="62" t="s">
        <v>15</v>
      </c>
      <c r="L59" s="62" t="s">
        <v>1</v>
      </c>
      <c r="M59" s="62">
        <v>4856.704</v>
      </c>
      <c r="N59" s="62">
        <v>1051.53718</v>
      </c>
    </row>
    <row r="60" spans="1:14">
      <c r="A60" s="62">
        <v>2018</v>
      </c>
      <c r="B60" s="62">
        <v>11</v>
      </c>
      <c r="C60" s="62" t="s">
        <v>0</v>
      </c>
      <c r="D60" s="62" t="s">
        <v>1</v>
      </c>
      <c r="E60" s="62">
        <v>2295.9006</v>
      </c>
      <c r="F60" s="62">
        <v>548.5190924999999</v>
      </c>
      <c r="I60" s="62">
        <v>2018</v>
      </c>
      <c r="J60" s="62">
        <v>11</v>
      </c>
      <c r="K60" s="62" t="s">
        <v>15</v>
      </c>
      <c r="L60" s="62" t="s">
        <v>1</v>
      </c>
      <c r="M60" s="62">
        <v>2295.9006</v>
      </c>
      <c r="N60" s="62">
        <v>548.5190924999999</v>
      </c>
    </row>
    <row r="61" spans="1:14">
      <c r="A61" s="62">
        <v>2018</v>
      </c>
      <c r="B61" s="62">
        <v>12</v>
      </c>
      <c r="C61" s="62" t="s">
        <v>0</v>
      </c>
      <c r="D61" s="62" t="s">
        <v>1</v>
      </c>
      <c r="E61" s="62">
        <v>802.355</v>
      </c>
      <c r="F61" s="62">
        <v>204.5339</v>
      </c>
      <c r="I61" s="62">
        <v>2018</v>
      </c>
      <c r="J61" s="62">
        <v>12</v>
      </c>
      <c r="K61" s="62" t="s">
        <v>15</v>
      </c>
      <c r="L61" s="62" t="s">
        <v>1</v>
      </c>
      <c r="M61" s="62">
        <v>802.355</v>
      </c>
      <c r="N61" s="62">
        <v>204.5339</v>
      </c>
    </row>
    <row r="62" spans="1:14">
      <c r="A62" s="62">
        <v>2019</v>
      </c>
      <c r="B62" s="62">
        <v>1</v>
      </c>
      <c r="C62" s="62" t="s">
        <v>0</v>
      </c>
      <c r="D62" s="62" t="s">
        <v>1</v>
      </c>
      <c r="E62" s="62">
        <v>2650.7318</v>
      </c>
      <c r="F62" s="62">
        <v>664.94966</v>
      </c>
      <c r="I62" s="62">
        <v>2019</v>
      </c>
      <c r="J62" s="62">
        <v>1</v>
      </c>
      <c r="K62" s="62" t="s">
        <v>15</v>
      </c>
      <c r="L62" s="62" t="s">
        <v>1</v>
      </c>
      <c r="M62" s="62">
        <v>2650.7318</v>
      </c>
      <c r="N62" s="62">
        <v>664.94966</v>
      </c>
    </row>
    <row r="63" spans="1:14">
      <c r="A63" s="62">
        <v>2019</v>
      </c>
      <c r="B63" s="62">
        <v>2</v>
      </c>
      <c r="C63" s="62" t="s">
        <v>0</v>
      </c>
      <c r="D63" s="62" t="s">
        <v>1</v>
      </c>
      <c r="E63" s="62">
        <v>4505.4825</v>
      </c>
      <c r="F63" s="62">
        <v>997.7118725</v>
      </c>
      <c r="I63" s="62">
        <v>2019</v>
      </c>
      <c r="J63" s="62">
        <v>2</v>
      </c>
      <c r="K63" s="62" t="s">
        <v>15</v>
      </c>
      <c r="L63" s="62" t="s">
        <v>1</v>
      </c>
      <c r="M63" s="62">
        <v>4505.4825</v>
      </c>
      <c r="N63" s="62">
        <v>997.7118725</v>
      </c>
    </row>
    <row r="64" spans="1:14">
      <c r="A64" s="62">
        <v>2019</v>
      </c>
      <c r="B64" s="62">
        <v>3</v>
      </c>
      <c r="C64" s="62" t="s">
        <v>0</v>
      </c>
      <c r="D64" s="62" t="s">
        <v>1</v>
      </c>
      <c r="E64" s="62">
        <v>4628.2857</v>
      </c>
      <c r="F64" s="62">
        <v>1113.811385</v>
      </c>
      <c r="I64" s="62">
        <v>2019</v>
      </c>
      <c r="J64" s="62">
        <v>3</v>
      </c>
      <c r="K64" s="62" t="s">
        <v>15</v>
      </c>
      <c r="L64" s="62" t="s">
        <v>1</v>
      </c>
      <c r="M64" s="62">
        <v>4628.2857</v>
      </c>
      <c r="N64" s="62">
        <v>1113.811385</v>
      </c>
    </row>
    <row r="65" spans="1:14">
      <c r="A65" s="62">
        <v>2019</v>
      </c>
      <c r="B65" s="62">
        <v>4</v>
      </c>
      <c r="C65" s="62" t="s">
        <v>0</v>
      </c>
      <c r="D65" s="62" t="s">
        <v>1</v>
      </c>
      <c r="E65" s="62">
        <v>5013.3596</v>
      </c>
      <c r="F65" s="62">
        <v>1124.3607925</v>
      </c>
      <c r="I65" s="62">
        <v>2019</v>
      </c>
      <c r="J65" s="62">
        <v>4</v>
      </c>
      <c r="K65" s="62" t="s">
        <v>15</v>
      </c>
      <c r="L65" s="62" t="s">
        <v>1</v>
      </c>
      <c r="M65" s="62">
        <v>5013.3596</v>
      </c>
      <c r="N65" s="62">
        <v>1124.3607925</v>
      </c>
    </row>
    <row r="66" spans="1:14">
      <c r="A66" s="62">
        <v>2019</v>
      </c>
      <c r="B66" s="62">
        <v>5</v>
      </c>
      <c r="C66" s="62" t="s">
        <v>0</v>
      </c>
      <c r="D66" s="62" t="s">
        <v>1</v>
      </c>
      <c r="E66" s="62">
        <v>3580.2703</v>
      </c>
      <c r="F66" s="62">
        <v>834.7459275</v>
      </c>
      <c r="I66" s="62">
        <v>2019</v>
      </c>
      <c r="J66" s="62">
        <v>5</v>
      </c>
      <c r="K66" s="62" t="s">
        <v>15</v>
      </c>
      <c r="L66" s="62" t="s">
        <v>1</v>
      </c>
      <c r="M66" s="62">
        <v>3580.2703</v>
      </c>
      <c r="N66" s="62">
        <v>834.7459275</v>
      </c>
    </row>
    <row r="67" spans="1:14">
      <c r="A67" s="62">
        <v>2019</v>
      </c>
      <c r="B67" s="62">
        <v>6</v>
      </c>
      <c r="C67" s="62" t="s">
        <v>0</v>
      </c>
      <c r="D67" s="62" t="s">
        <v>1</v>
      </c>
      <c r="E67" s="62">
        <v>2407.915</v>
      </c>
      <c r="F67" s="62">
        <v>554.9263</v>
      </c>
      <c r="I67" s="62">
        <v>2019</v>
      </c>
      <c r="J67" s="62">
        <v>6</v>
      </c>
      <c r="K67" s="62" t="s">
        <v>15</v>
      </c>
      <c r="L67" s="62" t="s">
        <v>1</v>
      </c>
      <c r="M67" s="62">
        <v>2407.915</v>
      </c>
      <c r="N67" s="62">
        <v>554.9263</v>
      </c>
    </row>
    <row r="68" spans="1:14">
      <c r="A68" s="62">
        <v>2019</v>
      </c>
      <c r="B68" s="62">
        <v>7</v>
      </c>
      <c r="C68" s="62" t="s">
        <v>0</v>
      </c>
      <c r="D68" s="62" t="s">
        <v>1</v>
      </c>
      <c r="E68" s="62">
        <v>1950.0196</v>
      </c>
      <c r="F68" s="62">
        <v>481.6670275</v>
      </c>
      <c r="I68" s="62">
        <v>2019</v>
      </c>
      <c r="J68" s="62">
        <v>7</v>
      </c>
      <c r="K68" s="62" t="s">
        <v>15</v>
      </c>
      <c r="L68" s="62" t="s">
        <v>1</v>
      </c>
      <c r="M68" s="62">
        <v>1950.0196</v>
      </c>
      <c r="N68" s="62">
        <v>481.6670275</v>
      </c>
    </row>
    <row r="69" spans="1:14">
      <c r="A69" s="62">
        <v>2019</v>
      </c>
      <c r="B69" s="62">
        <v>8</v>
      </c>
      <c r="C69" s="62" t="s">
        <v>0</v>
      </c>
      <c r="D69" s="62" t="s">
        <v>1</v>
      </c>
      <c r="E69" s="62">
        <v>1652.1333</v>
      </c>
      <c r="F69" s="62">
        <v>445.7986125</v>
      </c>
      <c r="I69" s="62">
        <v>2019</v>
      </c>
      <c r="J69" s="62">
        <v>8</v>
      </c>
      <c r="K69" s="62" t="s">
        <v>15</v>
      </c>
      <c r="L69" s="62" t="s">
        <v>1</v>
      </c>
      <c r="M69" s="62">
        <v>1652.1333</v>
      </c>
      <c r="N69" s="62">
        <v>445.7986125</v>
      </c>
    </row>
    <row r="70" spans="1:14">
      <c r="A70" s="62">
        <v>2019</v>
      </c>
      <c r="B70" s="62">
        <v>9</v>
      </c>
      <c r="C70" s="62" t="s">
        <v>0</v>
      </c>
      <c r="D70" s="62" t="s">
        <v>1</v>
      </c>
      <c r="E70" s="62">
        <v>4505.1194</v>
      </c>
      <c r="F70" s="62">
        <v>1020.22702</v>
      </c>
      <c r="I70" s="62">
        <v>2019</v>
      </c>
      <c r="J70" s="62">
        <v>9</v>
      </c>
      <c r="K70" s="62" t="s">
        <v>15</v>
      </c>
      <c r="L70" s="62" t="s">
        <v>1</v>
      </c>
      <c r="M70" s="62">
        <v>4505.1194</v>
      </c>
      <c r="N70" s="62">
        <v>1020.22702</v>
      </c>
    </row>
    <row r="71" spans="1:14">
      <c r="A71" s="62">
        <v>2019</v>
      </c>
      <c r="B71" s="62">
        <v>10</v>
      </c>
      <c r="C71" s="62" t="s">
        <v>0</v>
      </c>
      <c r="D71" s="62" t="s">
        <v>1</v>
      </c>
      <c r="E71" s="62">
        <v>6169.3255</v>
      </c>
      <c r="F71" s="62">
        <v>1494.9032025</v>
      </c>
      <c r="I71" s="62">
        <v>2019</v>
      </c>
      <c r="J71" s="62">
        <v>10</v>
      </c>
      <c r="K71" s="62" t="s">
        <v>15</v>
      </c>
      <c r="L71" s="62" t="s">
        <v>1</v>
      </c>
      <c r="M71" s="62">
        <v>6169.3255</v>
      </c>
      <c r="N71" s="62">
        <v>1494.9032025</v>
      </c>
    </row>
    <row r="72" spans="1:14">
      <c r="A72" s="62">
        <v>2019</v>
      </c>
      <c r="B72" s="62">
        <v>11</v>
      </c>
      <c r="C72" s="62" t="s">
        <v>0</v>
      </c>
      <c r="D72" s="62" t="s">
        <v>1</v>
      </c>
      <c r="E72" s="62">
        <v>4039.216</v>
      </c>
      <c r="F72" s="62">
        <v>987.0196999999999</v>
      </c>
      <c r="I72" s="62">
        <v>2019</v>
      </c>
      <c r="J72" s="62">
        <v>11</v>
      </c>
      <c r="K72" s="62" t="s">
        <v>15</v>
      </c>
      <c r="L72" s="62" t="s">
        <v>1</v>
      </c>
      <c r="M72" s="62">
        <v>4039.216</v>
      </c>
      <c r="N72" s="62">
        <v>987.0196999999999</v>
      </c>
    </row>
    <row r="73" spans="1:14">
      <c r="A73" s="62">
        <v>2019</v>
      </c>
      <c r="B73" s="62">
        <v>12</v>
      </c>
      <c r="C73" s="62" t="s">
        <v>0</v>
      </c>
      <c r="D73" s="62" t="s">
        <v>1</v>
      </c>
      <c r="E73" s="62">
        <v>1555.7402</v>
      </c>
      <c r="F73" s="62">
        <v>400.571295</v>
      </c>
      <c r="I73" s="62">
        <v>2019</v>
      </c>
      <c r="J73" s="62">
        <v>12</v>
      </c>
      <c r="K73" s="62" t="s">
        <v>15</v>
      </c>
      <c r="L73" s="62" t="s">
        <v>1</v>
      </c>
      <c r="M73" s="62">
        <v>1555.7402</v>
      </c>
      <c r="N73" s="62">
        <v>400.571295</v>
      </c>
    </row>
    <row r="74" spans="1:14">
      <c r="A74" s="62">
        <v>2020</v>
      </c>
      <c r="B74" s="62">
        <v>1</v>
      </c>
      <c r="C74" s="62" t="s">
        <v>0</v>
      </c>
      <c r="D74" s="62" t="s">
        <v>1</v>
      </c>
      <c r="E74" s="62">
        <v>2838.8157</v>
      </c>
      <c r="F74" s="62">
        <v>829.9862125</v>
      </c>
      <c r="I74" s="62">
        <v>2020</v>
      </c>
      <c r="J74" s="62">
        <v>1</v>
      </c>
      <c r="K74" s="62" t="s">
        <v>15</v>
      </c>
      <c r="L74" s="62" t="s">
        <v>1</v>
      </c>
      <c r="M74" s="62">
        <v>2838.8157</v>
      </c>
      <c r="N74" s="62">
        <v>829.9862125</v>
      </c>
    </row>
    <row r="75" spans="1:14">
      <c r="A75" s="62">
        <v>2020</v>
      </c>
      <c r="B75" s="62">
        <v>2</v>
      </c>
      <c r="C75" s="62" t="s">
        <v>0</v>
      </c>
      <c r="D75" s="62" t="s">
        <v>1</v>
      </c>
      <c r="E75" s="62">
        <v>4560.7311</v>
      </c>
      <c r="F75" s="62">
        <v>1500.4677175</v>
      </c>
      <c r="I75" s="62">
        <v>2020</v>
      </c>
      <c r="J75" s="62">
        <v>2</v>
      </c>
      <c r="K75" s="62" t="s">
        <v>15</v>
      </c>
      <c r="L75" s="62" t="s">
        <v>1</v>
      </c>
      <c r="M75" s="62">
        <v>4560.7311</v>
      </c>
      <c r="N75" s="62">
        <v>1500.4677175</v>
      </c>
    </row>
    <row r="76" spans="1:14">
      <c r="A76" s="62">
        <v>2020</v>
      </c>
      <c r="B76" s="62">
        <v>3</v>
      </c>
      <c r="C76" s="62" t="s">
        <v>0</v>
      </c>
      <c r="D76" s="62" t="s">
        <v>1</v>
      </c>
      <c r="E76" s="62">
        <v>5991.9393</v>
      </c>
      <c r="F76" s="62">
        <v>1631.244855</v>
      </c>
      <c r="I76" s="62">
        <v>2020</v>
      </c>
      <c r="J76" s="62">
        <v>3</v>
      </c>
      <c r="K76" s="62" t="s">
        <v>15</v>
      </c>
      <c r="L76" s="62" t="s">
        <v>1</v>
      </c>
      <c r="M76" s="62">
        <v>5991.9393</v>
      </c>
      <c r="N76" s="62">
        <v>1631.244855</v>
      </c>
    </row>
    <row r="77" spans="1:14">
      <c r="A77" s="62">
        <v>2020</v>
      </c>
      <c r="B77" s="62">
        <v>4</v>
      </c>
      <c r="C77" s="62" t="s">
        <v>0</v>
      </c>
      <c r="D77" s="62" t="s">
        <v>1</v>
      </c>
      <c r="E77" s="62">
        <v>15337.4971</v>
      </c>
      <c r="F77" s="62">
        <v>3554.7073</v>
      </c>
      <c r="I77" s="62">
        <v>2020</v>
      </c>
      <c r="J77" s="62">
        <v>4</v>
      </c>
      <c r="K77" s="62" t="s">
        <v>15</v>
      </c>
      <c r="L77" s="62" t="s">
        <v>1</v>
      </c>
      <c r="M77" s="62">
        <v>15337.4971</v>
      </c>
      <c r="N77" s="62">
        <v>3554.7073</v>
      </c>
    </row>
    <row r="78" spans="1:14">
      <c r="A78" s="62">
        <v>2020</v>
      </c>
      <c r="B78" s="62">
        <v>5</v>
      </c>
      <c r="C78" s="62" t="s">
        <v>0</v>
      </c>
      <c r="D78" s="62" t="s">
        <v>1</v>
      </c>
      <c r="E78" s="62">
        <v>15952.9304</v>
      </c>
      <c r="F78" s="62">
        <v>3715.3646375</v>
      </c>
      <c r="I78" s="62">
        <v>2020</v>
      </c>
      <c r="J78" s="62">
        <v>5</v>
      </c>
      <c r="K78" s="62" t="s">
        <v>15</v>
      </c>
      <c r="L78" s="62" t="s">
        <v>1</v>
      </c>
      <c r="M78" s="62">
        <v>15952.9304</v>
      </c>
      <c r="N78" s="62">
        <v>3715.3646375</v>
      </c>
    </row>
    <row r="79" spans="1:14">
      <c r="A79" s="62">
        <v>2020</v>
      </c>
      <c r="B79" s="62">
        <v>6</v>
      </c>
      <c r="C79" s="62" t="s">
        <v>0</v>
      </c>
      <c r="D79" s="62" t="s">
        <v>1</v>
      </c>
      <c r="E79" s="62">
        <v>15478.4185</v>
      </c>
      <c r="F79" s="62">
        <v>3593.5931275</v>
      </c>
      <c r="I79" s="62">
        <v>2020</v>
      </c>
      <c r="J79" s="62">
        <v>6</v>
      </c>
      <c r="K79" s="62" t="s">
        <v>15</v>
      </c>
      <c r="L79" s="62" t="s">
        <v>1</v>
      </c>
      <c r="M79" s="62">
        <v>15478.4185</v>
      </c>
      <c r="N79" s="62">
        <v>3593.5931275</v>
      </c>
    </row>
    <row r="80" spans="1:14">
      <c r="A80" s="62">
        <v>2020</v>
      </c>
      <c r="B80" s="62">
        <v>7</v>
      </c>
      <c r="C80" s="62" t="s">
        <v>0</v>
      </c>
      <c r="D80" s="62" t="s">
        <v>1</v>
      </c>
      <c r="E80" s="62">
        <v>14921.496</v>
      </c>
      <c r="F80" s="62">
        <v>3374.0252</v>
      </c>
      <c r="I80" s="62">
        <v>2020</v>
      </c>
      <c r="J80" s="62">
        <v>7</v>
      </c>
      <c r="K80" s="62" t="s">
        <v>15</v>
      </c>
      <c r="L80" s="62" t="s">
        <v>1</v>
      </c>
      <c r="M80" s="62">
        <v>14921.496</v>
      </c>
      <c r="N80" s="62">
        <v>3374.0252</v>
      </c>
    </row>
    <row r="81" spans="1:14">
      <c r="A81" s="62">
        <v>2020</v>
      </c>
      <c r="B81" s="62">
        <v>8</v>
      </c>
      <c r="C81" s="62" t="s">
        <v>0</v>
      </c>
      <c r="D81" s="62" t="s">
        <v>1</v>
      </c>
      <c r="E81" s="62">
        <v>14559.4961</v>
      </c>
      <c r="F81" s="62">
        <v>3104.1893375</v>
      </c>
      <c r="I81" s="62">
        <v>2020</v>
      </c>
      <c r="J81" s="62">
        <v>8</v>
      </c>
      <c r="K81" s="62" t="s">
        <v>15</v>
      </c>
      <c r="L81" s="62" t="s">
        <v>1</v>
      </c>
      <c r="M81" s="62">
        <v>14559.4961</v>
      </c>
      <c r="N81" s="62">
        <v>3104.1893375</v>
      </c>
    </row>
    <row r="82" spans="1:14">
      <c r="A82" s="62">
        <v>2020</v>
      </c>
      <c r="B82" s="62">
        <v>9</v>
      </c>
      <c r="C82" s="62" t="s">
        <v>0</v>
      </c>
      <c r="D82" s="62" t="s">
        <v>1</v>
      </c>
      <c r="E82" s="62">
        <v>16522.4</v>
      </c>
      <c r="F82" s="62">
        <v>3586.8465975</v>
      </c>
      <c r="I82" s="62">
        <v>2020</v>
      </c>
      <c r="J82" s="62">
        <v>9</v>
      </c>
      <c r="K82" s="62" t="s">
        <v>15</v>
      </c>
      <c r="L82" s="62" t="s">
        <v>1</v>
      </c>
      <c r="M82" s="62">
        <v>16522.4</v>
      </c>
      <c r="N82" s="62">
        <v>3586.8465975</v>
      </c>
    </row>
    <row r="83" spans="1:14">
      <c r="A83" s="62">
        <v>2020</v>
      </c>
      <c r="B83" s="62">
        <v>10</v>
      </c>
      <c r="C83" s="62" t="s">
        <v>0</v>
      </c>
      <c r="D83" s="62" t="s">
        <v>1</v>
      </c>
      <c r="E83" s="62">
        <v>15931.9618</v>
      </c>
      <c r="F83" s="62">
        <v>3495.1910275</v>
      </c>
      <c r="I83" s="62">
        <v>2020</v>
      </c>
      <c r="J83" s="62">
        <v>10</v>
      </c>
      <c r="K83" s="62" t="s">
        <v>15</v>
      </c>
      <c r="L83" s="62" t="s">
        <v>1</v>
      </c>
      <c r="M83" s="62">
        <v>15931.9618</v>
      </c>
      <c r="N83" s="62">
        <v>3495.1910275</v>
      </c>
    </row>
    <row r="84" spans="1:14">
      <c r="A84" s="62">
        <v>2020</v>
      </c>
      <c r="B84" s="62">
        <v>11</v>
      </c>
      <c r="C84" s="62" t="s">
        <v>0</v>
      </c>
      <c r="D84" s="62" t="s">
        <v>1</v>
      </c>
      <c r="E84" s="62">
        <v>13964.7123</v>
      </c>
      <c r="F84" s="62">
        <v>3095.6247575</v>
      </c>
      <c r="I84" s="62">
        <v>2020</v>
      </c>
      <c r="J84" s="62">
        <v>11</v>
      </c>
      <c r="K84" s="62" t="s">
        <v>15</v>
      </c>
      <c r="L84" s="62" t="s">
        <v>1</v>
      </c>
      <c r="M84" s="62">
        <v>13964.7123</v>
      </c>
      <c r="N84" s="62">
        <v>3095.6247575</v>
      </c>
    </row>
    <row r="85" spans="1:14">
      <c r="A85" s="62">
        <v>2020</v>
      </c>
      <c r="B85" s="62">
        <v>12</v>
      </c>
      <c r="C85" s="62" t="s">
        <v>0</v>
      </c>
      <c r="D85" s="62" t="s">
        <v>1</v>
      </c>
      <c r="E85" s="62">
        <v>14191.5837</v>
      </c>
      <c r="F85" s="62">
        <v>3161.9589175</v>
      </c>
      <c r="I85" s="62">
        <v>2020</v>
      </c>
      <c r="J85" s="62">
        <v>12</v>
      </c>
      <c r="K85" s="62" t="s">
        <v>15</v>
      </c>
      <c r="L85" s="62" t="s">
        <v>1</v>
      </c>
      <c r="M85" s="62">
        <v>14191.5837</v>
      </c>
      <c r="N85" s="62">
        <v>3161.9589175</v>
      </c>
    </row>
    <row r="86" spans="1:14">
      <c r="A86" s="62">
        <v>2021</v>
      </c>
      <c r="B86" s="62">
        <v>1</v>
      </c>
      <c r="C86" s="62" t="s">
        <v>0</v>
      </c>
      <c r="D86" s="62" t="s">
        <v>1</v>
      </c>
      <c r="E86" s="62">
        <v>14117.8485</v>
      </c>
      <c r="F86" s="62">
        <v>3153.7020175</v>
      </c>
      <c r="I86" s="62">
        <v>2021</v>
      </c>
      <c r="J86" s="62">
        <v>1</v>
      </c>
      <c r="K86" s="62" t="s">
        <v>15</v>
      </c>
      <c r="L86" s="62" t="s">
        <v>1</v>
      </c>
      <c r="M86" s="62">
        <v>14117.8485</v>
      </c>
      <c r="N86" s="62">
        <v>3153.7020175</v>
      </c>
    </row>
    <row r="87" spans="1:14">
      <c r="A87" s="62">
        <v>2021</v>
      </c>
      <c r="B87" s="62">
        <v>2</v>
      </c>
      <c r="C87" s="62" t="s">
        <v>0</v>
      </c>
      <c r="D87" s="62" t="s">
        <v>1</v>
      </c>
      <c r="E87" s="62">
        <v>19542.5115</v>
      </c>
      <c r="F87" s="62">
        <v>4531.807135</v>
      </c>
      <c r="I87" s="62">
        <v>2021</v>
      </c>
      <c r="J87" s="62">
        <v>2</v>
      </c>
      <c r="K87" s="62" t="s">
        <v>15</v>
      </c>
      <c r="L87" s="62" t="s">
        <v>1</v>
      </c>
      <c r="M87" s="62">
        <v>19542.5115</v>
      </c>
      <c r="N87" s="62">
        <v>4531.807135</v>
      </c>
    </row>
    <row r="88" spans="1:14">
      <c r="A88" s="62">
        <v>2021</v>
      </c>
      <c r="B88" s="62">
        <v>3</v>
      </c>
      <c r="C88" s="62" t="s">
        <v>0</v>
      </c>
      <c r="D88" s="62" t="s">
        <v>1</v>
      </c>
      <c r="E88" s="62">
        <v>14144.8712</v>
      </c>
      <c r="F88" s="62">
        <v>3190.8879875</v>
      </c>
      <c r="I88" s="62">
        <v>2021</v>
      </c>
      <c r="J88" s="62">
        <v>3</v>
      </c>
      <c r="K88" s="62" t="s">
        <v>15</v>
      </c>
      <c r="L88" s="62" t="s">
        <v>1</v>
      </c>
      <c r="M88" s="62">
        <v>14144.8712</v>
      </c>
      <c r="N88" s="62">
        <v>3190.8879875</v>
      </c>
    </row>
    <row r="89" spans="1:14">
      <c r="A89" s="62">
        <v>2021</v>
      </c>
      <c r="B89" s="62">
        <v>4</v>
      </c>
      <c r="C89" s="62" t="s">
        <v>0</v>
      </c>
      <c r="D89" s="62" t="s">
        <v>1</v>
      </c>
      <c r="E89" s="62">
        <v>8194.8163</v>
      </c>
      <c r="F89" s="62">
        <v>1962.685185</v>
      </c>
      <c r="I89" s="62">
        <v>2021</v>
      </c>
      <c r="J89" s="62">
        <v>4</v>
      </c>
      <c r="K89" s="62" t="s">
        <v>15</v>
      </c>
      <c r="L89" s="62" t="s">
        <v>1</v>
      </c>
      <c r="M89" s="62">
        <v>8194.8163</v>
      </c>
      <c r="N89" s="62">
        <v>1962.685185</v>
      </c>
    </row>
    <row r="90" spans="1:14">
      <c r="A90" s="62">
        <v>2021</v>
      </c>
      <c r="B90" s="62">
        <v>5</v>
      </c>
      <c r="C90" s="62" t="s">
        <v>0</v>
      </c>
      <c r="D90" s="62" t="s">
        <v>1</v>
      </c>
      <c r="E90" s="62">
        <v>4675.9324</v>
      </c>
      <c r="F90" s="62">
        <v>1153.606715</v>
      </c>
      <c r="I90" s="62">
        <v>2021</v>
      </c>
      <c r="J90" s="62">
        <v>5</v>
      </c>
      <c r="K90" s="62" t="s">
        <v>15</v>
      </c>
      <c r="L90" s="62" t="s">
        <v>1</v>
      </c>
      <c r="M90" s="62">
        <v>4675.9324</v>
      </c>
      <c r="N90" s="62">
        <v>1153.606715</v>
      </c>
    </row>
    <row r="91" spans="1:14">
      <c r="A91" s="62">
        <v>2021</v>
      </c>
      <c r="B91" s="62">
        <v>6</v>
      </c>
      <c r="C91" s="62" t="s">
        <v>0</v>
      </c>
      <c r="D91" s="62" t="s">
        <v>1</v>
      </c>
      <c r="E91" s="62">
        <v>3726.4132</v>
      </c>
      <c r="F91" s="62">
        <v>886.66277</v>
      </c>
      <c r="I91" s="62">
        <v>2021</v>
      </c>
      <c r="J91" s="62">
        <v>6</v>
      </c>
      <c r="K91" s="62" t="s">
        <v>15</v>
      </c>
      <c r="L91" s="62" t="s">
        <v>1</v>
      </c>
      <c r="M91" s="62">
        <v>3726.4132</v>
      </c>
      <c r="N91" s="62">
        <v>886.66277</v>
      </c>
    </row>
    <row r="92" spans="1:14">
      <c r="A92" s="62">
        <v>2021</v>
      </c>
      <c r="B92" s="62">
        <v>7</v>
      </c>
      <c r="C92" s="62" t="s">
        <v>0</v>
      </c>
      <c r="D92" s="62" t="s">
        <v>1</v>
      </c>
      <c r="E92" s="62">
        <v>3463.5479</v>
      </c>
      <c r="F92" s="62">
        <v>870.0661125</v>
      </c>
      <c r="I92" s="62">
        <v>2021</v>
      </c>
      <c r="J92" s="62">
        <v>7</v>
      </c>
      <c r="K92" s="62" t="s">
        <v>15</v>
      </c>
      <c r="L92" s="62" t="s">
        <v>1</v>
      </c>
      <c r="M92" s="62">
        <v>3463.5479</v>
      </c>
      <c r="N92" s="62">
        <v>870.0661125</v>
      </c>
    </row>
    <row r="93" spans="1:14">
      <c r="A93" s="62">
        <v>2021</v>
      </c>
      <c r="B93" s="62">
        <v>8</v>
      </c>
      <c r="C93" s="62" t="s">
        <v>0</v>
      </c>
      <c r="D93" s="62" t="s">
        <v>1</v>
      </c>
      <c r="E93" s="62">
        <v>3911.2804</v>
      </c>
      <c r="F93" s="62">
        <v>1017.839815</v>
      </c>
      <c r="I93" s="62">
        <v>2021</v>
      </c>
      <c r="J93" s="62">
        <v>8</v>
      </c>
      <c r="K93" s="62" t="s">
        <v>15</v>
      </c>
      <c r="L93" s="62" t="s">
        <v>1</v>
      </c>
      <c r="M93" s="62">
        <v>3911.2804</v>
      </c>
      <c r="N93" s="62">
        <v>1017.839815</v>
      </c>
    </row>
    <row r="94" spans="1:14">
      <c r="A94" s="62">
        <v>2021</v>
      </c>
      <c r="B94" s="62">
        <v>9</v>
      </c>
      <c r="C94" s="62" t="s">
        <v>0</v>
      </c>
      <c r="D94" s="62" t="s">
        <v>1</v>
      </c>
      <c r="E94" s="62">
        <v>7484.5812</v>
      </c>
      <c r="F94" s="62">
        <v>1891.625125</v>
      </c>
      <c r="I94" s="62">
        <v>2021</v>
      </c>
      <c r="J94" s="62">
        <v>9</v>
      </c>
      <c r="K94" s="62" t="s">
        <v>15</v>
      </c>
      <c r="L94" s="62" t="s">
        <v>1</v>
      </c>
      <c r="M94" s="62">
        <v>7484.5812</v>
      </c>
      <c r="N94" s="62">
        <v>1891.625125</v>
      </c>
    </row>
    <row r="95" spans="1:14">
      <c r="A95" s="62">
        <v>2021</v>
      </c>
      <c r="B95" s="62">
        <v>10</v>
      </c>
      <c r="C95" s="62" t="s">
        <v>0</v>
      </c>
      <c r="D95" s="62" t="s">
        <v>1</v>
      </c>
      <c r="E95" s="62">
        <v>7180.2097</v>
      </c>
      <c r="F95" s="62">
        <v>1886.618325</v>
      </c>
      <c r="I95" s="62">
        <v>2021</v>
      </c>
      <c r="J95" s="62">
        <v>10</v>
      </c>
      <c r="K95" s="62" t="s">
        <v>15</v>
      </c>
      <c r="L95" s="62" t="s">
        <v>1</v>
      </c>
      <c r="M95" s="62">
        <v>7180.2097</v>
      </c>
      <c r="N95" s="62">
        <v>1886.618325</v>
      </c>
    </row>
    <row r="96" spans="1:14">
      <c r="A96" s="62">
        <v>2021</v>
      </c>
      <c r="B96" s="62">
        <v>11</v>
      </c>
      <c r="C96" s="62" t="s">
        <v>0</v>
      </c>
      <c r="D96" s="62" t="s">
        <v>1</v>
      </c>
      <c r="E96" s="62">
        <v>4198.3709</v>
      </c>
      <c r="F96" s="62">
        <v>1099.076475</v>
      </c>
      <c r="I96" s="62">
        <v>2021</v>
      </c>
      <c r="J96" s="62">
        <v>11</v>
      </c>
      <c r="K96" s="62" t="s">
        <v>15</v>
      </c>
      <c r="L96" s="62" t="s">
        <v>1</v>
      </c>
      <c r="M96" s="62">
        <v>4198.3709</v>
      </c>
      <c r="N96" s="62">
        <v>1099.076475</v>
      </c>
    </row>
    <row r="97" spans="1:14">
      <c r="A97" s="62">
        <v>2021</v>
      </c>
      <c r="B97" s="62">
        <v>12</v>
      </c>
      <c r="C97" s="62" t="s">
        <v>0</v>
      </c>
      <c r="D97" s="62" t="s">
        <v>1</v>
      </c>
      <c r="E97" s="62">
        <v>2671.7742</v>
      </c>
      <c r="F97" s="62">
        <v>730.44141</v>
      </c>
      <c r="I97" s="62">
        <v>2021</v>
      </c>
      <c r="J97" s="62">
        <v>12</v>
      </c>
      <c r="K97" s="62" t="s">
        <v>15</v>
      </c>
      <c r="L97" s="62" t="s">
        <v>1</v>
      </c>
      <c r="M97" s="62">
        <v>2671.7742</v>
      </c>
      <c r="N97" s="62">
        <v>730.44141</v>
      </c>
    </row>
    <row r="98" spans="1:14">
      <c r="A98" s="62">
        <v>2022</v>
      </c>
      <c r="B98" s="62">
        <v>1</v>
      </c>
      <c r="C98" s="62" t="s">
        <v>0</v>
      </c>
      <c r="D98" s="62" t="s">
        <v>1</v>
      </c>
      <c r="E98" s="62">
        <v>3778.1429</v>
      </c>
      <c r="F98" s="62">
        <v>1016.252655</v>
      </c>
      <c r="I98" s="62">
        <v>2022</v>
      </c>
      <c r="J98" s="62">
        <v>1</v>
      </c>
      <c r="K98" s="62" t="s">
        <v>15</v>
      </c>
      <c r="L98" s="62" t="s">
        <v>1</v>
      </c>
      <c r="M98" s="62">
        <v>3778.1429</v>
      </c>
      <c r="N98" s="62">
        <v>1016.252655</v>
      </c>
    </row>
    <row r="99" spans="1:14">
      <c r="A99" s="62">
        <v>2022</v>
      </c>
      <c r="B99" s="62">
        <v>2</v>
      </c>
      <c r="C99" s="62" t="s">
        <v>0</v>
      </c>
      <c r="D99" s="62" t="s">
        <v>1</v>
      </c>
      <c r="E99" s="62">
        <v>4947.385</v>
      </c>
      <c r="F99" s="62">
        <v>1164.3488</v>
      </c>
      <c r="I99" s="62">
        <v>2022</v>
      </c>
      <c r="J99" s="62">
        <v>2</v>
      </c>
      <c r="K99" s="62" t="s">
        <v>15</v>
      </c>
      <c r="L99" s="62" t="s">
        <v>1</v>
      </c>
      <c r="M99" s="62">
        <v>4947.385</v>
      </c>
      <c r="N99" s="62">
        <v>1164.3488</v>
      </c>
    </row>
    <row r="100" spans="1:14">
      <c r="A100" s="62">
        <v>2022</v>
      </c>
      <c r="B100" s="62">
        <v>3</v>
      </c>
      <c r="C100" s="62" t="s">
        <v>0</v>
      </c>
      <c r="D100" s="62" t="s">
        <v>1</v>
      </c>
      <c r="E100" s="62">
        <v>4010.1805</v>
      </c>
      <c r="F100" s="62">
        <v>1054.576675</v>
      </c>
      <c r="I100" s="62">
        <v>2022</v>
      </c>
      <c r="J100" s="62">
        <v>3</v>
      </c>
      <c r="K100" s="62" t="s">
        <v>15</v>
      </c>
      <c r="L100" s="62" t="s">
        <v>1</v>
      </c>
      <c r="M100" s="62">
        <v>4010.1805</v>
      </c>
      <c r="N100" s="62">
        <v>1054.576675</v>
      </c>
    </row>
    <row r="101" spans="1:14">
      <c r="A101" s="62">
        <v>2022</v>
      </c>
      <c r="B101" s="62">
        <v>4</v>
      </c>
      <c r="C101" s="62" t="s">
        <v>0</v>
      </c>
      <c r="D101" s="62" t="s">
        <v>1</v>
      </c>
      <c r="E101" s="62">
        <v>4468.467</v>
      </c>
      <c r="F101" s="62">
        <v>1096.420935</v>
      </c>
      <c r="I101" s="62">
        <v>2022</v>
      </c>
      <c r="J101" s="62">
        <v>4</v>
      </c>
      <c r="K101" s="62" t="s">
        <v>15</v>
      </c>
      <c r="L101" s="62" t="s">
        <v>1</v>
      </c>
      <c r="M101" s="62">
        <v>4468.467</v>
      </c>
      <c r="N101" s="62">
        <v>1096.420935</v>
      </c>
    </row>
    <row r="102" spans="1:14">
      <c r="A102" s="62">
        <v>2022</v>
      </c>
      <c r="B102" s="62">
        <v>5</v>
      </c>
      <c r="C102" s="62" t="s">
        <v>0</v>
      </c>
      <c r="D102" s="62" t="s">
        <v>1</v>
      </c>
      <c r="E102" s="62">
        <v>4077.0188</v>
      </c>
      <c r="F102" s="62">
        <v>860.949215</v>
      </c>
      <c r="I102" s="62">
        <v>2022</v>
      </c>
      <c r="J102" s="62">
        <v>5</v>
      </c>
      <c r="K102" s="62" t="s">
        <v>15</v>
      </c>
      <c r="L102" s="62" t="s">
        <v>1</v>
      </c>
      <c r="M102" s="62">
        <v>4077.0188</v>
      </c>
      <c r="N102" s="62">
        <v>860.949215</v>
      </c>
    </row>
    <row r="103" spans="1:14">
      <c r="A103" s="62">
        <v>2022</v>
      </c>
      <c r="B103" s="62">
        <v>6</v>
      </c>
      <c r="C103" s="62" t="s">
        <v>0</v>
      </c>
      <c r="D103" s="62" t="s">
        <v>1</v>
      </c>
      <c r="E103" s="62">
        <v>3033.2868</v>
      </c>
      <c r="F103" s="62">
        <v>700.22655</v>
      </c>
      <c r="I103" s="62">
        <v>2022</v>
      </c>
      <c r="J103" s="62">
        <v>6</v>
      </c>
      <c r="K103" s="62" t="s">
        <v>15</v>
      </c>
      <c r="L103" s="62" t="s">
        <v>1</v>
      </c>
      <c r="M103" s="62">
        <v>3033.2868</v>
      </c>
      <c r="N103" s="62">
        <v>700.22655</v>
      </c>
    </row>
    <row r="104" spans="1:14">
      <c r="A104" s="62">
        <v>2022</v>
      </c>
      <c r="B104" s="62">
        <v>7</v>
      </c>
      <c r="C104" s="62" t="s">
        <v>0</v>
      </c>
      <c r="D104" s="62" t="s">
        <v>1</v>
      </c>
      <c r="E104" s="62">
        <v>3119.4187</v>
      </c>
      <c r="F104" s="62">
        <v>712.836195</v>
      </c>
      <c r="I104" s="62">
        <v>2022</v>
      </c>
      <c r="J104" s="62">
        <v>7</v>
      </c>
      <c r="K104" s="62" t="s">
        <v>15</v>
      </c>
      <c r="L104" s="62" t="s">
        <v>1</v>
      </c>
      <c r="M104" s="62">
        <v>3119.4187</v>
      </c>
      <c r="N104" s="62">
        <v>712.836195</v>
      </c>
    </row>
    <row r="105" spans="1:14">
      <c r="A105" s="62">
        <v>2022</v>
      </c>
      <c r="B105" s="62">
        <v>8</v>
      </c>
      <c r="C105" s="62" t="s">
        <v>0</v>
      </c>
      <c r="D105" s="62" t="s">
        <v>1</v>
      </c>
      <c r="E105" s="62">
        <v>3037.9164</v>
      </c>
      <c r="F105" s="62">
        <v>685.8034250000001</v>
      </c>
      <c r="I105" s="62">
        <v>2022</v>
      </c>
      <c r="J105" s="62">
        <v>8</v>
      </c>
      <c r="K105" s="62" t="s">
        <v>15</v>
      </c>
      <c r="L105" s="62" t="s">
        <v>1</v>
      </c>
      <c r="M105" s="62">
        <v>3037.9164</v>
      </c>
      <c r="N105" s="62">
        <v>685.8034250000001</v>
      </c>
    </row>
    <row r="106" spans="1:14">
      <c r="A106" s="62">
        <v>2022</v>
      </c>
      <c r="B106" s="62">
        <v>9</v>
      </c>
      <c r="C106" s="62" t="s">
        <v>0</v>
      </c>
      <c r="D106" s="62" t="s">
        <v>1</v>
      </c>
      <c r="E106" s="62">
        <v>3377.7149</v>
      </c>
      <c r="F106" s="62">
        <v>768.9208425</v>
      </c>
      <c r="I106" s="62">
        <v>2022</v>
      </c>
      <c r="J106" s="62">
        <v>9</v>
      </c>
      <c r="K106" s="62" t="s">
        <v>15</v>
      </c>
      <c r="L106" s="62" t="s">
        <v>1</v>
      </c>
      <c r="M106" s="62">
        <v>3377.7149</v>
      </c>
      <c r="N106" s="62">
        <v>768.9208425</v>
      </c>
    </row>
    <row r="107" spans="1:14">
      <c r="A107" s="62">
        <v>2022</v>
      </c>
      <c r="B107" s="62">
        <v>10</v>
      </c>
      <c r="C107" s="62" t="s">
        <v>0</v>
      </c>
      <c r="D107" s="62" t="s">
        <v>1</v>
      </c>
      <c r="E107" s="62">
        <v>5566.1522</v>
      </c>
      <c r="F107" s="62">
        <v>1297.4635475</v>
      </c>
      <c r="I107" s="62">
        <v>2022</v>
      </c>
      <c r="J107" s="62">
        <v>10</v>
      </c>
      <c r="K107" s="62" t="s">
        <v>15</v>
      </c>
      <c r="L107" s="62" t="s">
        <v>1</v>
      </c>
      <c r="M107" s="62">
        <v>5566.1522</v>
      </c>
      <c r="N107" s="62">
        <v>1297.4635475</v>
      </c>
    </row>
    <row r="108" spans="1:14">
      <c r="A108" s="62">
        <v>2022</v>
      </c>
      <c r="B108" s="62">
        <v>11</v>
      </c>
      <c r="C108" s="62" t="s">
        <v>0</v>
      </c>
      <c r="D108" s="62" t="s">
        <v>1</v>
      </c>
      <c r="E108" s="62">
        <v>3205.2054</v>
      </c>
      <c r="F108" s="62">
        <v>774.9118975</v>
      </c>
      <c r="I108" s="62">
        <v>2022</v>
      </c>
      <c r="J108" s="62">
        <v>11</v>
      </c>
      <c r="K108" s="62" t="s">
        <v>15</v>
      </c>
      <c r="L108" s="62" t="s">
        <v>1</v>
      </c>
      <c r="M108" s="62">
        <v>3205.2054</v>
      </c>
      <c r="N108" s="62">
        <v>774.9118975</v>
      </c>
    </row>
    <row r="109" spans="1:14">
      <c r="A109" s="62">
        <v>2022</v>
      </c>
      <c r="B109" s="62">
        <v>12</v>
      </c>
      <c r="C109" s="62" t="s">
        <v>0</v>
      </c>
      <c r="D109" s="62" t="s">
        <v>1</v>
      </c>
      <c r="E109" s="62">
        <v>4438.3313</v>
      </c>
      <c r="F109" s="62">
        <v>1069.9668425</v>
      </c>
      <c r="I109" s="62">
        <v>2022</v>
      </c>
      <c r="J109" s="62">
        <v>12</v>
      </c>
      <c r="K109" s="62" t="s">
        <v>15</v>
      </c>
      <c r="L109" s="62" t="s">
        <v>1</v>
      </c>
      <c r="M109" s="62">
        <v>4438.3313</v>
      </c>
      <c r="N109" s="62">
        <v>1069.9668425</v>
      </c>
    </row>
    <row r="110" spans="1:14">
      <c r="A110" s="62">
        <v>2023</v>
      </c>
      <c r="B110" s="62">
        <v>1</v>
      </c>
      <c r="C110" s="62" t="s">
        <v>0</v>
      </c>
      <c r="D110" s="62" t="s">
        <v>1</v>
      </c>
      <c r="E110" s="62">
        <v>5712.3266</v>
      </c>
      <c r="F110" s="62">
        <v>1420.017795</v>
      </c>
      <c r="I110" s="62">
        <v>2023</v>
      </c>
      <c r="J110" s="62">
        <v>1</v>
      </c>
      <c r="K110" s="62" t="s">
        <v>15</v>
      </c>
      <c r="L110" s="62" t="s">
        <v>1</v>
      </c>
      <c r="M110" s="62">
        <v>5712.3266</v>
      </c>
      <c r="N110" s="62">
        <v>1420.017795</v>
      </c>
    </row>
    <row r="111" spans="1:14">
      <c r="A111" s="62">
        <v>2023</v>
      </c>
      <c r="B111" s="62">
        <v>2</v>
      </c>
      <c r="C111" s="62" t="s">
        <v>0</v>
      </c>
      <c r="D111" s="62" t="s">
        <v>1</v>
      </c>
      <c r="E111" s="62">
        <v>6813.7157</v>
      </c>
      <c r="F111" s="62">
        <v>1687.2081</v>
      </c>
      <c r="I111" s="62">
        <v>2023</v>
      </c>
      <c r="J111" s="62">
        <v>2</v>
      </c>
      <c r="K111" s="62" t="s">
        <v>15</v>
      </c>
      <c r="L111" s="62" t="s">
        <v>1</v>
      </c>
      <c r="M111" s="62">
        <v>6813.7157</v>
      </c>
      <c r="N111" s="62">
        <v>1687.2081</v>
      </c>
    </row>
    <row r="112" spans="1:14">
      <c r="A112" s="62">
        <v>2023</v>
      </c>
      <c r="B112" s="62">
        <v>3</v>
      </c>
      <c r="C112" s="62" t="s">
        <v>0</v>
      </c>
      <c r="D112" s="62" t="s">
        <v>1</v>
      </c>
      <c r="E112" s="62">
        <v>6741.2225</v>
      </c>
      <c r="F112" s="62">
        <v>1596.282405</v>
      </c>
      <c r="I112" s="62">
        <v>2023</v>
      </c>
      <c r="J112" s="62">
        <v>3</v>
      </c>
      <c r="K112" s="62" t="s">
        <v>15</v>
      </c>
      <c r="L112" s="62" t="s">
        <v>1</v>
      </c>
      <c r="M112" s="62">
        <v>6741.2225</v>
      </c>
      <c r="N112" s="62">
        <v>1596.282405</v>
      </c>
    </row>
    <row r="113" spans="1:14">
      <c r="A113" s="62">
        <v>2023</v>
      </c>
      <c r="B113" s="62">
        <v>4</v>
      </c>
      <c r="C113" s="62" t="s">
        <v>0</v>
      </c>
      <c r="D113" s="62" t="s">
        <v>1</v>
      </c>
      <c r="E113" s="62">
        <v>6116.2489</v>
      </c>
      <c r="F113" s="62">
        <v>1338.8021575</v>
      </c>
      <c r="I113" s="62">
        <v>2023</v>
      </c>
      <c r="J113" s="62">
        <v>4</v>
      </c>
      <c r="K113" s="62" t="s">
        <v>15</v>
      </c>
      <c r="L113" s="62" t="s">
        <v>1</v>
      </c>
      <c r="M113" s="62">
        <v>6116.2489</v>
      </c>
      <c r="N113" s="62">
        <v>1338.8021575</v>
      </c>
    </row>
    <row r="114" spans="1:14">
      <c r="A114" s="62">
        <v>2023</v>
      </c>
      <c r="B114" s="62">
        <v>5</v>
      </c>
      <c r="C114" s="62" t="s">
        <v>0</v>
      </c>
      <c r="D114" s="62" t="s">
        <v>1</v>
      </c>
      <c r="E114" s="62">
        <v>3819.9794</v>
      </c>
      <c r="F114" s="62">
        <v>965.83332</v>
      </c>
      <c r="I114" s="62">
        <v>2023</v>
      </c>
      <c r="J114" s="62">
        <v>5</v>
      </c>
      <c r="K114" s="62" t="s">
        <v>15</v>
      </c>
      <c r="L114" s="62" t="s">
        <v>1</v>
      </c>
      <c r="M114" s="62">
        <v>3819.9794</v>
      </c>
      <c r="N114" s="62">
        <v>965.83332</v>
      </c>
    </row>
    <row r="115" spans="1:14">
      <c r="A115" s="62">
        <v>2023</v>
      </c>
      <c r="B115" s="62">
        <v>6</v>
      </c>
      <c r="C115" s="62" t="s">
        <v>0</v>
      </c>
      <c r="D115" s="62" t="s">
        <v>1</v>
      </c>
      <c r="E115" s="62">
        <v>2289.9731</v>
      </c>
      <c r="F115" s="62">
        <v>637.2827725</v>
      </c>
      <c r="I115" s="62">
        <v>2023</v>
      </c>
      <c r="J115" s="62">
        <v>6</v>
      </c>
      <c r="K115" s="62" t="s">
        <v>15</v>
      </c>
      <c r="L115" s="62" t="s">
        <v>1</v>
      </c>
      <c r="M115" s="62">
        <v>2289.9731</v>
      </c>
      <c r="N115" s="62">
        <v>637.2827725</v>
      </c>
    </row>
    <row r="116" spans="1:14">
      <c r="A116" s="62">
        <v>2023</v>
      </c>
      <c r="B116" s="62">
        <v>7</v>
      </c>
      <c r="C116" s="62" t="s">
        <v>0</v>
      </c>
      <c r="D116" s="62" t="s">
        <v>1</v>
      </c>
      <c r="E116" s="62">
        <v>1647.0638</v>
      </c>
      <c r="F116" s="62">
        <v>423.34125</v>
      </c>
      <c r="I116" s="62">
        <v>2023</v>
      </c>
      <c r="J116" s="62">
        <v>7</v>
      </c>
      <c r="K116" s="62" t="s">
        <v>15</v>
      </c>
      <c r="L116" s="62" t="s">
        <v>1</v>
      </c>
      <c r="M116" s="62">
        <v>1647.0638</v>
      </c>
      <c r="N116" s="62">
        <v>423.34125</v>
      </c>
    </row>
    <row r="117" spans="1:14">
      <c r="A117" s="62">
        <v>2023</v>
      </c>
      <c r="B117" s="62">
        <v>8</v>
      </c>
      <c r="C117" s="62" t="s">
        <v>0</v>
      </c>
      <c r="D117" s="62" t="s">
        <v>1</v>
      </c>
      <c r="E117" s="62">
        <v>1759.571</v>
      </c>
      <c r="F117" s="62">
        <v>477.17915</v>
      </c>
      <c r="I117" s="62">
        <v>2023</v>
      </c>
      <c r="J117" s="62">
        <v>8</v>
      </c>
      <c r="K117" s="62" t="s">
        <v>15</v>
      </c>
      <c r="L117" s="62" t="s">
        <v>1</v>
      </c>
      <c r="M117" s="62">
        <v>1759.571</v>
      </c>
      <c r="N117" s="62">
        <v>477.17915</v>
      </c>
    </row>
    <row r="118" spans="1:14">
      <c r="A118" s="62">
        <v>2023</v>
      </c>
      <c r="B118" s="62">
        <v>9</v>
      </c>
      <c r="C118" s="62" t="s">
        <v>0</v>
      </c>
      <c r="D118" s="62" t="s">
        <v>1</v>
      </c>
      <c r="E118" s="62">
        <v>3954.8585</v>
      </c>
      <c r="F118" s="62">
        <v>813.5858425</v>
      </c>
      <c r="I118" s="62">
        <v>2023</v>
      </c>
      <c r="J118" s="62">
        <v>9</v>
      </c>
      <c r="K118" s="62" t="s">
        <v>15</v>
      </c>
      <c r="L118" s="62" t="s">
        <v>1</v>
      </c>
      <c r="M118" s="62">
        <v>3954.8585</v>
      </c>
      <c r="N118" s="62">
        <v>813.5858425</v>
      </c>
    </row>
    <row r="119" spans="1:14">
      <c r="A119" s="62">
        <v>2023</v>
      </c>
      <c r="B119" s="62">
        <v>10</v>
      </c>
      <c r="C119" s="62" t="s">
        <v>0</v>
      </c>
      <c r="D119" s="62" t="s">
        <v>1</v>
      </c>
      <c r="E119" s="62">
        <v>6931.9118</v>
      </c>
      <c r="F119" s="62">
        <v>1473.5742225</v>
      </c>
      <c r="I119" s="62">
        <v>2023</v>
      </c>
      <c r="J119" s="62">
        <v>10</v>
      </c>
      <c r="K119" s="62" t="s">
        <v>15</v>
      </c>
      <c r="L119" s="62" t="s">
        <v>1</v>
      </c>
      <c r="M119" s="62">
        <v>6931.9118</v>
      </c>
      <c r="N119" s="62">
        <v>1473.5742225</v>
      </c>
    </row>
    <row r="120" spans="1:14">
      <c r="A120" s="62">
        <v>2023</v>
      </c>
      <c r="B120" s="62">
        <v>11</v>
      </c>
      <c r="C120" s="62" t="s">
        <v>0</v>
      </c>
      <c r="D120" s="62" t="s">
        <v>1</v>
      </c>
      <c r="E120" s="62">
        <v>3069.4329</v>
      </c>
      <c r="F120" s="62">
        <v>819.9239325</v>
      </c>
      <c r="I120" s="62">
        <v>2023</v>
      </c>
      <c r="J120" s="62">
        <v>11</v>
      </c>
      <c r="K120" s="62" t="s">
        <v>15</v>
      </c>
      <c r="L120" s="62" t="s">
        <v>1</v>
      </c>
      <c r="M120" s="62">
        <v>3069.4329</v>
      </c>
      <c r="N120" s="62">
        <v>819.9239325</v>
      </c>
    </row>
    <row r="121" spans="1:14">
      <c r="A121" s="62">
        <v>2023</v>
      </c>
      <c r="B121" s="62">
        <v>12</v>
      </c>
      <c r="C121" s="62" t="s">
        <v>0</v>
      </c>
      <c r="D121" s="62" t="s">
        <v>1</v>
      </c>
      <c r="E121" s="62">
        <v>976.1005</v>
      </c>
      <c r="F121" s="62">
        <v>250.7278175</v>
      </c>
      <c r="I121" s="62">
        <v>2023</v>
      </c>
      <c r="J121" s="62">
        <v>12</v>
      </c>
      <c r="K121" s="62" t="s">
        <v>15</v>
      </c>
      <c r="L121" s="62" t="s">
        <v>1</v>
      </c>
      <c r="M121" s="62">
        <v>976.1005</v>
      </c>
      <c r="N121" s="62">
        <v>250.7278175</v>
      </c>
    </row>
    <row r="122" spans="1:14">
      <c r="A122" s="62">
        <v>2024</v>
      </c>
      <c r="B122" s="62">
        <v>1</v>
      </c>
      <c r="C122" s="62" t="s">
        <v>0</v>
      </c>
      <c r="D122" s="62" t="s">
        <v>1</v>
      </c>
      <c r="E122" s="62">
        <v>4684.8428</v>
      </c>
      <c r="F122" s="62">
        <v>1102.46048</v>
      </c>
      <c r="I122" s="62">
        <v>2024</v>
      </c>
      <c r="J122" s="62">
        <v>1</v>
      </c>
      <c r="K122" s="62" t="s">
        <v>15</v>
      </c>
      <c r="L122" s="62" t="s">
        <v>1</v>
      </c>
      <c r="M122" s="62">
        <v>4684.8428</v>
      </c>
      <c r="N122" s="62">
        <v>1102.46048</v>
      </c>
    </row>
    <row r="123" spans="1:14">
      <c r="A123" s="62">
        <v>2024</v>
      </c>
      <c r="B123" s="62">
        <v>2</v>
      </c>
      <c r="C123" s="62" t="s">
        <v>0</v>
      </c>
      <c r="D123" s="62" t="s">
        <v>1</v>
      </c>
      <c r="E123" s="62">
        <v>8792.021000000001</v>
      </c>
      <c r="F123" s="62">
        <v>2238.4953025</v>
      </c>
      <c r="I123" s="62">
        <v>2024</v>
      </c>
      <c r="J123" s="62">
        <v>2</v>
      </c>
      <c r="K123" s="62" t="s">
        <v>15</v>
      </c>
      <c r="L123" s="62" t="s">
        <v>1</v>
      </c>
      <c r="M123" s="62">
        <v>8792.021000000001</v>
      </c>
      <c r="N123" s="62">
        <v>2238.4953025</v>
      </c>
    </row>
    <row r="124" spans="1:14">
      <c r="A124" s="62">
        <v>2024</v>
      </c>
      <c r="B124" s="62">
        <v>3</v>
      </c>
      <c r="C124" s="62" t="s">
        <v>0</v>
      </c>
      <c r="D124" s="62" t="s">
        <v>1</v>
      </c>
      <c r="E124" s="62">
        <v>4695.105</v>
      </c>
      <c r="F124" s="62">
        <v>1159.227655</v>
      </c>
      <c r="I124" s="62">
        <v>2024</v>
      </c>
      <c r="J124" s="62">
        <v>3</v>
      </c>
      <c r="K124" s="62" t="s">
        <v>15</v>
      </c>
      <c r="L124" s="62" t="s">
        <v>1</v>
      </c>
      <c r="M124" s="62">
        <v>4695.105</v>
      </c>
      <c r="N124" s="62">
        <v>1159.227655</v>
      </c>
    </row>
    <row r="125" spans="1:14">
      <c r="A125" s="62">
        <v>2024</v>
      </c>
      <c r="B125" s="62">
        <v>4</v>
      </c>
      <c r="C125" s="62" t="s">
        <v>0</v>
      </c>
      <c r="D125" s="62" t="s">
        <v>1</v>
      </c>
      <c r="E125" s="62">
        <v>4532.5513</v>
      </c>
      <c r="F125" s="62">
        <v>1127.03643</v>
      </c>
      <c r="I125" s="62">
        <v>2024</v>
      </c>
      <c r="J125" s="62">
        <v>4</v>
      </c>
      <c r="K125" s="62" t="s">
        <v>15</v>
      </c>
      <c r="L125" s="62" t="s">
        <v>1</v>
      </c>
      <c r="M125" s="62">
        <v>4532.5513</v>
      </c>
      <c r="N125" s="62">
        <v>1127.03643</v>
      </c>
    </row>
    <row r="126" spans="1:14">
      <c r="A126" s="62">
        <v>2024</v>
      </c>
      <c r="B126" s="62">
        <v>5</v>
      </c>
      <c r="C126" s="62" t="s">
        <v>0</v>
      </c>
      <c r="D126" s="62" t="s">
        <v>1</v>
      </c>
      <c r="E126" s="62">
        <v>2481.8625</v>
      </c>
      <c r="F126" s="62">
        <v>582.8227499999999</v>
      </c>
      <c r="I126" s="62">
        <v>2024</v>
      </c>
      <c r="J126" s="62">
        <v>5</v>
      </c>
      <c r="K126" s="62" t="s">
        <v>15</v>
      </c>
      <c r="L126" s="62" t="s">
        <v>1</v>
      </c>
      <c r="M126" s="62">
        <v>2481.8625</v>
      </c>
      <c r="N126" s="62">
        <v>582.8227499999999</v>
      </c>
    </row>
    <row r="127" spans="1:14">
      <c r="A127" s="62">
        <v>2024</v>
      </c>
      <c r="B127" s="62">
        <v>6</v>
      </c>
      <c r="C127" s="62" t="s">
        <v>0</v>
      </c>
      <c r="D127" s="62" t="s">
        <v>1</v>
      </c>
      <c r="E127" s="62">
        <v>2108.9555</v>
      </c>
      <c r="F127" s="62">
        <v>600.4671625</v>
      </c>
      <c r="I127" s="62">
        <v>2024</v>
      </c>
      <c r="J127" s="62">
        <v>6</v>
      </c>
      <c r="K127" s="62" t="s">
        <v>15</v>
      </c>
      <c r="L127" s="62" t="s">
        <v>1</v>
      </c>
      <c r="M127" s="62">
        <v>2108.9555</v>
      </c>
      <c r="N127" s="62">
        <v>600.4671625</v>
      </c>
    </row>
    <row r="128" spans="1:14">
      <c r="A128" s="62">
        <v>2024</v>
      </c>
      <c r="B128" s="62">
        <v>7</v>
      </c>
      <c r="C128" s="62" t="s">
        <v>0</v>
      </c>
      <c r="D128" s="62" t="s">
        <v>1</v>
      </c>
      <c r="E128" s="62">
        <v>1985.748</v>
      </c>
      <c r="F128" s="62">
        <v>519.868175</v>
      </c>
      <c r="I128" s="62">
        <v>2024</v>
      </c>
      <c r="J128" s="62">
        <v>7</v>
      </c>
      <c r="K128" s="62" t="s">
        <v>15</v>
      </c>
      <c r="L128" s="62" t="s">
        <v>1</v>
      </c>
      <c r="M128" s="62">
        <v>1985.748</v>
      </c>
      <c r="N128" s="62">
        <v>519.868175</v>
      </c>
    </row>
    <row r="129" spans="1:14">
      <c r="A129" s="62">
        <v>2024</v>
      </c>
      <c r="B129" s="62">
        <v>8</v>
      </c>
      <c r="C129" s="62" t="s">
        <v>0</v>
      </c>
      <c r="D129" s="62" t="s">
        <v>1</v>
      </c>
      <c r="E129" s="62">
        <v>1698.4168</v>
      </c>
      <c r="F129" s="62">
        <v>480.01844</v>
      </c>
      <c r="I129" s="62">
        <v>2024</v>
      </c>
      <c r="J129" s="62">
        <v>8</v>
      </c>
      <c r="K129" s="62" t="s">
        <v>15</v>
      </c>
      <c r="L129" s="62" t="s">
        <v>1</v>
      </c>
      <c r="M129" s="62">
        <v>1698.4168</v>
      </c>
      <c r="N129" s="62">
        <v>480.01844</v>
      </c>
    </row>
    <row r="130" spans="1:14">
      <c r="A130" s="62">
        <v>2024</v>
      </c>
      <c r="B130" s="62">
        <v>9</v>
      </c>
      <c r="C130" s="62" t="s">
        <v>0</v>
      </c>
      <c r="D130" s="62" t="s">
        <v>1</v>
      </c>
      <c r="E130" s="62">
        <v>3566.3252</v>
      </c>
      <c r="F130" s="62">
        <v>985.58416</v>
      </c>
      <c r="I130" s="62">
        <v>2024</v>
      </c>
      <c r="J130" s="62">
        <v>9</v>
      </c>
      <c r="K130" s="62" t="s">
        <v>15</v>
      </c>
      <c r="L130" s="62" t="s">
        <v>1</v>
      </c>
      <c r="M130" s="62">
        <v>3566.3252</v>
      </c>
      <c r="N130" s="62">
        <v>985.58416</v>
      </c>
    </row>
    <row r="131" spans="1:14">
      <c r="A131" s="62">
        <v>2024</v>
      </c>
      <c r="B131" s="62">
        <v>10</v>
      </c>
      <c r="C131" s="62" t="s">
        <v>0</v>
      </c>
      <c r="D131" s="62" t="s">
        <v>1</v>
      </c>
      <c r="E131" s="62">
        <v>4409.9705</v>
      </c>
      <c r="F131" s="62">
        <v>1158.9601375</v>
      </c>
      <c r="I131" s="62">
        <v>2024</v>
      </c>
      <c r="J131" s="62">
        <v>10</v>
      </c>
      <c r="K131" s="62" t="s">
        <v>15</v>
      </c>
      <c r="L131" s="62" t="s">
        <v>1</v>
      </c>
      <c r="M131" s="62">
        <v>4409.9705</v>
      </c>
      <c r="N131" s="62">
        <v>1158.9601375</v>
      </c>
    </row>
    <row r="132" spans="1:14">
      <c r="A132" s="62">
        <v>2024</v>
      </c>
      <c r="B132" s="62">
        <v>11</v>
      </c>
      <c r="C132" s="62" t="s">
        <v>0</v>
      </c>
      <c r="D132" s="62" t="s">
        <v>1</v>
      </c>
      <c r="E132" s="62">
        <v>2230.0646</v>
      </c>
      <c r="F132" s="62">
        <v>522.0363924999999</v>
      </c>
      <c r="I132" s="62">
        <v>2024</v>
      </c>
      <c r="J132" s="62">
        <v>11</v>
      </c>
      <c r="K132" s="62" t="s">
        <v>15</v>
      </c>
      <c r="L132" s="62" t="s">
        <v>1</v>
      </c>
      <c r="M132" s="62">
        <v>2230.0646</v>
      </c>
      <c r="N132" s="62">
        <v>522.0363924999999</v>
      </c>
    </row>
    <row r="133" spans="1:14">
      <c r="A133" s="62">
        <v>2024</v>
      </c>
      <c r="B133" s="62">
        <v>12</v>
      </c>
      <c r="C133" s="62" t="s">
        <v>0</v>
      </c>
      <c r="D133" s="62" t="s">
        <v>1</v>
      </c>
      <c r="E133" s="62">
        <v>779.1993</v>
      </c>
      <c r="F133" s="62">
        <v>161.059975</v>
      </c>
      <c r="I133" s="62">
        <v>2024</v>
      </c>
      <c r="J133" s="62">
        <v>12</v>
      </c>
      <c r="K133" s="62" t="s">
        <v>15</v>
      </c>
      <c r="L133" s="62" t="s">
        <v>1</v>
      </c>
      <c r="M133" s="62">
        <v>779.1993</v>
      </c>
      <c r="N133" s="62">
        <v>161.059975</v>
      </c>
    </row>
    <row r="134" spans="1:14">
      <c r="A134" s="62">
        <v>2025</v>
      </c>
      <c r="B134" s="62">
        <v>1</v>
      </c>
      <c r="C134" s="62" t="s">
        <v>0</v>
      </c>
      <c r="D134" s="62" t="s">
        <v>1</v>
      </c>
      <c r="E134" s="62">
        <v>3521.0971</v>
      </c>
      <c r="F134" s="62">
        <v>683.6895975</v>
      </c>
      <c r="I134" s="62">
        <v>2025</v>
      </c>
      <c r="J134" s="62">
        <v>1</v>
      </c>
      <c r="K134" s="62" t="s">
        <v>15</v>
      </c>
      <c r="L134" s="62" t="s">
        <v>1</v>
      </c>
      <c r="M134" s="62">
        <v>3521.0971</v>
      </c>
      <c r="N134" s="62">
        <v>683.6895975</v>
      </c>
    </row>
    <row r="135" spans="1:14">
      <c r="A135" s="62">
        <v>2025</v>
      </c>
      <c r="B135" s="62">
        <v>2</v>
      </c>
      <c r="C135" s="62" t="s">
        <v>0</v>
      </c>
      <c r="D135" s="62" t="s">
        <v>1</v>
      </c>
      <c r="E135" s="62">
        <v>5027.1616</v>
      </c>
      <c r="F135" s="62">
        <v>955.2746125</v>
      </c>
      <c r="I135" s="62">
        <v>2025</v>
      </c>
      <c r="J135" s="62">
        <v>2</v>
      </c>
      <c r="K135" s="62" t="s">
        <v>15</v>
      </c>
      <c r="L135" s="62" t="s">
        <v>1</v>
      </c>
      <c r="M135" s="62">
        <v>5027.1616</v>
      </c>
      <c r="N135" s="62">
        <v>955.2746125</v>
      </c>
    </row>
    <row r="136" spans="1:14">
      <c r="A136" s="62">
        <v>2025</v>
      </c>
      <c r="B136" s="62">
        <v>3</v>
      </c>
      <c r="C136" s="62" t="s">
        <v>0</v>
      </c>
      <c r="D136" s="62" t="s">
        <v>1</v>
      </c>
      <c r="E136" s="62">
        <v>4431.0635</v>
      </c>
      <c r="F136" s="62">
        <v>986.3712125</v>
      </c>
      <c r="I136" s="62">
        <v>2025</v>
      </c>
      <c r="J136" s="62">
        <v>3</v>
      </c>
      <c r="K136" s="62" t="s">
        <v>15</v>
      </c>
      <c r="L136" s="62" t="s">
        <v>1</v>
      </c>
      <c r="M136" s="62">
        <v>4431.0635</v>
      </c>
      <c r="N136" s="62">
        <v>986.3712125</v>
      </c>
    </row>
    <row r="137" spans="1:14">
      <c r="A137" s="62">
        <v>2025</v>
      </c>
      <c r="B137" s="62">
        <v>4</v>
      </c>
      <c r="C137" s="62" t="s">
        <v>0</v>
      </c>
      <c r="D137" s="62" t="s">
        <v>1</v>
      </c>
      <c r="E137" s="62">
        <v>5302.0811</v>
      </c>
      <c r="F137" s="62">
        <v>1233.050055</v>
      </c>
      <c r="I137" s="62">
        <v>2025</v>
      </c>
      <c r="J137" s="62">
        <v>4</v>
      </c>
      <c r="K137" s="62" t="s">
        <v>15</v>
      </c>
      <c r="L137" s="62" t="s">
        <v>1</v>
      </c>
      <c r="M137" s="62">
        <v>5302.0811</v>
      </c>
      <c r="N137" s="62">
        <v>1233.050055</v>
      </c>
    </row>
    <row r="138" spans="1:14">
      <c r="A138" s="62">
        <v>2025</v>
      </c>
      <c r="B138" s="62">
        <v>5</v>
      </c>
      <c r="C138" s="62" t="s">
        <v>0</v>
      </c>
      <c r="D138" s="62" t="s">
        <v>1</v>
      </c>
      <c r="E138" s="62">
        <v>2654.0926</v>
      </c>
      <c r="F138" s="62">
        <v>683.11194</v>
      </c>
      <c r="I138" s="62">
        <v>2025</v>
      </c>
      <c r="J138" s="62">
        <v>5</v>
      </c>
      <c r="K138" s="62" t="s">
        <v>15</v>
      </c>
      <c r="L138" s="62" t="s">
        <v>1</v>
      </c>
      <c r="M138" s="62">
        <v>2654.0926</v>
      </c>
      <c r="N138" s="62">
        <v>683.11194</v>
      </c>
    </row>
    <row r="139" spans="1:14">
      <c r="A139" s="62">
        <v>2025</v>
      </c>
      <c r="B139" s="62">
        <v>6</v>
      </c>
      <c r="C139" s="62" t="s">
        <v>0</v>
      </c>
      <c r="D139" s="62" t="s">
        <v>1</v>
      </c>
      <c r="E139" s="62">
        <v>1540.4157</v>
      </c>
      <c r="F139" s="62">
        <v>356.761255</v>
      </c>
      <c r="I139" s="62">
        <v>2025</v>
      </c>
      <c r="J139" s="62">
        <v>6</v>
      </c>
      <c r="K139" s="62" t="s">
        <v>15</v>
      </c>
      <c r="L139" s="62" t="s">
        <v>1</v>
      </c>
      <c r="M139" s="62">
        <v>1540.4157</v>
      </c>
      <c r="N139" s="62">
        <v>356.761255</v>
      </c>
    </row>
    <row r="140" spans="1:14">
      <c r="A140" s="62">
        <v>2025</v>
      </c>
      <c r="B140" s="62">
        <v>7</v>
      </c>
      <c r="C140" s="62" t="s">
        <v>0</v>
      </c>
      <c r="D140" s="62" t="s">
        <v>1</v>
      </c>
      <c r="E140" s="62">
        <v>1195.17</v>
      </c>
      <c r="F140" s="62">
        <v>252.523885</v>
      </c>
      <c r="I140" s="62">
        <v>2025</v>
      </c>
      <c r="J140" s="62">
        <v>7</v>
      </c>
      <c r="K140" s="62" t="s">
        <v>15</v>
      </c>
      <c r="L140" s="62" t="s">
        <v>1</v>
      </c>
      <c r="M140" s="62">
        <v>1195.17</v>
      </c>
      <c r="N140" s="62">
        <v>252.523885</v>
      </c>
    </row>
    <row r="141" spans="1:14">
      <c r="A141" s="62">
        <v>2025</v>
      </c>
      <c r="B141" s="62">
        <v>8</v>
      </c>
      <c r="C141" s="62" t="s">
        <v>0</v>
      </c>
      <c r="D141" s="62" t="s">
        <v>1</v>
      </c>
      <c r="E141" s="62">
        <v>1609.1225</v>
      </c>
      <c r="F141" s="62">
        <v>343.3677625</v>
      </c>
      <c r="I141" s="62">
        <v>2025</v>
      </c>
      <c r="J141" s="62">
        <v>8</v>
      </c>
      <c r="K141" s="62" t="s">
        <v>15</v>
      </c>
      <c r="L141" s="62" t="s">
        <v>1</v>
      </c>
      <c r="M141" s="62">
        <v>1609.1225</v>
      </c>
      <c r="N141" s="62">
        <v>343.3677625</v>
      </c>
    </row>
    <row r="142" spans="1:14">
      <c r="A142" s="62">
        <v>2025</v>
      </c>
      <c r="B142" s="62">
        <v>9</v>
      </c>
      <c r="C142" s="62" t="s">
        <v>0</v>
      </c>
      <c r="D142" s="62" t="s">
        <v>1</v>
      </c>
      <c r="E142" s="62">
        <v>3544.1765</v>
      </c>
      <c r="F142" s="62">
        <v>698.509925</v>
      </c>
      <c r="I142" s="62">
        <v>2025</v>
      </c>
      <c r="J142" s="62">
        <v>9</v>
      </c>
      <c r="K142" s="62" t="s">
        <v>15</v>
      </c>
      <c r="L142" s="62" t="s">
        <v>1</v>
      </c>
      <c r="M142" s="62">
        <v>3544.1765</v>
      </c>
      <c r="N142" s="62">
        <v>698.509925</v>
      </c>
    </row>
    <row r="143" spans="1:14">
      <c r="A143" s="62">
        <v>2025</v>
      </c>
      <c r="B143" s="62">
        <v>10</v>
      </c>
      <c r="C143" s="62" t="s">
        <v>0</v>
      </c>
      <c r="D143" s="62" t="s">
        <v>1</v>
      </c>
      <c r="E143" s="62">
        <v>5848.478</v>
      </c>
      <c r="F143" s="62">
        <v>1331.914495</v>
      </c>
      <c r="I143" s="62">
        <v>2025</v>
      </c>
      <c r="J143" s="62">
        <v>10</v>
      </c>
      <c r="K143" s="62" t="s">
        <v>15</v>
      </c>
      <c r="L143" s="62" t="s">
        <v>1</v>
      </c>
      <c r="M143" s="62">
        <v>5848.478</v>
      </c>
      <c r="N143" s="62">
        <v>1331.914495</v>
      </c>
    </row>
    <row r="144" spans="1:14">
      <c r="A144" s="62">
        <v>2025</v>
      </c>
      <c r="B144" s="62">
        <v>11</v>
      </c>
      <c r="C144" s="62" t="s">
        <v>0</v>
      </c>
      <c r="D144" s="62" t="s">
        <v>1</v>
      </c>
      <c r="E144" s="62">
        <v>3057.862</v>
      </c>
      <c r="F144" s="62">
        <v>756.9812274999999</v>
      </c>
      <c r="I144" s="62">
        <v>2025</v>
      </c>
      <c r="J144" s="62">
        <v>11</v>
      </c>
      <c r="K144" s="62" t="s">
        <v>15</v>
      </c>
      <c r="L144" s="62" t="s">
        <v>1</v>
      </c>
      <c r="M144" s="62">
        <v>3057.862</v>
      </c>
      <c r="N144" s="62">
        <v>756.9812274999999</v>
      </c>
    </row>
    <row r="145" spans="1:14">
      <c r="A145" s="62">
        <v>2025</v>
      </c>
      <c r="B145" s="62">
        <v>12</v>
      </c>
      <c r="C145" s="62" t="s">
        <v>0</v>
      </c>
      <c r="D145" s="62" t="s">
        <v>1</v>
      </c>
      <c r="E145" s="62">
        <v>943.3530000000001</v>
      </c>
      <c r="F145" s="62">
        <v>162.9547</v>
      </c>
      <c r="I145" s="62">
        <v>2025</v>
      </c>
      <c r="J145" s="62">
        <v>12</v>
      </c>
      <c r="K145" s="62" t="s">
        <v>15</v>
      </c>
      <c r="L145" s="62" t="s">
        <v>1</v>
      </c>
      <c r="M145" s="62">
        <v>943.3530000000001</v>
      </c>
      <c r="N145" s="62">
        <v>162.9547</v>
      </c>
    </row>
    <row r="146" spans="1:14">
      <c r="A146" s="62">
        <v>2026</v>
      </c>
      <c r="B146" s="62">
        <v>1</v>
      </c>
      <c r="C146" s="62" t="s">
        <v>0</v>
      </c>
      <c r="D146" s="62" t="s">
        <v>1</v>
      </c>
      <c r="E146" s="62">
        <v>1849.6688</v>
      </c>
      <c r="F146" s="62">
        <v>429.63014</v>
      </c>
      <c r="I146" s="62">
        <v>2026</v>
      </c>
      <c r="J146" s="62">
        <v>1</v>
      </c>
      <c r="K146" s="62" t="s">
        <v>15</v>
      </c>
      <c r="L146" s="62" t="s">
        <v>1</v>
      </c>
      <c r="M146" s="62">
        <v>1849.6688</v>
      </c>
      <c r="N146" s="62">
        <v>429.63014</v>
      </c>
    </row>
    <row r="147" spans="1:14">
      <c r="A147" s="62">
        <v>2026</v>
      </c>
      <c r="B147" s="62">
        <v>2</v>
      </c>
      <c r="C147" s="62" t="s">
        <v>0</v>
      </c>
      <c r="D147" s="62" t="s">
        <v>1</v>
      </c>
      <c r="E147" s="62">
        <v>3739.2241</v>
      </c>
      <c r="F147" s="62">
        <v>911.159165</v>
      </c>
      <c r="I147" s="62">
        <v>2026</v>
      </c>
      <c r="J147" s="62">
        <v>2</v>
      </c>
      <c r="K147" s="62" t="s">
        <v>15</v>
      </c>
      <c r="L147" s="62" t="s">
        <v>1</v>
      </c>
      <c r="M147" s="62">
        <v>3739.2241</v>
      </c>
      <c r="N147" s="62">
        <v>911.159165</v>
      </c>
    </row>
    <row r="148" spans="1:14">
      <c r="A148" s="62">
        <v>2026</v>
      </c>
      <c r="B148" s="62">
        <v>3</v>
      </c>
      <c r="C148" s="62" t="s">
        <v>0</v>
      </c>
      <c r="D148" s="62" t="s">
        <v>1</v>
      </c>
      <c r="E148" s="62">
        <v>3152.1816</v>
      </c>
      <c r="F148" s="62">
        <v>659.96586</v>
      </c>
      <c r="I148" s="62">
        <v>2026</v>
      </c>
      <c r="J148" s="62">
        <v>3</v>
      </c>
      <c r="K148" s="62" t="s">
        <v>15</v>
      </c>
      <c r="L148" s="62" t="s">
        <v>1</v>
      </c>
      <c r="M148" s="62">
        <v>3152.1816</v>
      </c>
      <c r="N148" s="62">
        <v>659.96586</v>
      </c>
    </row>
    <row r="149" spans="1:14">
      <c r="A149" s="62">
        <v>2026</v>
      </c>
      <c r="B149" s="62">
        <v>4</v>
      </c>
      <c r="C149" s="62" t="s">
        <v>0</v>
      </c>
      <c r="D149" s="62" t="s">
        <v>1</v>
      </c>
      <c r="E149" s="62">
        <v>3982.502</v>
      </c>
      <c r="F149" s="62">
        <v>899.7365</v>
      </c>
      <c r="I149" s="62">
        <v>2026</v>
      </c>
      <c r="J149" s="62">
        <v>4</v>
      </c>
      <c r="K149" s="62" t="s">
        <v>15</v>
      </c>
      <c r="L149" s="62" t="s">
        <v>1</v>
      </c>
      <c r="M149" s="62">
        <v>3982.502</v>
      </c>
      <c r="N149" s="62">
        <v>899.7365</v>
      </c>
    </row>
    <row r="150" spans="1:14">
      <c r="A150" s="62">
        <v>2026</v>
      </c>
      <c r="B150" s="62">
        <v>5</v>
      </c>
      <c r="C150" s="62" t="s">
        <v>0</v>
      </c>
      <c r="D150" s="62" t="s">
        <v>1</v>
      </c>
      <c r="E150" s="62">
        <v>2203.7437</v>
      </c>
      <c r="F150" s="62">
        <v>566.714995</v>
      </c>
      <c r="I150" s="62">
        <v>2026</v>
      </c>
      <c r="J150" s="62">
        <v>5</v>
      </c>
      <c r="K150" s="62" t="s">
        <v>15</v>
      </c>
      <c r="L150" s="62" t="s">
        <v>1</v>
      </c>
      <c r="M150" s="62">
        <v>2203.7437</v>
      </c>
      <c r="N150" s="62">
        <v>566.714995</v>
      </c>
    </row>
    <row r="151" spans="1:14">
      <c r="A151" s="62">
        <v>2026</v>
      </c>
      <c r="B151" s="62">
        <v>6</v>
      </c>
      <c r="C151" s="62" t="s">
        <v>0</v>
      </c>
      <c r="D151" s="62" t="s">
        <v>1</v>
      </c>
      <c r="E151" s="62">
        <v>1158.8167</v>
      </c>
      <c r="F151" s="62">
        <v>273.5449225</v>
      </c>
      <c r="I151" s="62">
        <v>2026</v>
      </c>
      <c r="J151" s="62">
        <v>6</v>
      </c>
      <c r="K151" s="62" t="s">
        <v>15</v>
      </c>
      <c r="L151" s="62" t="s">
        <v>1</v>
      </c>
      <c r="M151" s="62">
        <v>1158.8167</v>
      </c>
      <c r="N151" s="62">
        <v>273.5449225</v>
      </c>
    </row>
    <row r="152" spans="1:14">
      <c r="A152" s="62">
        <v>2026</v>
      </c>
      <c r="B152" s="62">
        <v>7</v>
      </c>
      <c r="C152" s="62" t="s">
        <v>0</v>
      </c>
      <c r="D152" s="62" t="s">
        <v>1</v>
      </c>
      <c r="E152" s="62">
        <v>375.506</v>
      </c>
      <c r="F152" s="62">
        <v>60.22175</v>
      </c>
      <c r="I152" s="62">
        <v>2026</v>
      </c>
      <c r="J152" s="62">
        <v>7</v>
      </c>
      <c r="K152" s="62" t="s">
        <v>15</v>
      </c>
      <c r="L152" s="62" t="s">
        <v>1</v>
      </c>
      <c r="M152" s="62">
        <v>375.506</v>
      </c>
      <c r="N152" s="62">
        <v>60.22175</v>
      </c>
    </row>
    <row r="153" spans="1:14">
      <c r="A153" s="62">
        <v>2026</v>
      </c>
      <c r="B153" s="62">
        <v>8</v>
      </c>
      <c r="C153" s="62" t="s">
        <v>0</v>
      </c>
      <c r="D153" s="62" t="s">
        <v>1</v>
      </c>
      <c r="E153" s="62">
        <v>251.11</v>
      </c>
      <c r="F153" s="62">
        <v>19.24375</v>
      </c>
      <c r="I153" s="62">
        <v>2026</v>
      </c>
      <c r="J153" s="62">
        <v>8</v>
      </c>
      <c r="K153" s="62" t="s">
        <v>15</v>
      </c>
      <c r="L153" s="62" t="s">
        <v>1</v>
      </c>
      <c r="M153" s="62">
        <v>251.11</v>
      </c>
      <c r="N153" s="62">
        <v>19.24375</v>
      </c>
    </row>
    <row r="154" spans="1:14">
      <c r="A154" s="62">
        <v>2026</v>
      </c>
      <c r="B154" s="62">
        <v>9</v>
      </c>
      <c r="C154" s="62" t="s">
        <v>0</v>
      </c>
      <c r="D154" s="62" t="s">
        <v>1</v>
      </c>
      <c r="E154" s="62">
        <v>1218.8349</v>
      </c>
      <c r="F154" s="62">
        <v>276.3219325</v>
      </c>
      <c r="I154" s="62">
        <v>2026</v>
      </c>
      <c r="J154" s="62">
        <v>9</v>
      </c>
      <c r="K154" s="62" t="s">
        <v>15</v>
      </c>
      <c r="L154" s="62" t="s">
        <v>1</v>
      </c>
      <c r="M154" s="62">
        <v>1218.8349</v>
      </c>
      <c r="N154" s="62">
        <v>276.3219325</v>
      </c>
    </row>
    <row r="155" spans="1:14">
      <c r="A155" s="62">
        <v>2026</v>
      </c>
      <c r="B155" s="62">
        <v>10</v>
      </c>
      <c r="C155" s="62" t="s">
        <v>0</v>
      </c>
      <c r="D155" s="62" t="s">
        <v>1</v>
      </c>
      <c r="E155" s="62">
        <v>1640.294</v>
      </c>
      <c r="F155" s="62">
        <v>423.621605</v>
      </c>
      <c r="I155" s="62">
        <v>2026</v>
      </c>
      <c r="J155" s="62">
        <v>10</v>
      </c>
      <c r="K155" s="62" t="s">
        <v>15</v>
      </c>
      <c r="L155" s="62" t="s">
        <v>1</v>
      </c>
      <c r="M155" s="62">
        <v>1640.294</v>
      </c>
      <c r="N155" s="62">
        <v>423.621605</v>
      </c>
    </row>
    <row r="156" spans="1:14">
      <c r="A156" s="62">
        <v>2026</v>
      </c>
      <c r="B156" s="62">
        <v>11</v>
      </c>
      <c r="C156" s="62" t="s">
        <v>0</v>
      </c>
      <c r="D156" s="62" t="s">
        <v>1</v>
      </c>
      <c r="E156" s="62">
        <v>697.476</v>
      </c>
      <c r="F156" s="62">
        <v>199.66655</v>
      </c>
      <c r="I156" s="62">
        <v>2026</v>
      </c>
      <c r="J156" s="62">
        <v>11</v>
      </c>
      <c r="K156" s="62" t="s">
        <v>15</v>
      </c>
      <c r="L156" s="62" t="s">
        <v>1</v>
      </c>
      <c r="M156" s="62">
        <v>697.476</v>
      </c>
      <c r="N156" s="62">
        <v>199.66655</v>
      </c>
    </row>
    <row r="157" spans="1:14">
      <c r="A157" s="62">
        <v>2026</v>
      </c>
      <c r="B157" s="62">
        <v>12</v>
      </c>
      <c r="C157" s="62" t="s">
        <v>0</v>
      </c>
      <c r="D157" s="62" t="s">
        <v>1</v>
      </c>
      <c r="E157" s="62">
        <v>9.5</v>
      </c>
      <c r="F157" s="62">
        <v>3.12</v>
      </c>
      <c r="I157" s="62">
        <v>2026</v>
      </c>
      <c r="J157" s="62">
        <v>12</v>
      </c>
      <c r="K157" s="62" t="s">
        <v>15</v>
      </c>
      <c r="L157" s="62" t="s">
        <v>1</v>
      </c>
      <c r="M157" s="62">
        <v>9.5</v>
      </c>
      <c r="N157" s="62">
        <v>3.12</v>
      </c>
    </row>
    <row r="158" spans="1:14">
      <c r="A158" s="62">
        <v>2027</v>
      </c>
      <c r="B158" s="62">
        <v>1</v>
      </c>
      <c r="C158" s="62" t="s">
        <v>0</v>
      </c>
      <c r="D158" s="62" t="s">
        <v>1</v>
      </c>
      <c r="E158" s="62">
        <v>1088.333</v>
      </c>
      <c r="F158" s="62">
        <v>293.034375</v>
      </c>
      <c r="I158" s="62">
        <v>2027</v>
      </c>
      <c r="J158" s="62">
        <v>1</v>
      </c>
      <c r="K158" s="62" t="s">
        <v>15</v>
      </c>
      <c r="L158" s="62" t="s">
        <v>1</v>
      </c>
      <c r="M158" s="62">
        <v>1088.333</v>
      </c>
      <c r="N158" s="62">
        <v>293.034375</v>
      </c>
    </row>
    <row r="159" spans="1:14">
      <c r="A159" s="62">
        <v>2027</v>
      </c>
      <c r="B159" s="62">
        <v>2</v>
      </c>
      <c r="C159" s="62" t="s">
        <v>0</v>
      </c>
      <c r="D159" s="62" t="s">
        <v>1</v>
      </c>
      <c r="E159" s="62">
        <v>2092.4001</v>
      </c>
      <c r="F159" s="62">
        <v>526.846765</v>
      </c>
      <c r="I159" s="62">
        <v>2027</v>
      </c>
      <c r="J159" s="62">
        <v>2</v>
      </c>
      <c r="K159" s="62" t="s">
        <v>15</v>
      </c>
      <c r="L159" s="62" t="s">
        <v>1</v>
      </c>
      <c r="M159" s="62">
        <v>2092.4001</v>
      </c>
      <c r="N159" s="62">
        <v>526.846765</v>
      </c>
    </row>
    <row r="160" spans="1:14">
      <c r="A160" s="62">
        <v>2027</v>
      </c>
      <c r="B160" s="62">
        <v>3</v>
      </c>
      <c r="C160" s="62" t="s">
        <v>0</v>
      </c>
      <c r="D160" s="62" t="s">
        <v>1</v>
      </c>
      <c r="E160" s="62">
        <v>2910.1523</v>
      </c>
      <c r="F160" s="62">
        <v>683.76415</v>
      </c>
      <c r="I160" s="62">
        <v>2027</v>
      </c>
      <c r="J160" s="62">
        <v>3</v>
      </c>
      <c r="K160" s="62" t="s">
        <v>15</v>
      </c>
      <c r="L160" s="62" t="s">
        <v>1</v>
      </c>
      <c r="M160" s="62">
        <v>2910.1523</v>
      </c>
      <c r="N160" s="62">
        <v>683.76415</v>
      </c>
    </row>
    <row r="161" spans="1:14">
      <c r="A161" s="62">
        <v>2027</v>
      </c>
      <c r="B161" s="62">
        <v>4</v>
      </c>
      <c r="C161" s="62" t="s">
        <v>0</v>
      </c>
      <c r="D161" s="62" t="s">
        <v>1</v>
      </c>
      <c r="E161" s="62">
        <v>2004.0124</v>
      </c>
      <c r="F161" s="62">
        <v>427.8607175</v>
      </c>
      <c r="I161" s="62">
        <v>2027</v>
      </c>
      <c r="J161" s="62">
        <v>4</v>
      </c>
      <c r="K161" s="62" t="s">
        <v>15</v>
      </c>
      <c r="L161" s="62" t="s">
        <v>1</v>
      </c>
      <c r="M161" s="62">
        <v>2004.0124</v>
      </c>
      <c r="N161" s="62">
        <v>427.8607175</v>
      </c>
    </row>
    <row r="162" spans="1:14">
      <c r="A162" s="62">
        <v>2027</v>
      </c>
      <c r="B162" s="62">
        <v>5</v>
      </c>
      <c r="C162" s="62" t="s">
        <v>0</v>
      </c>
      <c r="D162" s="62" t="s">
        <v>1</v>
      </c>
      <c r="E162" s="62">
        <v>901.152</v>
      </c>
      <c r="F162" s="62">
        <v>179.3469</v>
      </c>
      <c r="I162" s="62">
        <v>2027</v>
      </c>
      <c r="J162" s="62">
        <v>5</v>
      </c>
      <c r="K162" s="62" t="s">
        <v>15</v>
      </c>
      <c r="L162" s="62" t="s">
        <v>1</v>
      </c>
      <c r="M162" s="62">
        <v>901.152</v>
      </c>
      <c r="N162" s="62">
        <v>179.3469</v>
      </c>
    </row>
    <row r="163" spans="1:14">
      <c r="A163" s="62">
        <v>2027</v>
      </c>
      <c r="B163" s="62">
        <v>6</v>
      </c>
      <c r="C163" s="62" t="s">
        <v>0</v>
      </c>
      <c r="D163" s="62" t="s">
        <v>1</v>
      </c>
      <c r="E163" s="62">
        <v>215.305</v>
      </c>
      <c r="F163" s="62">
        <v>62.26075</v>
      </c>
      <c r="I163" s="62">
        <v>2027</v>
      </c>
      <c r="J163" s="62">
        <v>6</v>
      </c>
      <c r="K163" s="62" t="s">
        <v>15</v>
      </c>
      <c r="L163" s="62" t="s">
        <v>1</v>
      </c>
      <c r="M163" s="62">
        <v>215.305</v>
      </c>
      <c r="N163" s="62">
        <v>62.26075</v>
      </c>
    </row>
    <row r="164" spans="1:14">
      <c r="A164" s="62">
        <v>2027</v>
      </c>
      <c r="B164" s="62">
        <v>7</v>
      </c>
      <c r="C164" s="62" t="s">
        <v>0</v>
      </c>
      <c r="D164" s="62" t="s">
        <v>1</v>
      </c>
      <c r="E164" s="62">
        <v>167.5</v>
      </c>
      <c r="F164" s="62">
        <v>61</v>
      </c>
      <c r="I164" s="62">
        <v>2027</v>
      </c>
      <c r="J164" s="62">
        <v>7</v>
      </c>
      <c r="K164" s="62" t="s">
        <v>15</v>
      </c>
      <c r="L164" s="62" t="s">
        <v>1</v>
      </c>
      <c r="M164" s="62">
        <v>167.5</v>
      </c>
      <c r="N164" s="62">
        <v>61</v>
      </c>
    </row>
    <row r="165" spans="1:14">
      <c r="A165" s="62">
        <v>2027</v>
      </c>
      <c r="B165" s="62">
        <v>8</v>
      </c>
      <c r="C165" s="62" t="s">
        <v>0</v>
      </c>
      <c r="D165" s="62" t="s">
        <v>1</v>
      </c>
      <c r="E165" s="62">
        <v>51.06</v>
      </c>
      <c r="F165" s="62">
        <v>17.69</v>
      </c>
      <c r="I165" s="62">
        <v>2027</v>
      </c>
      <c r="J165" s="62">
        <v>8</v>
      </c>
      <c r="K165" s="62" t="s">
        <v>15</v>
      </c>
      <c r="L165" s="62" t="s">
        <v>1</v>
      </c>
      <c r="M165" s="62">
        <v>51.06</v>
      </c>
      <c r="N165" s="62">
        <v>17.69</v>
      </c>
    </row>
    <row r="166" spans="1:14">
      <c r="A166" s="62">
        <v>2027</v>
      </c>
      <c r="B166" s="62">
        <v>9</v>
      </c>
      <c r="C166" s="62" t="s">
        <v>0</v>
      </c>
      <c r="D166" s="62" t="s">
        <v>1</v>
      </c>
      <c r="E166" s="62">
        <v>2986.8719</v>
      </c>
      <c r="F166" s="62">
        <v>567.2165575</v>
      </c>
      <c r="I166" s="62">
        <v>2027</v>
      </c>
      <c r="J166" s="62">
        <v>9</v>
      </c>
      <c r="K166" s="62" t="s">
        <v>15</v>
      </c>
      <c r="L166" s="62" t="s">
        <v>1</v>
      </c>
      <c r="M166" s="62">
        <v>2986.8719</v>
      </c>
      <c r="N166" s="62">
        <v>567.2165575</v>
      </c>
    </row>
    <row r="167" spans="1:14">
      <c r="A167" s="62">
        <v>2027</v>
      </c>
      <c r="B167" s="62">
        <v>10</v>
      </c>
      <c r="C167" s="62" t="s">
        <v>0</v>
      </c>
      <c r="D167" s="62" t="s">
        <v>1</v>
      </c>
      <c r="E167" s="62">
        <v>2955.9469</v>
      </c>
      <c r="F167" s="62">
        <v>580.3807575</v>
      </c>
      <c r="I167" s="62">
        <v>2027</v>
      </c>
      <c r="J167" s="62">
        <v>10</v>
      </c>
      <c r="K167" s="62" t="s">
        <v>15</v>
      </c>
      <c r="L167" s="62" t="s">
        <v>1</v>
      </c>
      <c r="M167" s="62">
        <v>2955.9469</v>
      </c>
      <c r="N167" s="62">
        <v>580.3807575</v>
      </c>
    </row>
    <row r="168" spans="1:14">
      <c r="A168" s="62">
        <v>2027</v>
      </c>
      <c r="B168" s="62">
        <v>11</v>
      </c>
      <c r="C168" s="62" t="s">
        <v>0</v>
      </c>
      <c r="D168" s="62" t="s">
        <v>1</v>
      </c>
      <c r="E168" s="62">
        <v>546.936</v>
      </c>
      <c r="F168" s="62">
        <v>108.275275</v>
      </c>
      <c r="I168" s="62">
        <v>2027</v>
      </c>
      <c r="J168" s="62">
        <v>11</v>
      </c>
      <c r="K168" s="62" t="s">
        <v>15</v>
      </c>
      <c r="L168" s="62" t="s">
        <v>1</v>
      </c>
      <c r="M168" s="62">
        <v>546.936</v>
      </c>
      <c r="N168" s="62">
        <v>108.275275</v>
      </c>
    </row>
    <row r="169" spans="1:14">
      <c r="A169" s="62">
        <v>2027</v>
      </c>
      <c r="B169" s="62">
        <v>12</v>
      </c>
      <c r="C169" s="62" t="s">
        <v>0</v>
      </c>
      <c r="D169" s="62" t="s">
        <v>1</v>
      </c>
      <c r="E169" s="62">
        <v>3.5</v>
      </c>
      <c r="F169" s="62">
        <v>0</v>
      </c>
      <c r="I169" s="62">
        <v>2027</v>
      </c>
      <c r="J169" s="62">
        <v>12</v>
      </c>
      <c r="K169" s="62" t="s">
        <v>15</v>
      </c>
      <c r="L169" s="62" t="s">
        <v>1</v>
      </c>
      <c r="M169" s="62">
        <v>3.5</v>
      </c>
      <c r="N169" s="62">
        <v>0</v>
      </c>
    </row>
    <row r="170" spans="1:14">
      <c r="A170" s="62">
        <v>2014</v>
      </c>
      <c r="B170" s="62">
        <v>1</v>
      </c>
      <c r="C170" s="62" t="s">
        <v>0</v>
      </c>
      <c r="D170" s="62" t="s">
        <v>2</v>
      </c>
      <c r="E170" s="62">
        <v>1419.2336</v>
      </c>
      <c r="F170" s="62">
        <v>301.31258</v>
      </c>
      <c r="I170" s="62">
        <v>2014</v>
      </c>
      <c r="J170" s="62">
        <v>1</v>
      </c>
      <c r="K170" s="62" t="s">
        <v>15</v>
      </c>
      <c r="L170" s="62" t="s">
        <v>2</v>
      </c>
      <c r="M170" s="62">
        <v>1419.2336</v>
      </c>
      <c r="N170" s="62">
        <v>301.31258</v>
      </c>
    </row>
    <row r="171" spans="1:14">
      <c r="A171" s="62">
        <v>2014</v>
      </c>
      <c r="B171" s="62">
        <v>2</v>
      </c>
      <c r="C171" s="62" t="s">
        <v>0</v>
      </c>
      <c r="D171" s="62" t="s">
        <v>2</v>
      </c>
      <c r="E171" s="62">
        <v>3432.3244</v>
      </c>
      <c r="F171" s="62">
        <v>734.86352</v>
      </c>
      <c r="I171" s="62">
        <v>2014</v>
      </c>
      <c r="J171" s="62">
        <v>2</v>
      </c>
      <c r="K171" s="62" t="s">
        <v>15</v>
      </c>
      <c r="L171" s="62" t="s">
        <v>2</v>
      </c>
      <c r="M171" s="62">
        <v>3432.3244</v>
      </c>
      <c r="N171" s="62">
        <v>734.86352</v>
      </c>
    </row>
    <row r="172" spans="1:14">
      <c r="A172" s="62">
        <v>2014</v>
      </c>
      <c r="B172" s="62">
        <v>3</v>
      </c>
      <c r="C172" s="62" t="s">
        <v>0</v>
      </c>
      <c r="D172" s="62" t="s">
        <v>2</v>
      </c>
      <c r="E172" s="62">
        <v>3634.902</v>
      </c>
      <c r="F172" s="62">
        <v>831.9150999999999</v>
      </c>
      <c r="I172" s="62">
        <v>2014</v>
      </c>
      <c r="J172" s="62">
        <v>3</v>
      </c>
      <c r="K172" s="62" t="s">
        <v>15</v>
      </c>
      <c r="L172" s="62" t="s">
        <v>2</v>
      </c>
      <c r="M172" s="62">
        <v>3634.902</v>
      </c>
      <c r="N172" s="62">
        <v>831.9150999999999</v>
      </c>
    </row>
    <row r="173" spans="1:14">
      <c r="A173" s="62">
        <v>2014</v>
      </c>
      <c r="B173" s="62">
        <v>4</v>
      </c>
      <c r="C173" s="62" t="s">
        <v>0</v>
      </c>
      <c r="D173" s="62" t="s">
        <v>2</v>
      </c>
      <c r="E173" s="62">
        <v>2466.026</v>
      </c>
      <c r="F173" s="62">
        <v>529.5542</v>
      </c>
      <c r="I173" s="62">
        <v>2014</v>
      </c>
      <c r="J173" s="62">
        <v>4</v>
      </c>
      <c r="K173" s="62" t="s">
        <v>15</v>
      </c>
      <c r="L173" s="62" t="s">
        <v>2</v>
      </c>
      <c r="M173" s="62">
        <v>2466.026</v>
      </c>
      <c r="N173" s="62">
        <v>529.5542</v>
      </c>
    </row>
    <row r="174" spans="1:14">
      <c r="A174" s="62">
        <v>2014</v>
      </c>
      <c r="B174" s="62">
        <v>5</v>
      </c>
      <c r="C174" s="62" t="s">
        <v>0</v>
      </c>
      <c r="D174" s="62" t="s">
        <v>2</v>
      </c>
      <c r="E174" s="62">
        <v>2600.119</v>
      </c>
      <c r="F174" s="62">
        <v>505.299175</v>
      </c>
      <c r="I174" s="62">
        <v>2014</v>
      </c>
      <c r="J174" s="62">
        <v>5</v>
      </c>
      <c r="K174" s="62" t="s">
        <v>15</v>
      </c>
      <c r="L174" s="62" t="s">
        <v>2</v>
      </c>
      <c r="M174" s="62">
        <v>2600.119</v>
      </c>
      <c r="N174" s="62">
        <v>505.299175</v>
      </c>
    </row>
    <row r="175" spans="1:14">
      <c r="A175" s="62">
        <v>2014</v>
      </c>
      <c r="B175" s="62">
        <v>6</v>
      </c>
      <c r="C175" s="62" t="s">
        <v>0</v>
      </c>
      <c r="D175" s="62" t="s">
        <v>2</v>
      </c>
      <c r="E175" s="62">
        <v>1726.856</v>
      </c>
      <c r="F175" s="62">
        <v>335.1755</v>
      </c>
      <c r="I175" s="62">
        <v>2014</v>
      </c>
      <c r="J175" s="62">
        <v>6</v>
      </c>
      <c r="K175" s="62" t="s">
        <v>15</v>
      </c>
      <c r="L175" s="62" t="s">
        <v>2</v>
      </c>
      <c r="M175" s="62">
        <v>1726.856</v>
      </c>
      <c r="N175" s="62">
        <v>335.1755</v>
      </c>
    </row>
    <row r="176" spans="1:14">
      <c r="A176" s="62">
        <v>2014</v>
      </c>
      <c r="B176" s="62">
        <v>7</v>
      </c>
      <c r="C176" s="62" t="s">
        <v>0</v>
      </c>
      <c r="D176" s="62" t="s">
        <v>2</v>
      </c>
      <c r="E176" s="62">
        <v>344.091</v>
      </c>
      <c r="F176" s="62">
        <v>70.26842499999999</v>
      </c>
      <c r="I176" s="62">
        <v>2014</v>
      </c>
      <c r="J176" s="62">
        <v>7</v>
      </c>
      <c r="K176" s="62" t="s">
        <v>15</v>
      </c>
      <c r="L176" s="62" t="s">
        <v>2</v>
      </c>
      <c r="M176" s="62">
        <v>344.091</v>
      </c>
      <c r="N176" s="62">
        <v>70.26842499999999</v>
      </c>
    </row>
    <row r="177" spans="1:14">
      <c r="A177" s="62">
        <v>2014</v>
      </c>
      <c r="B177" s="62">
        <v>8</v>
      </c>
      <c r="C177" s="62" t="s">
        <v>0</v>
      </c>
      <c r="D177" s="62" t="s">
        <v>2</v>
      </c>
      <c r="E177" s="62">
        <v>200.525</v>
      </c>
      <c r="F177" s="62">
        <v>48.61199999999999</v>
      </c>
      <c r="I177" s="62">
        <v>2014</v>
      </c>
      <c r="J177" s="62">
        <v>8</v>
      </c>
      <c r="K177" s="62" t="s">
        <v>15</v>
      </c>
      <c r="L177" s="62" t="s">
        <v>2</v>
      </c>
      <c r="M177" s="62">
        <v>200.525</v>
      </c>
      <c r="N177" s="62">
        <v>48.61199999999999</v>
      </c>
    </row>
    <row r="178" spans="1:14">
      <c r="A178" s="62">
        <v>2014</v>
      </c>
      <c r="B178" s="62">
        <v>9</v>
      </c>
      <c r="C178" s="62" t="s">
        <v>0</v>
      </c>
      <c r="D178" s="62" t="s">
        <v>2</v>
      </c>
      <c r="E178" s="62">
        <v>1146.8315</v>
      </c>
      <c r="F178" s="62">
        <v>306.070675</v>
      </c>
      <c r="I178" s="62">
        <v>2014</v>
      </c>
      <c r="J178" s="62">
        <v>9</v>
      </c>
      <c r="K178" s="62" t="s">
        <v>15</v>
      </c>
      <c r="L178" s="62" t="s">
        <v>2</v>
      </c>
      <c r="M178" s="62">
        <v>1146.8315</v>
      </c>
      <c r="N178" s="62">
        <v>306.070675</v>
      </c>
    </row>
    <row r="179" spans="1:14">
      <c r="A179" s="62">
        <v>2014</v>
      </c>
      <c r="B179" s="62">
        <v>10</v>
      </c>
      <c r="C179" s="62" t="s">
        <v>0</v>
      </c>
      <c r="D179" s="62" t="s">
        <v>2</v>
      </c>
      <c r="E179" s="62">
        <v>3208.547</v>
      </c>
      <c r="F179" s="62">
        <v>794.626975</v>
      </c>
      <c r="I179" s="62">
        <v>2014</v>
      </c>
      <c r="J179" s="62">
        <v>10</v>
      </c>
      <c r="K179" s="62" t="s">
        <v>15</v>
      </c>
      <c r="L179" s="62" t="s">
        <v>2</v>
      </c>
      <c r="M179" s="62">
        <v>3208.547</v>
      </c>
      <c r="N179" s="62">
        <v>794.626975</v>
      </c>
    </row>
    <row r="180" spans="1:14">
      <c r="A180" s="62">
        <v>2014</v>
      </c>
      <c r="B180" s="62">
        <v>11</v>
      </c>
      <c r="C180" s="62" t="s">
        <v>0</v>
      </c>
      <c r="D180" s="62" t="s">
        <v>2</v>
      </c>
      <c r="E180" s="62">
        <v>1766.4819</v>
      </c>
      <c r="F180" s="62">
        <v>416.31365</v>
      </c>
      <c r="I180" s="62">
        <v>2014</v>
      </c>
      <c r="J180" s="62">
        <v>11</v>
      </c>
      <c r="K180" s="62" t="s">
        <v>15</v>
      </c>
      <c r="L180" s="62" t="s">
        <v>2</v>
      </c>
      <c r="M180" s="62">
        <v>1766.4819</v>
      </c>
      <c r="N180" s="62">
        <v>416.31365</v>
      </c>
    </row>
    <row r="181" spans="1:14">
      <c r="A181" s="62">
        <v>2014</v>
      </c>
      <c r="B181" s="62">
        <v>12</v>
      </c>
      <c r="C181" s="62" t="s">
        <v>0</v>
      </c>
      <c r="D181" s="62" t="s">
        <v>2</v>
      </c>
      <c r="E181" s="62">
        <v>252.7035</v>
      </c>
      <c r="F181" s="62">
        <v>84.122</v>
      </c>
      <c r="I181" s="62">
        <v>2014</v>
      </c>
      <c r="J181" s="62">
        <v>12</v>
      </c>
      <c r="K181" s="62" t="s">
        <v>15</v>
      </c>
      <c r="L181" s="62" t="s">
        <v>2</v>
      </c>
      <c r="M181" s="62">
        <v>252.7035</v>
      </c>
      <c r="N181" s="62">
        <v>84.122</v>
      </c>
    </row>
    <row r="182" spans="1:14">
      <c r="A182" s="62">
        <v>2015</v>
      </c>
      <c r="B182" s="62">
        <v>1</v>
      </c>
      <c r="C182" s="62" t="s">
        <v>0</v>
      </c>
      <c r="D182" s="62" t="s">
        <v>2</v>
      </c>
      <c r="E182" s="62">
        <v>1699.444</v>
      </c>
      <c r="F182" s="62">
        <v>377.8178</v>
      </c>
      <c r="I182" s="62">
        <v>2015</v>
      </c>
      <c r="J182" s="62">
        <v>1</v>
      </c>
      <c r="K182" s="62" t="s">
        <v>15</v>
      </c>
      <c r="L182" s="62" t="s">
        <v>2</v>
      </c>
      <c r="M182" s="62">
        <v>1699.444</v>
      </c>
      <c r="N182" s="62">
        <v>377.8178</v>
      </c>
    </row>
    <row r="183" spans="1:14">
      <c r="A183" s="62">
        <v>2015</v>
      </c>
      <c r="B183" s="62">
        <v>2</v>
      </c>
      <c r="C183" s="62" t="s">
        <v>0</v>
      </c>
      <c r="D183" s="62" t="s">
        <v>2</v>
      </c>
      <c r="E183" s="62">
        <v>2609.707</v>
      </c>
      <c r="F183" s="62">
        <v>660.0537</v>
      </c>
      <c r="I183" s="62">
        <v>2015</v>
      </c>
      <c r="J183" s="62">
        <v>2</v>
      </c>
      <c r="K183" s="62" t="s">
        <v>15</v>
      </c>
      <c r="L183" s="62" t="s">
        <v>2</v>
      </c>
      <c r="M183" s="62">
        <v>2609.707</v>
      </c>
      <c r="N183" s="62">
        <v>660.0537</v>
      </c>
    </row>
    <row r="184" spans="1:14">
      <c r="A184" s="62">
        <v>2015</v>
      </c>
      <c r="B184" s="62">
        <v>3</v>
      </c>
      <c r="C184" s="62" t="s">
        <v>0</v>
      </c>
      <c r="D184" s="62" t="s">
        <v>2</v>
      </c>
      <c r="E184" s="62">
        <v>2914.91</v>
      </c>
      <c r="F184" s="62">
        <v>686.647325</v>
      </c>
      <c r="I184" s="62">
        <v>2015</v>
      </c>
      <c r="J184" s="62">
        <v>3</v>
      </c>
      <c r="K184" s="62" t="s">
        <v>15</v>
      </c>
      <c r="L184" s="62" t="s">
        <v>2</v>
      </c>
      <c r="M184" s="62">
        <v>2914.91</v>
      </c>
      <c r="N184" s="62">
        <v>686.647325</v>
      </c>
    </row>
    <row r="185" spans="1:14">
      <c r="A185" s="62">
        <v>2015</v>
      </c>
      <c r="B185" s="62">
        <v>4</v>
      </c>
      <c r="C185" s="62" t="s">
        <v>0</v>
      </c>
      <c r="D185" s="62" t="s">
        <v>2</v>
      </c>
      <c r="E185" s="62">
        <v>1825.398</v>
      </c>
      <c r="F185" s="62">
        <v>419.646225</v>
      </c>
      <c r="I185" s="62">
        <v>2015</v>
      </c>
      <c r="J185" s="62">
        <v>4</v>
      </c>
      <c r="K185" s="62" t="s">
        <v>15</v>
      </c>
      <c r="L185" s="62" t="s">
        <v>2</v>
      </c>
      <c r="M185" s="62">
        <v>1825.398</v>
      </c>
      <c r="N185" s="62">
        <v>419.646225</v>
      </c>
    </row>
    <row r="186" spans="1:14">
      <c r="A186" s="62">
        <v>2015</v>
      </c>
      <c r="B186" s="62">
        <v>5</v>
      </c>
      <c r="C186" s="62" t="s">
        <v>0</v>
      </c>
      <c r="D186" s="62" t="s">
        <v>2</v>
      </c>
      <c r="E186" s="62">
        <v>1211.4935</v>
      </c>
      <c r="F186" s="62">
        <v>363.7577625</v>
      </c>
      <c r="I186" s="62">
        <v>2015</v>
      </c>
      <c r="J186" s="62">
        <v>5</v>
      </c>
      <c r="K186" s="62" t="s">
        <v>15</v>
      </c>
      <c r="L186" s="62" t="s">
        <v>2</v>
      </c>
      <c r="M186" s="62">
        <v>1211.4935</v>
      </c>
      <c r="N186" s="62">
        <v>363.7577625</v>
      </c>
    </row>
    <row r="187" spans="1:14">
      <c r="A187" s="62">
        <v>2015</v>
      </c>
      <c r="B187" s="62">
        <v>6</v>
      </c>
      <c r="C187" s="62" t="s">
        <v>0</v>
      </c>
      <c r="D187" s="62" t="s">
        <v>2</v>
      </c>
      <c r="E187" s="62">
        <v>1086.445</v>
      </c>
      <c r="F187" s="62">
        <v>356.554725</v>
      </c>
      <c r="I187" s="62">
        <v>2015</v>
      </c>
      <c r="J187" s="62">
        <v>6</v>
      </c>
      <c r="K187" s="62" t="s">
        <v>15</v>
      </c>
      <c r="L187" s="62" t="s">
        <v>2</v>
      </c>
      <c r="M187" s="62">
        <v>1086.445</v>
      </c>
      <c r="N187" s="62">
        <v>356.554725</v>
      </c>
    </row>
    <row r="188" spans="1:14">
      <c r="A188" s="62">
        <v>2015</v>
      </c>
      <c r="B188" s="62">
        <v>7</v>
      </c>
      <c r="C188" s="62" t="s">
        <v>0</v>
      </c>
      <c r="D188" s="62" t="s">
        <v>2</v>
      </c>
      <c r="E188" s="62">
        <v>706.4005</v>
      </c>
      <c r="F188" s="62">
        <v>192.80825</v>
      </c>
      <c r="I188" s="62">
        <v>2015</v>
      </c>
      <c r="J188" s="62">
        <v>7</v>
      </c>
      <c r="K188" s="62" t="s">
        <v>15</v>
      </c>
      <c r="L188" s="62" t="s">
        <v>2</v>
      </c>
      <c r="M188" s="62">
        <v>706.4005</v>
      </c>
      <c r="N188" s="62">
        <v>192.80825</v>
      </c>
    </row>
    <row r="189" spans="1:14">
      <c r="A189" s="62">
        <v>2015</v>
      </c>
      <c r="B189" s="62">
        <v>8</v>
      </c>
      <c r="C189" s="62" t="s">
        <v>0</v>
      </c>
      <c r="D189" s="62" t="s">
        <v>2</v>
      </c>
      <c r="E189" s="62">
        <v>555.992</v>
      </c>
      <c r="F189" s="62">
        <v>106.24785</v>
      </c>
      <c r="I189" s="62">
        <v>2015</v>
      </c>
      <c r="J189" s="62">
        <v>8</v>
      </c>
      <c r="K189" s="62" t="s">
        <v>15</v>
      </c>
      <c r="L189" s="62" t="s">
        <v>2</v>
      </c>
      <c r="M189" s="62">
        <v>555.992</v>
      </c>
      <c r="N189" s="62">
        <v>106.24785</v>
      </c>
    </row>
    <row r="190" spans="1:14">
      <c r="A190" s="62">
        <v>2015</v>
      </c>
      <c r="B190" s="62">
        <v>9</v>
      </c>
      <c r="C190" s="62" t="s">
        <v>0</v>
      </c>
      <c r="D190" s="62" t="s">
        <v>2</v>
      </c>
      <c r="E190" s="62">
        <v>1587.0115</v>
      </c>
      <c r="F190" s="62">
        <v>289.8219</v>
      </c>
      <c r="I190" s="62">
        <v>2015</v>
      </c>
      <c r="J190" s="62">
        <v>9</v>
      </c>
      <c r="K190" s="62" t="s">
        <v>15</v>
      </c>
      <c r="L190" s="62" t="s">
        <v>2</v>
      </c>
      <c r="M190" s="62">
        <v>1587.0115</v>
      </c>
      <c r="N190" s="62">
        <v>289.8219</v>
      </c>
    </row>
    <row r="191" spans="1:14">
      <c r="A191" s="62">
        <v>2015</v>
      </c>
      <c r="B191" s="62">
        <v>10</v>
      </c>
      <c r="C191" s="62" t="s">
        <v>0</v>
      </c>
      <c r="D191" s="62" t="s">
        <v>2</v>
      </c>
      <c r="E191" s="62">
        <v>2736.02</v>
      </c>
      <c r="F191" s="62">
        <v>595.4938625</v>
      </c>
      <c r="I191" s="62">
        <v>2015</v>
      </c>
      <c r="J191" s="62">
        <v>10</v>
      </c>
      <c r="K191" s="62" t="s">
        <v>15</v>
      </c>
      <c r="L191" s="62" t="s">
        <v>2</v>
      </c>
      <c r="M191" s="62">
        <v>2736.02</v>
      </c>
      <c r="N191" s="62">
        <v>595.4938625</v>
      </c>
    </row>
    <row r="192" spans="1:14">
      <c r="A192" s="62">
        <v>2015</v>
      </c>
      <c r="B192" s="62">
        <v>11</v>
      </c>
      <c r="C192" s="62" t="s">
        <v>0</v>
      </c>
      <c r="D192" s="62" t="s">
        <v>2</v>
      </c>
      <c r="E192" s="62">
        <v>1340.1623</v>
      </c>
      <c r="F192" s="62">
        <v>384.0518975</v>
      </c>
      <c r="I192" s="62">
        <v>2015</v>
      </c>
      <c r="J192" s="62">
        <v>11</v>
      </c>
      <c r="K192" s="62" t="s">
        <v>15</v>
      </c>
      <c r="L192" s="62" t="s">
        <v>2</v>
      </c>
      <c r="M192" s="62">
        <v>1340.1623</v>
      </c>
      <c r="N192" s="62">
        <v>384.0518975</v>
      </c>
    </row>
    <row r="193" spans="1:14">
      <c r="A193" s="62">
        <v>2015</v>
      </c>
      <c r="B193" s="62">
        <v>12</v>
      </c>
      <c r="C193" s="62" t="s">
        <v>0</v>
      </c>
      <c r="D193" s="62" t="s">
        <v>2</v>
      </c>
      <c r="E193" s="62">
        <v>853.3044</v>
      </c>
      <c r="F193" s="62">
        <v>239.87288</v>
      </c>
      <c r="I193" s="62">
        <v>2015</v>
      </c>
      <c r="J193" s="62">
        <v>12</v>
      </c>
      <c r="K193" s="62" t="s">
        <v>15</v>
      </c>
      <c r="L193" s="62" t="s">
        <v>2</v>
      </c>
      <c r="M193" s="62">
        <v>853.3044</v>
      </c>
      <c r="N193" s="62">
        <v>239.87288</v>
      </c>
    </row>
    <row r="194" spans="1:14">
      <c r="A194" s="62">
        <v>2016</v>
      </c>
      <c r="B194" s="62">
        <v>1</v>
      </c>
      <c r="C194" s="62" t="s">
        <v>0</v>
      </c>
      <c r="D194" s="62" t="s">
        <v>2</v>
      </c>
      <c r="E194" s="62">
        <v>1355.891</v>
      </c>
      <c r="F194" s="62">
        <v>291.929275</v>
      </c>
      <c r="I194" s="62">
        <v>2016</v>
      </c>
      <c r="J194" s="62">
        <v>1</v>
      </c>
      <c r="K194" s="62" t="s">
        <v>15</v>
      </c>
      <c r="L194" s="62" t="s">
        <v>2</v>
      </c>
      <c r="M194" s="62">
        <v>1355.891</v>
      </c>
      <c r="N194" s="62">
        <v>291.929275</v>
      </c>
    </row>
    <row r="195" spans="1:14">
      <c r="A195" s="62">
        <v>2016</v>
      </c>
      <c r="B195" s="62">
        <v>2</v>
      </c>
      <c r="C195" s="62" t="s">
        <v>0</v>
      </c>
      <c r="D195" s="62" t="s">
        <v>2</v>
      </c>
      <c r="E195" s="62">
        <v>2356.0528</v>
      </c>
      <c r="F195" s="62">
        <v>559.7887899999999</v>
      </c>
      <c r="I195" s="62">
        <v>2016</v>
      </c>
      <c r="J195" s="62">
        <v>2</v>
      </c>
      <c r="K195" s="62" t="s">
        <v>15</v>
      </c>
      <c r="L195" s="62" t="s">
        <v>2</v>
      </c>
      <c r="M195" s="62">
        <v>2356.0528</v>
      </c>
      <c r="N195" s="62">
        <v>559.7887899999999</v>
      </c>
    </row>
    <row r="196" spans="1:14">
      <c r="A196" s="62">
        <v>2016</v>
      </c>
      <c r="B196" s="62">
        <v>3</v>
      </c>
      <c r="C196" s="62" t="s">
        <v>0</v>
      </c>
      <c r="D196" s="62" t="s">
        <v>2</v>
      </c>
      <c r="E196" s="62">
        <v>2262.4363</v>
      </c>
      <c r="F196" s="62">
        <v>507.8447875</v>
      </c>
      <c r="I196" s="62">
        <v>2016</v>
      </c>
      <c r="J196" s="62">
        <v>3</v>
      </c>
      <c r="K196" s="62" t="s">
        <v>15</v>
      </c>
      <c r="L196" s="62" t="s">
        <v>2</v>
      </c>
      <c r="M196" s="62">
        <v>2262.4363</v>
      </c>
      <c r="N196" s="62">
        <v>507.8447875</v>
      </c>
    </row>
    <row r="197" spans="1:14">
      <c r="A197" s="62">
        <v>2016</v>
      </c>
      <c r="B197" s="62">
        <v>4</v>
      </c>
      <c r="C197" s="62" t="s">
        <v>0</v>
      </c>
      <c r="D197" s="62" t="s">
        <v>2</v>
      </c>
      <c r="E197" s="62">
        <v>2214.6495</v>
      </c>
      <c r="F197" s="62">
        <v>498.8190875</v>
      </c>
      <c r="I197" s="62">
        <v>2016</v>
      </c>
      <c r="J197" s="62">
        <v>4</v>
      </c>
      <c r="K197" s="62" t="s">
        <v>15</v>
      </c>
      <c r="L197" s="62" t="s">
        <v>2</v>
      </c>
      <c r="M197" s="62">
        <v>2214.6495</v>
      </c>
      <c r="N197" s="62">
        <v>498.8190875</v>
      </c>
    </row>
    <row r="198" spans="1:14">
      <c r="A198" s="62">
        <v>2016</v>
      </c>
      <c r="B198" s="62">
        <v>5</v>
      </c>
      <c r="C198" s="62" t="s">
        <v>0</v>
      </c>
      <c r="D198" s="62" t="s">
        <v>2</v>
      </c>
      <c r="E198" s="62">
        <v>1929.2655</v>
      </c>
      <c r="F198" s="62">
        <v>435.016075</v>
      </c>
      <c r="I198" s="62">
        <v>2016</v>
      </c>
      <c r="J198" s="62">
        <v>5</v>
      </c>
      <c r="K198" s="62" t="s">
        <v>15</v>
      </c>
      <c r="L198" s="62" t="s">
        <v>2</v>
      </c>
      <c r="M198" s="62">
        <v>1929.2655</v>
      </c>
      <c r="N198" s="62">
        <v>435.016075</v>
      </c>
    </row>
    <row r="199" spans="1:14">
      <c r="A199" s="62">
        <v>2016</v>
      </c>
      <c r="B199" s="62">
        <v>6</v>
      </c>
      <c r="C199" s="62" t="s">
        <v>0</v>
      </c>
      <c r="D199" s="62" t="s">
        <v>2</v>
      </c>
      <c r="E199" s="62">
        <v>1012.4665</v>
      </c>
      <c r="F199" s="62">
        <v>252.62825</v>
      </c>
      <c r="I199" s="62">
        <v>2016</v>
      </c>
      <c r="J199" s="62">
        <v>6</v>
      </c>
      <c r="K199" s="62" t="s">
        <v>15</v>
      </c>
      <c r="L199" s="62" t="s">
        <v>2</v>
      </c>
      <c r="M199" s="62">
        <v>1012.4665</v>
      </c>
      <c r="N199" s="62">
        <v>252.62825</v>
      </c>
    </row>
    <row r="200" spans="1:14">
      <c r="A200" s="62">
        <v>2016</v>
      </c>
      <c r="B200" s="62">
        <v>7</v>
      </c>
      <c r="C200" s="62" t="s">
        <v>0</v>
      </c>
      <c r="D200" s="62" t="s">
        <v>2</v>
      </c>
      <c r="E200" s="62">
        <v>879.146</v>
      </c>
      <c r="F200" s="62">
        <v>196.6003</v>
      </c>
      <c r="I200" s="62">
        <v>2016</v>
      </c>
      <c r="J200" s="62">
        <v>7</v>
      </c>
      <c r="K200" s="62" t="s">
        <v>15</v>
      </c>
      <c r="L200" s="62" t="s">
        <v>2</v>
      </c>
      <c r="M200" s="62">
        <v>879.146</v>
      </c>
      <c r="N200" s="62">
        <v>196.6003</v>
      </c>
    </row>
    <row r="201" spans="1:14">
      <c r="A201" s="62">
        <v>2016</v>
      </c>
      <c r="B201" s="62">
        <v>8</v>
      </c>
      <c r="C201" s="62" t="s">
        <v>0</v>
      </c>
      <c r="D201" s="62" t="s">
        <v>2</v>
      </c>
      <c r="E201" s="62">
        <v>620.196</v>
      </c>
      <c r="F201" s="62">
        <v>106.20975</v>
      </c>
      <c r="I201" s="62">
        <v>2016</v>
      </c>
      <c r="J201" s="62">
        <v>8</v>
      </c>
      <c r="K201" s="62" t="s">
        <v>15</v>
      </c>
      <c r="L201" s="62" t="s">
        <v>2</v>
      </c>
      <c r="M201" s="62">
        <v>620.196</v>
      </c>
      <c r="N201" s="62">
        <v>106.20975</v>
      </c>
    </row>
    <row r="202" spans="1:14">
      <c r="A202" s="62">
        <v>2016</v>
      </c>
      <c r="B202" s="62">
        <v>9</v>
      </c>
      <c r="C202" s="62" t="s">
        <v>0</v>
      </c>
      <c r="D202" s="62" t="s">
        <v>2</v>
      </c>
      <c r="E202" s="62">
        <v>1425.7288</v>
      </c>
      <c r="F202" s="62">
        <v>306.72684</v>
      </c>
      <c r="I202" s="62">
        <v>2016</v>
      </c>
      <c r="J202" s="62">
        <v>9</v>
      </c>
      <c r="K202" s="62" t="s">
        <v>15</v>
      </c>
      <c r="L202" s="62" t="s">
        <v>2</v>
      </c>
      <c r="M202" s="62">
        <v>1425.7288</v>
      </c>
      <c r="N202" s="62">
        <v>306.72684</v>
      </c>
    </row>
    <row r="203" spans="1:14">
      <c r="A203" s="62">
        <v>2016</v>
      </c>
      <c r="B203" s="62">
        <v>10</v>
      </c>
      <c r="C203" s="62" t="s">
        <v>0</v>
      </c>
      <c r="D203" s="62" t="s">
        <v>2</v>
      </c>
      <c r="E203" s="62">
        <v>3211.355</v>
      </c>
      <c r="F203" s="62">
        <v>683.99145</v>
      </c>
      <c r="I203" s="62">
        <v>2016</v>
      </c>
      <c r="J203" s="62">
        <v>10</v>
      </c>
      <c r="K203" s="62" t="s">
        <v>15</v>
      </c>
      <c r="L203" s="62" t="s">
        <v>2</v>
      </c>
      <c r="M203" s="62">
        <v>3211.355</v>
      </c>
      <c r="N203" s="62">
        <v>683.99145</v>
      </c>
    </row>
    <row r="204" spans="1:14">
      <c r="A204" s="62">
        <v>2016</v>
      </c>
      <c r="B204" s="62">
        <v>11</v>
      </c>
      <c r="C204" s="62" t="s">
        <v>0</v>
      </c>
      <c r="D204" s="62" t="s">
        <v>2</v>
      </c>
      <c r="E204" s="62">
        <v>1231.044</v>
      </c>
      <c r="F204" s="62">
        <v>273.14695</v>
      </c>
      <c r="I204" s="62">
        <v>2016</v>
      </c>
      <c r="J204" s="62">
        <v>11</v>
      </c>
      <c r="K204" s="62" t="s">
        <v>15</v>
      </c>
      <c r="L204" s="62" t="s">
        <v>2</v>
      </c>
      <c r="M204" s="62">
        <v>1231.044</v>
      </c>
      <c r="N204" s="62">
        <v>273.14695</v>
      </c>
    </row>
    <row r="205" spans="1:14">
      <c r="A205" s="62">
        <v>2016</v>
      </c>
      <c r="B205" s="62">
        <v>12</v>
      </c>
      <c r="C205" s="62" t="s">
        <v>0</v>
      </c>
      <c r="D205" s="62" t="s">
        <v>2</v>
      </c>
      <c r="E205" s="62">
        <v>472.31</v>
      </c>
      <c r="F205" s="62">
        <v>126.17525</v>
      </c>
      <c r="I205" s="62">
        <v>2016</v>
      </c>
      <c r="J205" s="62">
        <v>12</v>
      </c>
      <c r="K205" s="62" t="s">
        <v>15</v>
      </c>
      <c r="L205" s="62" t="s">
        <v>2</v>
      </c>
      <c r="M205" s="62">
        <v>472.31</v>
      </c>
      <c r="N205" s="62">
        <v>126.17525</v>
      </c>
    </row>
    <row r="206" spans="1:14">
      <c r="A206" s="62">
        <v>2017</v>
      </c>
      <c r="B206" s="62">
        <v>1</v>
      </c>
      <c r="C206" s="62" t="s">
        <v>0</v>
      </c>
      <c r="D206" s="62" t="s">
        <v>2</v>
      </c>
      <c r="E206" s="62">
        <v>1478.053</v>
      </c>
      <c r="F206" s="62">
        <v>401.908125</v>
      </c>
      <c r="I206" s="62">
        <v>2017</v>
      </c>
      <c r="J206" s="62">
        <v>1</v>
      </c>
      <c r="K206" s="62" t="s">
        <v>15</v>
      </c>
      <c r="L206" s="62" t="s">
        <v>2</v>
      </c>
      <c r="M206" s="62">
        <v>1478.053</v>
      </c>
      <c r="N206" s="62">
        <v>401.908125</v>
      </c>
    </row>
    <row r="207" spans="1:14">
      <c r="A207" s="62">
        <v>2017</v>
      </c>
      <c r="B207" s="62">
        <v>2</v>
      </c>
      <c r="C207" s="62" t="s">
        <v>0</v>
      </c>
      <c r="D207" s="62" t="s">
        <v>2</v>
      </c>
      <c r="E207" s="62">
        <v>3349.4491</v>
      </c>
      <c r="F207" s="62">
        <v>834.267795</v>
      </c>
      <c r="I207" s="62">
        <v>2017</v>
      </c>
      <c r="J207" s="62">
        <v>2</v>
      </c>
      <c r="K207" s="62" t="s">
        <v>15</v>
      </c>
      <c r="L207" s="62" t="s">
        <v>2</v>
      </c>
      <c r="M207" s="62">
        <v>3349.4491</v>
      </c>
      <c r="N207" s="62">
        <v>834.267795</v>
      </c>
    </row>
    <row r="208" spans="1:14">
      <c r="A208" s="62">
        <v>2017</v>
      </c>
      <c r="B208" s="62">
        <v>3</v>
      </c>
      <c r="C208" s="62" t="s">
        <v>0</v>
      </c>
      <c r="D208" s="62" t="s">
        <v>2</v>
      </c>
      <c r="E208" s="62">
        <v>3292.1979</v>
      </c>
      <c r="F208" s="62">
        <v>773.169405</v>
      </c>
      <c r="I208" s="62">
        <v>2017</v>
      </c>
      <c r="J208" s="62">
        <v>3</v>
      </c>
      <c r="K208" s="62" t="s">
        <v>15</v>
      </c>
      <c r="L208" s="62" t="s">
        <v>2</v>
      </c>
      <c r="M208" s="62">
        <v>3292.1979</v>
      </c>
      <c r="N208" s="62">
        <v>773.169405</v>
      </c>
    </row>
    <row r="209" spans="1:14">
      <c r="A209" s="62">
        <v>2017</v>
      </c>
      <c r="B209" s="62">
        <v>4</v>
      </c>
      <c r="C209" s="62" t="s">
        <v>0</v>
      </c>
      <c r="D209" s="62" t="s">
        <v>2</v>
      </c>
      <c r="E209" s="62">
        <v>2000.6345</v>
      </c>
      <c r="F209" s="62">
        <v>459.785525</v>
      </c>
      <c r="I209" s="62">
        <v>2017</v>
      </c>
      <c r="J209" s="62">
        <v>4</v>
      </c>
      <c r="K209" s="62" t="s">
        <v>15</v>
      </c>
      <c r="L209" s="62" t="s">
        <v>2</v>
      </c>
      <c r="M209" s="62">
        <v>2000.6345</v>
      </c>
      <c r="N209" s="62">
        <v>459.785525</v>
      </c>
    </row>
    <row r="210" spans="1:14">
      <c r="A210" s="62">
        <v>2017</v>
      </c>
      <c r="B210" s="62">
        <v>5</v>
      </c>
      <c r="C210" s="62" t="s">
        <v>0</v>
      </c>
      <c r="D210" s="62" t="s">
        <v>2</v>
      </c>
      <c r="E210" s="62">
        <v>1280.778</v>
      </c>
      <c r="F210" s="62">
        <v>271.39715</v>
      </c>
      <c r="I210" s="62">
        <v>2017</v>
      </c>
      <c r="J210" s="62">
        <v>5</v>
      </c>
      <c r="K210" s="62" t="s">
        <v>15</v>
      </c>
      <c r="L210" s="62" t="s">
        <v>2</v>
      </c>
      <c r="M210" s="62">
        <v>1280.778</v>
      </c>
      <c r="N210" s="62">
        <v>271.39715</v>
      </c>
    </row>
    <row r="211" spans="1:14">
      <c r="A211" s="62">
        <v>2017</v>
      </c>
      <c r="B211" s="62">
        <v>6</v>
      </c>
      <c r="C211" s="62" t="s">
        <v>0</v>
      </c>
      <c r="D211" s="62" t="s">
        <v>2</v>
      </c>
      <c r="E211" s="62">
        <v>956.689</v>
      </c>
      <c r="F211" s="62">
        <v>189.57235</v>
      </c>
      <c r="I211" s="62">
        <v>2017</v>
      </c>
      <c r="J211" s="62">
        <v>6</v>
      </c>
      <c r="K211" s="62" t="s">
        <v>15</v>
      </c>
      <c r="L211" s="62" t="s">
        <v>2</v>
      </c>
      <c r="M211" s="62">
        <v>956.689</v>
      </c>
      <c r="N211" s="62">
        <v>189.57235</v>
      </c>
    </row>
    <row r="212" spans="1:14">
      <c r="A212" s="62">
        <v>2017</v>
      </c>
      <c r="B212" s="62">
        <v>7</v>
      </c>
      <c r="C212" s="62" t="s">
        <v>0</v>
      </c>
      <c r="D212" s="62" t="s">
        <v>2</v>
      </c>
      <c r="E212" s="62">
        <v>546.001</v>
      </c>
      <c r="F212" s="62">
        <v>163.63285</v>
      </c>
      <c r="I212" s="62">
        <v>2017</v>
      </c>
      <c r="J212" s="62">
        <v>7</v>
      </c>
      <c r="K212" s="62" t="s">
        <v>15</v>
      </c>
      <c r="L212" s="62" t="s">
        <v>2</v>
      </c>
      <c r="M212" s="62">
        <v>546.001</v>
      </c>
      <c r="N212" s="62">
        <v>163.63285</v>
      </c>
    </row>
    <row r="213" spans="1:14">
      <c r="A213" s="62">
        <v>2017</v>
      </c>
      <c r="B213" s="62">
        <v>8</v>
      </c>
      <c r="C213" s="62" t="s">
        <v>0</v>
      </c>
      <c r="D213" s="62" t="s">
        <v>2</v>
      </c>
      <c r="E213" s="62">
        <v>431.277</v>
      </c>
      <c r="F213" s="62">
        <v>139.199775</v>
      </c>
      <c r="I213" s="62">
        <v>2017</v>
      </c>
      <c r="J213" s="62">
        <v>8</v>
      </c>
      <c r="K213" s="62" t="s">
        <v>15</v>
      </c>
      <c r="L213" s="62" t="s">
        <v>2</v>
      </c>
      <c r="M213" s="62">
        <v>431.277</v>
      </c>
      <c r="N213" s="62">
        <v>139.199775</v>
      </c>
    </row>
    <row r="214" spans="1:14">
      <c r="A214" s="62">
        <v>2017</v>
      </c>
      <c r="B214" s="62">
        <v>9</v>
      </c>
      <c r="C214" s="62" t="s">
        <v>0</v>
      </c>
      <c r="D214" s="62" t="s">
        <v>2</v>
      </c>
      <c r="E214" s="62">
        <v>839.385</v>
      </c>
      <c r="F214" s="62">
        <v>123.44175</v>
      </c>
      <c r="I214" s="62">
        <v>2017</v>
      </c>
      <c r="J214" s="62">
        <v>9</v>
      </c>
      <c r="K214" s="62" t="s">
        <v>15</v>
      </c>
      <c r="L214" s="62" t="s">
        <v>2</v>
      </c>
      <c r="M214" s="62">
        <v>839.385</v>
      </c>
      <c r="N214" s="62">
        <v>123.44175</v>
      </c>
    </row>
    <row r="215" spans="1:14">
      <c r="A215" s="62">
        <v>2017</v>
      </c>
      <c r="B215" s="62">
        <v>10</v>
      </c>
      <c r="C215" s="62" t="s">
        <v>0</v>
      </c>
      <c r="D215" s="62" t="s">
        <v>2</v>
      </c>
      <c r="E215" s="62">
        <v>3165.263</v>
      </c>
      <c r="F215" s="62">
        <v>487.836475</v>
      </c>
      <c r="I215" s="62">
        <v>2017</v>
      </c>
      <c r="J215" s="62">
        <v>10</v>
      </c>
      <c r="K215" s="62" t="s">
        <v>15</v>
      </c>
      <c r="L215" s="62" t="s">
        <v>2</v>
      </c>
      <c r="M215" s="62">
        <v>3165.263</v>
      </c>
      <c r="N215" s="62">
        <v>487.836475</v>
      </c>
    </row>
    <row r="216" spans="1:14">
      <c r="A216" s="62">
        <v>2017</v>
      </c>
      <c r="B216" s="62">
        <v>11</v>
      </c>
      <c r="C216" s="62" t="s">
        <v>0</v>
      </c>
      <c r="D216" s="62" t="s">
        <v>2</v>
      </c>
      <c r="E216" s="62">
        <v>1753.448</v>
      </c>
      <c r="F216" s="62">
        <v>324.8505</v>
      </c>
      <c r="I216" s="62">
        <v>2017</v>
      </c>
      <c r="J216" s="62">
        <v>11</v>
      </c>
      <c r="K216" s="62" t="s">
        <v>15</v>
      </c>
      <c r="L216" s="62" t="s">
        <v>2</v>
      </c>
      <c r="M216" s="62">
        <v>1753.448</v>
      </c>
      <c r="N216" s="62">
        <v>324.8505</v>
      </c>
    </row>
    <row r="217" spans="1:14">
      <c r="A217" s="62">
        <v>2017</v>
      </c>
      <c r="B217" s="62">
        <v>12</v>
      </c>
      <c r="C217" s="62" t="s">
        <v>0</v>
      </c>
      <c r="D217" s="62" t="s">
        <v>2</v>
      </c>
      <c r="E217" s="62">
        <v>286.2625</v>
      </c>
      <c r="F217" s="62">
        <v>53.0304375</v>
      </c>
      <c r="I217" s="62">
        <v>2017</v>
      </c>
      <c r="J217" s="62">
        <v>12</v>
      </c>
      <c r="K217" s="62" t="s">
        <v>15</v>
      </c>
      <c r="L217" s="62" t="s">
        <v>2</v>
      </c>
      <c r="M217" s="62">
        <v>286.2625</v>
      </c>
      <c r="N217" s="62">
        <v>53.0304375</v>
      </c>
    </row>
    <row r="218" spans="1:14">
      <c r="A218" s="62">
        <v>2018</v>
      </c>
      <c r="B218" s="62">
        <v>1</v>
      </c>
      <c r="C218" s="62" t="s">
        <v>0</v>
      </c>
      <c r="D218" s="62" t="s">
        <v>2</v>
      </c>
      <c r="E218" s="62">
        <v>1009.223</v>
      </c>
      <c r="F218" s="62">
        <v>257.886025</v>
      </c>
      <c r="I218" s="62">
        <v>2018</v>
      </c>
      <c r="J218" s="62">
        <v>1</v>
      </c>
      <c r="K218" s="62" t="s">
        <v>15</v>
      </c>
      <c r="L218" s="62" t="s">
        <v>2</v>
      </c>
      <c r="M218" s="62">
        <v>1009.223</v>
      </c>
      <c r="N218" s="62">
        <v>257.886025</v>
      </c>
    </row>
    <row r="219" spans="1:14">
      <c r="A219" s="62">
        <v>2018</v>
      </c>
      <c r="B219" s="62">
        <v>2</v>
      </c>
      <c r="C219" s="62" t="s">
        <v>0</v>
      </c>
      <c r="D219" s="62" t="s">
        <v>2</v>
      </c>
      <c r="E219" s="62">
        <v>2931.315</v>
      </c>
      <c r="F219" s="62">
        <v>721.242225</v>
      </c>
      <c r="I219" s="62">
        <v>2018</v>
      </c>
      <c r="J219" s="62">
        <v>2</v>
      </c>
      <c r="K219" s="62" t="s">
        <v>15</v>
      </c>
      <c r="L219" s="62" t="s">
        <v>2</v>
      </c>
      <c r="M219" s="62">
        <v>2931.315</v>
      </c>
      <c r="N219" s="62">
        <v>721.242225</v>
      </c>
    </row>
    <row r="220" spans="1:14">
      <c r="A220" s="62">
        <v>2018</v>
      </c>
      <c r="B220" s="62">
        <v>3</v>
      </c>
      <c r="C220" s="62" t="s">
        <v>0</v>
      </c>
      <c r="D220" s="62" t="s">
        <v>2</v>
      </c>
      <c r="E220" s="62">
        <v>2998.0815</v>
      </c>
      <c r="F220" s="62">
        <v>703.2189625</v>
      </c>
      <c r="I220" s="62">
        <v>2018</v>
      </c>
      <c r="J220" s="62">
        <v>3</v>
      </c>
      <c r="K220" s="62" t="s">
        <v>15</v>
      </c>
      <c r="L220" s="62" t="s">
        <v>2</v>
      </c>
      <c r="M220" s="62">
        <v>2998.0815</v>
      </c>
      <c r="N220" s="62">
        <v>703.2189625</v>
      </c>
    </row>
    <row r="221" spans="1:14">
      <c r="A221" s="62">
        <v>2018</v>
      </c>
      <c r="B221" s="62">
        <v>4</v>
      </c>
      <c r="C221" s="62" t="s">
        <v>0</v>
      </c>
      <c r="D221" s="62" t="s">
        <v>2</v>
      </c>
      <c r="E221" s="62">
        <v>2219.0596</v>
      </c>
      <c r="F221" s="62">
        <v>455.730005</v>
      </c>
      <c r="I221" s="62">
        <v>2018</v>
      </c>
      <c r="J221" s="62">
        <v>4</v>
      </c>
      <c r="K221" s="62" t="s">
        <v>15</v>
      </c>
      <c r="L221" s="62" t="s">
        <v>2</v>
      </c>
      <c r="M221" s="62">
        <v>2219.0596</v>
      </c>
      <c r="N221" s="62">
        <v>455.730005</v>
      </c>
    </row>
    <row r="222" spans="1:14">
      <c r="A222" s="62">
        <v>2018</v>
      </c>
      <c r="B222" s="62">
        <v>5</v>
      </c>
      <c r="C222" s="62" t="s">
        <v>0</v>
      </c>
      <c r="D222" s="62" t="s">
        <v>2</v>
      </c>
      <c r="E222" s="62">
        <v>1972.1564</v>
      </c>
      <c r="F222" s="62">
        <v>454.81812</v>
      </c>
      <c r="I222" s="62">
        <v>2018</v>
      </c>
      <c r="J222" s="62">
        <v>5</v>
      </c>
      <c r="K222" s="62" t="s">
        <v>15</v>
      </c>
      <c r="L222" s="62" t="s">
        <v>2</v>
      </c>
      <c r="M222" s="62">
        <v>1972.1564</v>
      </c>
      <c r="N222" s="62">
        <v>454.81812</v>
      </c>
    </row>
    <row r="223" spans="1:14">
      <c r="A223" s="62">
        <v>2018</v>
      </c>
      <c r="B223" s="62">
        <v>6</v>
      </c>
      <c r="C223" s="62" t="s">
        <v>0</v>
      </c>
      <c r="D223" s="62" t="s">
        <v>2</v>
      </c>
      <c r="E223" s="62">
        <v>735.282</v>
      </c>
      <c r="F223" s="62">
        <v>190.73085</v>
      </c>
      <c r="I223" s="62">
        <v>2018</v>
      </c>
      <c r="J223" s="62">
        <v>6</v>
      </c>
      <c r="K223" s="62" t="s">
        <v>15</v>
      </c>
      <c r="L223" s="62" t="s">
        <v>2</v>
      </c>
      <c r="M223" s="62">
        <v>735.282</v>
      </c>
      <c r="N223" s="62">
        <v>190.73085</v>
      </c>
    </row>
    <row r="224" spans="1:14">
      <c r="A224" s="62">
        <v>2018</v>
      </c>
      <c r="B224" s="62">
        <v>7</v>
      </c>
      <c r="C224" s="62" t="s">
        <v>0</v>
      </c>
      <c r="D224" s="62" t="s">
        <v>2</v>
      </c>
      <c r="E224" s="62">
        <v>780.6709999999999</v>
      </c>
      <c r="F224" s="62">
        <v>166.400825</v>
      </c>
      <c r="I224" s="62">
        <v>2018</v>
      </c>
      <c r="J224" s="62">
        <v>7</v>
      </c>
      <c r="K224" s="62" t="s">
        <v>15</v>
      </c>
      <c r="L224" s="62" t="s">
        <v>2</v>
      </c>
      <c r="M224" s="62">
        <v>780.6709999999999</v>
      </c>
      <c r="N224" s="62">
        <v>166.400825</v>
      </c>
    </row>
    <row r="225" spans="1:14">
      <c r="A225" s="62">
        <v>2018</v>
      </c>
      <c r="B225" s="62">
        <v>8</v>
      </c>
      <c r="C225" s="62" t="s">
        <v>0</v>
      </c>
      <c r="D225" s="62" t="s">
        <v>2</v>
      </c>
      <c r="E225" s="62">
        <v>608.745</v>
      </c>
      <c r="F225" s="62">
        <v>134.24775</v>
      </c>
      <c r="I225" s="62">
        <v>2018</v>
      </c>
      <c r="J225" s="62">
        <v>8</v>
      </c>
      <c r="K225" s="62" t="s">
        <v>15</v>
      </c>
      <c r="L225" s="62" t="s">
        <v>2</v>
      </c>
      <c r="M225" s="62">
        <v>608.745</v>
      </c>
      <c r="N225" s="62">
        <v>134.24775</v>
      </c>
    </row>
    <row r="226" spans="1:14">
      <c r="A226" s="62">
        <v>2018</v>
      </c>
      <c r="B226" s="62">
        <v>9</v>
      </c>
      <c r="C226" s="62" t="s">
        <v>0</v>
      </c>
      <c r="D226" s="62" t="s">
        <v>2</v>
      </c>
      <c r="E226" s="62">
        <v>1625.1402</v>
      </c>
      <c r="F226" s="62">
        <v>373.7700725</v>
      </c>
      <c r="I226" s="62">
        <v>2018</v>
      </c>
      <c r="J226" s="62">
        <v>9</v>
      </c>
      <c r="K226" s="62" t="s">
        <v>15</v>
      </c>
      <c r="L226" s="62" t="s">
        <v>2</v>
      </c>
      <c r="M226" s="62">
        <v>1625.1402</v>
      </c>
      <c r="N226" s="62">
        <v>373.7700725</v>
      </c>
    </row>
    <row r="227" spans="1:14">
      <c r="A227" s="62">
        <v>2018</v>
      </c>
      <c r="B227" s="62">
        <v>10</v>
      </c>
      <c r="C227" s="62" t="s">
        <v>0</v>
      </c>
      <c r="D227" s="62" t="s">
        <v>2</v>
      </c>
      <c r="E227" s="62">
        <v>3857.713</v>
      </c>
      <c r="F227" s="62">
        <v>824.5887</v>
      </c>
      <c r="I227" s="62">
        <v>2018</v>
      </c>
      <c r="J227" s="62">
        <v>10</v>
      </c>
      <c r="K227" s="62" t="s">
        <v>15</v>
      </c>
      <c r="L227" s="62" t="s">
        <v>2</v>
      </c>
      <c r="M227" s="62">
        <v>3857.713</v>
      </c>
      <c r="N227" s="62">
        <v>824.5887</v>
      </c>
    </row>
    <row r="228" spans="1:14">
      <c r="A228" s="62">
        <v>2018</v>
      </c>
      <c r="B228" s="62">
        <v>11</v>
      </c>
      <c r="C228" s="62" t="s">
        <v>0</v>
      </c>
      <c r="D228" s="62" t="s">
        <v>2</v>
      </c>
      <c r="E228" s="62">
        <v>1616.16</v>
      </c>
      <c r="F228" s="62">
        <v>379.602475</v>
      </c>
      <c r="I228" s="62">
        <v>2018</v>
      </c>
      <c r="J228" s="62">
        <v>11</v>
      </c>
      <c r="K228" s="62" t="s">
        <v>15</v>
      </c>
      <c r="L228" s="62" t="s">
        <v>2</v>
      </c>
      <c r="M228" s="62">
        <v>1616.16</v>
      </c>
      <c r="N228" s="62">
        <v>379.602475</v>
      </c>
    </row>
    <row r="229" spans="1:14">
      <c r="A229" s="62">
        <v>2018</v>
      </c>
      <c r="B229" s="62">
        <v>12</v>
      </c>
      <c r="C229" s="62" t="s">
        <v>0</v>
      </c>
      <c r="D229" s="62" t="s">
        <v>2</v>
      </c>
      <c r="E229" s="62">
        <v>313.347</v>
      </c>
      <c r="F229" s="62">
        <v>71.686425</v>
      </c>
      <c r="I229" s="62">
        <v>2018</v>
      </c>
      <c r="J229" s="62">
        <v>12</v>
      </c>
      <c r="K229" s="62" t="s">
        <v>15</v>
      </c>
      <c r="L229" s="62" t="s">
        <v>2</v>
      </c>
      <c r="M229" s="62">
        <v>313.347</v>
      </c>
      <c r="N229" s="62">
        <v>71.686425</v>
      </c>
    </row>
    <row r="230" spans="1:14">
      <c r="A230" s="62">
        <v>2019</v>
      </c>
      <c r="B230" s="62">
        <v>1</v>
      </c>
      <c r="C230" s="62" t="s">
        <v>0</v>
      </c>
      <c r="D230" s="62" t="s">
        <v>2</v>
      </c>
      <c r="E230" s="62">
        <v>1032.795</v>
      </c>
      <c r="F230" s="62">
        <v>181.57835</v>
      </c>
      <c r="I230" s="62">
        <v>2019</v>
      </c>
      <c r="J230" s="62">
        <v>1</v>
      </c>
      <c r="K230" s="62" t="s">
        <v>15</v>
      </c>
      <c r="L230" s="62" t="s">
        <v>2</v>
      </c>
      <c r="M230" s="62">
        <v>1032.795</v>
      </c>
      <c r="N230" s="62">
        <v>181.57835</v>
      </c>
    </row>
    <row r="231" spans="1:14">
      <c r="A231" s="62">
        <v>2019</v>
      </c>
      <c r="B231" s="62">
        <v>2</v>
      </c>
      <c r="C231" s="62" t="s">
        <v>0</v>
      </c>
      <c r="D231" s="62" t="s">
        <v>2</v>
      </c>
      <c r="E231" s="62">
        <v>1639.525</v>
      </c>
      <c r="F231" s="62">
        <v>288.287625</v>
      </c>
      <c r="I231" s="62">
        <v>2019</v>
      </c>
      <c r="J231" s="62">
        <v>2</v>
      </c>
      <c r="K231" s="62" t="s">
        <v>15</v>
      </c>
      <c r="L231" s="62" t="s">
        <v>2</v>
      </c>
      <c r="M231" s="62">
        <v>1639.525</v>
      </c>
      <c r="N231" s="62">
        <v>288.287625</v>
      </c>
    </row>
    <row r="232" spans="1:14">
      <c r="A232" s="62">
        <v>2019</v>
      </c>
      <c r="B232" s="62">
        <v>3</v>
      </c>
      <c r="C232" s="62" t="s">
        <v>0</v>
      </c>
      <c r="D232" s="62" t="s">
        <v>2</v>
      </c>
      <c r="E232" s="62">
        <v>2278.0599</v>
      </c>
      <c r="F232" s="62">
        <v>466.7199825</v>
      </c>
      <c r="I232" s="62">
        <v>2019</v>
      </c>
      <c r="J232" s="62">
        <v>3</v>
      </c>
      <c r="K232" s="62" t="s">
        <v>15</v>
      </c>
      <c r="L232" s="62" t="s">
        <v>2</v>
      </c>
      <c r="M232" s="62">
        <v>2278.0599</v>
      </c>
      <c r="N232" s="62">
        <v>466.7199825</v>
      </c>
    </row>
    <row r="233" spans="1:14">
      <c r="A233" s="62">
        <v>2019</v>
      </c>
      <c r="B233" s="62">
        <v>4</v>
      </c>
      <c r="C233" s="62" t="s">
        <v>0</v>
      </c>
      <c r="D233" s="62" t="s">
        <v>2</v>
      </c>
      <c r="E233" s="62">
        <v>2767.0536</v>
      </c>
      <c r="F233" s="62">
        <v>576.8715175</v>
      </c>
      <c r="I233" s="62">
        <v>2019</v>
      </c>
      <c r="J233" s="62">
        <v>4</v>
      </c>
      <c r="K233" s="62" t="s">
        <v>15</v>
      </c>
      <c r="L233" s="62" t="s">
        <v>2</v>
      </c>
      <c r="M233" s="62">
        <v>2767.0536</v>
      </c>
      <c r="N233" s="62">
        <v>576.8715175</v>
      </c>
    </row>
    <row r="234" spans="1:14">
      <c r="A234" s="62">
        <v>2019</v>
      </c>
      <c r="B234" s="62">
        <v>5</v>
      </c>
      <c r="C234" s="62" t="s">
        <v>0</v>
      </c>
      <c r="D234" s="62" t="s">
        <v>2</v>
      </c>
      <c r="E234" s="62">
        <v>2038.469</v>
      </c>
      <c r="F234" s="62">
        <v>436.666175</v>
      </c>
      <c r="I234" s="62">
        <v>2019</v>
      </c>
      <c r="J234" s="62">
        <v>5</v>
      </c>
      <c r="K234" s="62" t="s">
        <v>15</v>
      </c>
      <c r="L234" s="62" t="s">
        <v>2</v>
      </c>
      <c r="M234" s="62">
        <v>2038.469</v>
      </c>
      <c r="N234" s="62">
        <v>436.666175</v>
      </c>
    </row>
    <row r="235" spans="1:14">
      <c r="A235" s="62">
        <v>2019</v>
      </c>
      <c r="B235" s="62">
        <v>6</v>
      </c>
      <c r="C235" s="62" t="s">
        <v>0</v>
      </c>
      <c r="D235" s="62" t="s">
        <v>2</v>
      </c>
      <c r="E235" s="62">
        <v>1165.339</v>
      </c>
      <c r="F235" s="62">
        <v>261.55875</v>
      </c>
      <c r="I235" s="62">
        <v>2019</v>
      </c>
      <c r="J235" s="62">
        <v>6</v>
      </c>
      <c r="K235" s="62" t="s">
        <v>15</v>
      </c>
      <c r="L235" s="62" t="s">
        <v>2</v>
      </c>
      <c r="M235" s="62">
        <v>1165.339</v>
      </c>
      <c r="N235" s="62">
        <v>261.55875</v>
      </c>
    </row>
    <row r="236" spans="1:14">
      <c r="A236" s="62">
        <v>2019</v>
      </c>
      <c r="B236" s="62">
        <v>7</v>
      </c>
      <c r="C236" s="62" t="s">
        <v>0</v>
      </c>
      <c r="D236" s="62" t="s">
        <v>2</v>
      </c>
      <c r="E236" s="62">
        <v>867.252</v>
      </c>
      <c r="F236" s="62">
        <v>185.74105</v>
      </c>
      <c r="I236" s="62">
        <v>2019</v>
      </c>
      <c r="J236" s="62">
        <v>7</v>
      </c>
      <c r="K236" s="62" t="s">
        <v>15</v>
      </c>
      <c r="L236" s="62" t="s">
        <v>2</v>
      </c>
      <c r="M236" s="62">
        <v>867.252</v>
      </c>
      <c r="N236" s="62">
        <v>185.74105</v>
      </c>
    </row>
    <row r="237" spans="1:14">
      <c r="A237" s="62">
        <v>2019</v>
      </c>
      <c r="B237" s="62">
        <v>8</v>
      </c>
      <c r="C237" s="62" t="s">
        <v>0</v>
      </c>
      <c r="D237" s="62" t="s">
        <v>2</v>
      </c>
      <c r="E237" s="62">
        <v>1015.743</v>
      </c>
      <c r="F237" s="62">
        <v>238.20175</v>
      </c>
      <c r="I237" s="62">
        <v>2019</v>
      </c>
      <c r="J237" s="62">
        <v>8</v>
      </c>
      <c r="K237" s="62" t="s">
        <v>15</v>
      </c>
      <c r="L237" s="62" t="s">
        <v>2</v>
      </c>
      <c r="M237" s="62">
        <v>1015.743</v>
      </c>
      <c r="N237" s="62">
        <v>238.20175</v>
      </c>
    </row>
    <row r="238" spans="1:14">
      <c r="A238" s="62">
        <v>2019</v>
      </c>
      <c r="B238" s="62">
        <v>9</v>
      </c>
      <c r="C238" s="62" t="s">
        <v>0</v>
      </c>
      <c r="D238" s="62" t="s">
        <v>2</v>
      </c>
      <c r="E238" s="62">
        <v>3000.6745</v>
      </c>
      <c r="F238" s="62">
        <v>670.1525625</v>
      </c>
      <c r="I238" s="62">
        <v>2019</v>
      </c>
      <c r="J238" s="62">
        <v>9</v>
      </c>
      <c r="K238" s="62" t="s">
        <v>15</v>
      </c>
      <c r="L238" s="62" t="s">
        <v>2</v>
      </c>
      <c r="M238" s="62">
        <v>3000.6745</v>
      </c>
      <c r="N238" s="62">
        <v>670.1525625</v>
      </c>
    </row>
    <row r="239" spans="1:14">
      <c r="A239" s="62">
        <v>2019</v>
      </c>
      <c r="B239" s="62">
        <v>10</v>
      </c>
      <c r="C239" s="62" t="s">
        <v>0</v>
      </c>
      <c r="D239" s="62" t="s">
        <v>2</v>
      </c>
      <c r="E239" s="62">
        <v>4596.3532</v>
      </c>
      <c r="F239" s="62">
        <v>1098.5244</v>
      </c>
      <c r="I239" s="62">
        <v>2019</v>
      </c>
      <c r="J239" s="62">
        <v>10</v>
      </c>
      <c r="K239" s="62" t="s">
        <v>15</v>
      </c>
      <c r="L239" s="62" t="s">
        <v>2</v>
      </c>
      <c r="M239" s="62">
        <v>4596.3532</v>
      </c>
      <c r="N239" s="62">
        <v>1098.5244</v>
      </c>
    </row>
    <row r="240" spans="1:14">
      <c r="A240" s="62">
        <v>2019</v>
      </c>
      <c r="B240" s="62">
        <v>11</v>
      </c>
      <c r="C240" s="62" t="s">
        <v>0</v>
      </c>
      <c r="D240" s="62" t="s">
        <v>2</v>
      </c>
      <c r="E240" s="62">
        <v>2940.571</v>
      </c>
      <c r="F240" s="62">
        <v>688.344775</v>
      </c>
      <c r="I240" s="62">
        <v>2019</v>
      </c>
      <c r="J240" s="62">
        <v>11</v>
      </c>
      <c r="K240" s="62" t="s">
        <v>15</v>
      </c>
      <c r="L240" s="62" t="s">
        <v>2</v>
      </c>
      <c r="M240" s="62">
        <v>2940.571</v>
      </c>
      <c r="N240" s="62">
        <v>688.344775</v>
      </c>
    </row>
    <row r="241" spans="1:14">
      <c r="A241" s="62">
        <v>2019</v>
      </c>
      <c r="B241" s="62">
        <v>12</v>
      </c>
      <c r="C241" s="62" t="s">
        <v>0</v>
      </c>
      <c r="D241" s="62" t="s">
        <v>2</v>
      </c>
      <c r="E241" s="62">
        <v>980.3593999999999</v>
      </c>
      <c r="F241" s="62">
        <v>262.28515</v>
      </c>
      <c r="I241" s="62">
        <v>2019</v>
      </c>
      <c r="J241" s="62">
        <v>12</v>
      </c>
      <c r="K241" s="62" t="s">
        <v>15</v>
      </c>
      <c r="L241" s="62" t="s">
        <v>2</v>
      </c>
      <c r="M241" s="62">
        <v>980.3593999999999</v>
      </c>
      <c r="N241" s="62">
        <v>262.28515</v>
      </c>
    </row>
    <row r="242" spans="1:14">
      <c r="A242" s="62">
        <v>2020</v>
      </c>
      <c r="B242" s="62">
        <v>1</v>
      </c>
      <c r="C242" s="62" t="s">
        <v>0</v>
      </c>
      <c r="D242" s="62" t="s">
        <v>2</v>
      </c>
      <c r="E242" s="62">
        <v>1606.7775</v>
      </c>
      <c r="F242" s="62">
        <v>479.5329375</v>
      </c>
      <c r="I242" s="62">
        <v>2020</v>
      </c>
      <c r="J242" s="62">
        <v>1</v>
      </c>
      <c r="K242" s="62" t="s">
        <v>15</v>
      </c>
      <c r="L242" s="62" t="s">
        <v>2</v>
      </c>
      <c r="M242" s="62">
        <v>1606.7775</v>
      </c>
      <c r="N242" s="62">
        <v>479.5329375</v>
      </c>
    </row>
    <row r="243" spans="1:14">
      <c r="A243" s="62">
        <v>2020</v>
      </c>
      <c r="B243" s="62">
        <v>2</v>
      </c>
      <c r="C243" s="62" t="s">
        <v>0</v>
      </c>
      <c r="D243" s="62" t="s">
        <v>2</v>
      </c>
      <c r="E243" s="62">
        <v>2668.176</v>
      </c>
      <c r="F243" s="62">
        <v>796.264175</v>
      </c>
      <c r="I243" s="62">
        <v>2020</v>
      </c>
      <c r="J243" s="62">
        <v>2</v>
      </c>
      <c r="K243" s="62" t="s">
        <v>15</v>
      </c>
      <c r="L243" s="62" t="s">
        <v>2</v>
      </c>
      <c r="M243" s="62">
        <v>2668.176</v>
      </c>
      <c r="N243" s="62">
        <v>796.264175</v>
      </c>
    </row>
    <row r="244" spans="1:14">
      <c r="A244" s="62">
        <v>2020</v>
      </c>
      <c r="B244" s="62">
        <v>3</v>
      </c>
      <c r="C244" s="62" t="s">
        <v>0</v>
      </c>
      <c r="D244" s="62" t="s">
        <v>2</v>
      </c>
      <c r="E244" s="62">
        <v>2867.6665</v>
      </c>
      <c r="F244" s="62">
        <v>760.3555125</v>
      </c>
      <c r="I244" s="62">
        <v>2020</v>
      </c>
      <c r="J244" s="62">
        <v>3</v>
      </c>
      <c r="K244" s="62" t="s">
        <v>15</v>
      </c>
      <c r="L244" s="62" t="s">
        <v>2</v>
      </c>
      <c r="M244" s="62">
        <v>2867.6665</v>
      </c>
      <c r="N244" s="62">
        <v>760.3555125</v>
      </c>
    </row>
    <row r="245" spans="1:14">
      <c r="A245" s="62">
        <v>2020</v>
      </c>
      <c r="B245" s="62">
        <v>4</v>
      </c>
      <c r="C245" s="62" t="s">
        <v>0</v>
      </c>
      <c r="D245" s="62" t="s">
        <v>2</v>
      </c>
      <c r="E245" s="62">
        <v>2237.0325</v>
      </c>
      <c r="F245" s="62">
        <v>547.984825</v>
      </c>
      <c r="I245" s="62">
        <v>2020</v>
      </c>
      <c r="J245" s="62">
        <v>4</v>
      </c>
      <c r="K245" s="62" t="s">
        <v>15</v>
      </c>
      <c r="L245" s="62" t="s">
        <v>2</v>
      </c>
      <c r="M245" s="62">
        <v>2237.0325</v>
      </c>
      <c r="N245" s="62">
        <v>547.984825</v>
      </c>
    </row>
    <row r="246" spans="1:14">
      <c r="A246" s="62">
        <v>2020</v>
      </c>
      <c r="B246" s="62">
        <v>5</v>
      </c>
      <c r="C246" s="62" t="s">
        <v>0</v>
      </c>
      <c r="D246" s="62" t="s">
        <v>2</v>
      </c>
      <c r="E246" s="62">
        <v>2650.3255</v>
      </c>
      <c r="F246" s="62">
        <v>684.7914499999999</v>
      </c>
      <c r="I246" s="62">
        <v>2020</v>
      </c>
      <c r="J246" s="62">
        <v>5</v>
      </c>
      <c r="K246" s="62" t="s">
        <v>15</v>
      </c>
      <c r="L246" s="62" t="s">
        <v>2</v>
      </c>
      <c r="M246" s="62">
        <v>2650.3255</v>
      </c>
      <c r="N246" s="62">
        <v>684.7914499999999</v>
      </c>
    </row>
    <row r="247" spans="1:14">
      <c r="A247" s="62">
        <v>2020</v>
      </c>
      <c r="B247" s="62">
        <v>6</v>
      </c>
      <c r="C247" s="62" t="s">
        <v>0</v>
      </c>
      <c r="D247" s="62" t="s">
        <v>2</v>
      </c>
      <c r="E247" s="62">
        <v>2469.553</v>
      </c>
      <c r="F247" s="62">
        <v>609.1295</v>
      </c>
      <c r="I247" s="62">
        <v>2020</v>
      </c>
      <c r="J247" s="62">
        <v>6</v>
      </c>
      <c r="K247" s="62" t="s">
        <v>15</v>
      </c>
      <c r="L247" s="62" t="s">
        <v>2</v>
      </c>
      <c r="M247" s="62">
        <v>2469.553</v>
      </c>
      <c r="N247" s="62">
        <v>609.1295</v>
      </c>
    </row>
    <row r="248" spans="1:14">
      <c r="A248" s="62">
        <v>2020</v>
      </c>
      <c r="B248" s="62">
        <v>7</v>
      </c>
      <c r="C248" s="62" t="s">
        <v>0</v>
      </c>
      <c r="D248" s="62" t="s">
        <v>2</v>
      </c>
      <c r="E248" s="62">
        <v>2067.135</v>
      </c>
      <c r="F248" s="62">
        <v>477.8165</v>
      </c>
      <c r="I248" s="62">
        <v>2020</v>
      </c>
      <c r="J248" s="62">
        <v>7</v>
      </c>
      <c r="K248" s="62" t="s">
        <v>15</v>
      </c>
      <c r="L248" s="62" t="s">
        <v>2</v>
      </c>
      <c r="M248" s="62">
        <v>2067.135</v>
      </c>
      <c r="N248" s="62">
        <v>477.8165</v>
      </c>
    </row>
    <row r="249" spans="1:14">
      <c r="A249" s="62">
        <v>2020</v>
      </c>
      <c r="B249" s="62">
        <v>8</v>
      </c>
      <c r="C249" s="62" t="s">
        <v>0</v>
      </c>
      <c r="D249" s="62" t="s">
        <v>2</v>
      </c>
      <c r="E249" s="62">
        <v>988.502</v>
      </c>
      <c r="F249" s="62">
        <v>218.15715</v>
      </c>
      <c r="I249" s="62">
        <v>2020</v>
      </c>
      <c r="J249" s="62">
        <v>8</v>
      </c>
      <c r="K249" s="62" t="s">
        <v>15</v>
      </c>
      <c r="L249" s="62" t="s">
        <v>2</v>
      </c>
      <c r="M249" s="62">
        <v>988.502</v>
      </c>
      <c r="N249" s="62">
        <v>218.15715</v>
      </c>
    </row>
    <row r="250" spans="1:14">
      <c r="A250" s="62">
        <v>2020</v>
      </c>
      <c r="B250" s="62">
        <v>9</v>
      </c>
      <c r="C250" s="62" t="s">
        <v>0</v>
      </c>
      <c r="D250" s="62" t="s">
        <v>2</v>
      </c>
      <c r="E250" s="62">
        <v>1794.3145</v>
      </c>
      <c r="F250" s="62">
        <v>388.7056375</v>
      </c>
      <c r="I250" s="62">
        <v>2020</v>
      </c>
      <c r="J250" s="62">
        <v>9</v>
      </c>
      <c r="K250" s="62" t="s">
        <v>15</v>
      </c>
      <c r="L250" s="62" t="s">
        <v>2</v>
      </c>
      <c r="M250" s="62">
        <v>1794.3145</v>
      </c>
      <c r="N250" s="62">
        <v>388.7056375</v>
      </c>
    </row>
    <row r="251" spans="1:14">
      <c r="A251" s="62">
        <v>2020</v>
      </c>
      <c r="B251" s="62">
        <v>10</v>
      </c>
      <c r="C251" s="62" t="s">
        <v>0</v>
      </c>
      <c r="D251" s="62" t="s">
        <v>2</v>
      </c>
      <c r="E251" s="62">
        <v>2196.246</v>
      </c>
      <c r="F251" s="62">
        <v>474.89045</v>
      </c>
      <c r="I251" s="62">
        <v>2020</v>
      </c>
      <c r="J251" s="62">
        <v>10</v>
      </c>
      <c r="K251" s="62" t="s">
        <v>15</v>
      </c>
      <c r="L251" s="62" t="s">
        <v>2</v>
      </c>
      <c r="M251" s="62">
        <v>2196.246</v>
      </c>
      <c r="N251" s="62">
        <v>474.89045</v>
      </c>
    </row>
    <row r="252" spans="1:14">
      <c r="A252" s="62">
        <v>2020</v>
      </c>
      <c r="B252" s="62">
        <v>11</v>
      </c>
      <c r="C252" s="62" t="s">
        <v>0</v>
      </c>
      <c r="D252" s="62" t="s">
        <v>2</v>
      </c>
      <c r="E252" s="62">
        <v>1840.298</v>
      </c>
      <c r="F252" s="62">
        <v>448.98245</v>
      </c>
      <c r="I252" s="62">
        <v>2020</v>
      </c>
      <c r="J252" s="62">
        <v>11</v>
      </c>
      <c r="K252" s="62" t="s">
        <v>15</v>
      </c>
      <c r="L252" s="62" t="s">
        <v>2</v>
      </c>
      <c r="M252" s="62">
        <v>1840.298</v>
      </c>
      <c r="N252" s="62">
        <v>448.98245</v>
      </c>
    </row>
    <row r="253" spans="1:14">
      <c r="A253" s="62">
        <v>2020</v>
      </c>
      <c r="B253" s="62">
        <v>12</v>
      </c>
      <c r="C253" s="62" t="s">
        <v>0</v>
      </c>
      <c r="D253" s="62" t="s">
        <v>2</v>
      </c>
      <c r="E253" s="62">
        <v>2085.71</v>
      </c>
      <c r="F253" s="62">
        <v>517.4958750000001</v>
      </c>
      <c r="I253" s="62">
        <v>2020</v>
      </c>
      <c r="J253" s="62">
        <v>12</v>
      </c>
      <c r="K253" s="62" t="s">
        <v>15</v>
      </c>
      <c r="L253" s="62" t="s">
        <v>2</v>
      </c>
      <c r="M253" s="62">
        <v>2085.71</v>
      </c>
      <c r="N253" s="62">
        <v>517.4958750000001</v>
      </c>
    </row>
    <row r="254" spans="1:14">
      <c r="A254" s="62">
        <v>2021</v>
      </c>
      <c r="B254" s="62">
        <v>1</v>
      </c>
      <c r="C254" s="62" t="s">
        <v>0</v>
      </c>
      <c r="D254" s="62" t="s">
        <v>2</v>
      </c>
      <c r="E254" s="62">
        <v>2121.436</v>
      </c>
      <c r="F254" s="62">
        <v>513.0657</v>
      </c>
      <c r="I254" s="62">
        <v>2021</v>
      </c>
      <c r="J254" s="62">
        <v>1</v>
      </c>
      <c r="K254" s="62" t="s">
        <v>15</v>
      </c>
      <c r="L254" s="62" t="s">
        <v>2</v>
      </c>
      <c r="M254" s="62">
        <v>2121.436</v>
      </c>
      <c r="N254" s="62">
        <v>513.0657</v>
      </c>
    </row>
    <row r="255" spans="1:14">
      <c r="A255" s="62">
        <v>2021</v>
      </c>
      <c r="B255" s="62">
        <v>2</v>
      </c>
      <c r="C255" s="62" t="s">
        <v>0</v>
      </c>
      <c r="D255" s="62" t="s">
        <v>2</v>
      </c>
      <c r="E255" s="62">
        <v>2520.3674</v>
      </c>
      <c r="F255" s="62">
        <v>606.23711</v>
      </c>
      <c r="I255" s="62">
        <v>2021</v>
      </c>
      <c r="J255" s="62">
        <v>2</v>
      </c>
      <c r="K255" s="62" t="s">
        <v>15</v>
      </c>
      <c r="L255" s="62" t="s">
        <v>2</v>
      </c>
      <c r="M255" s="62">
        <v>2520.3674</v>
      </c>
      <c r="N255" s="62">
        <v>606.23711</v>
      </c>
    </row>
    <row r="256" spans="1:14">
      <c r="A256" s="62">
        <v>2021</v>
      </c>
      <c r="B256" s="62">
        <v>3</v>
      </c>
      <c r="C256" s="62" t="s">
        <v>0</v>
      </c>
      <c r="D256" s="62" t="s">
        <v>2</v>
      </c>
      <c r="E256" s="62">
        <v>2787.1875</v>
      </c>
      <c r="F256" s="62">
        <v>679.1376875</v>
      </c>
      <c r="I256" s="62">
        <v>2021</v>
      </c>
      <c r="J256" s="62">
        <v>3</v>
      </c>
      <c r="K256" s="62" t="s">
        <v>15</v>
      </c>
      <c r="L256" s="62" t="s">
        <v>2</v>
      </c>
      <c r="M256" s="62">
        <v>2787.1875</v>
      </c>
      <c r="N256" s="62">
        <v>679.1376875</v>
      </c>
    </row>
    <row r="257" spans="1:14">
      <c r="A257" s="62">
        <v>2021</v>
      </c>
      <c r="B257" s="62">
        <v>4</v>
      </c>
      <c r="C257" s="62" t="s">
        <v>0</v>
      </c>
      <c r="D257" s="62" t="s">
        <v>2</v>
      </c>
      <c r="E257" s="62">
        <v>2794.8713</v>
      </c>
      <c r="F257" s="62">
        <v>685.7170150000001</v>
      </c>
      <c r="I257" s="62">
        <v>2021</v>
      </c>
      <c r="J257" s="62">
        <v>4</v>
      </c>
      <c r="K257" s="62" t="s">
        <v>15</v>
      </c>
      <c r="L257" s="62" t="s">
        <v>2</v>
      </c>
      <c r="M257" s="62">
        <v>2794.8713</v>
      </c>
      <c r="N257" s="62">
        <v>685.7170150000001</v>
      </c>
    </row>
    <row r="258" spans="1:14">
      <c r="A258" s="62">
        <v>2021</v>
      </c>
      <c r="B258" s="62">
        <v>5</v>
      </c>
      <c r="C258" s="62" t="s">
        <v>0</v>
      </c>
      <c r="D258" s="62" t="s">
        <v>2</v>
      </c>
      <c r="E258" s="62">
        <v>2380.9854</v>
      </c>
      <c r="F258" s="62">
        <v>591.31777</v>
      </c>
      <c r="I258" s="62">
        <v>2021</v>
      </c>
      <c r="J258" s="62">
        <v>5</v>
      </c>
      <c r="K258" s="62" t="s">
        <v>15</v>
      </c>
      <c r="L258" s="62" t="s">
        <v>2</v>
      </c>
      <c r="M258" s="62">
        <v>2380.9854</v>
      </c>
      <c r="N258" s="62">
        <v>591.31777</v>
      </c>
    </row>
    <row r="259" spans="1:14">
      <c r="A259" s="62">
        <v>2021</v>
      </c>
      <c r="B259" s="62">
        <v>6</v>
      </c>
      <c r="C259" s="62" t="s">
        <v>0</v>
      </c>
      <c r="D259" s="62" t="s">
        <v>2</v>
      </c>
      <c r="E259" s="62">
        <v>1469.715</v>
      </c>
      <c r="F259" s="62">
        <v>365.8155</v>
      </c>
      <c r="I259" s="62">
        <v>2021</v>
      </c>
      <c r="J259" s="62">
        <v>6</v>
      </c>
      <c r="K259" s="62" t="s">
        <v>15</v>
      </c>
      <c r="L259" s="62" t="s">
        <v>2</v>
      </c>
      <c r="M259" s="62">
        <v>1469.715</v>
      </c>
      <c r="N259" s="62">
        <v>365.8155</v>
      </c>
    </row>
    <row r="260" spans="1:14">
      <c r="A260" s="62">
        <v>2021</v>
      </c>
      <c r="B260" s="62">
        <v>7</v>
      </c>
      <c r="C260" s="62" t="s">
        <v>0</v>
      </c>
      <c r="D260" s="62" t="s">
        <v>2</v>
      </c>
      <c r="E260" s="62">
        <v>1742.8955</v>
      </c>
      <c r="F260" s="62">
        <v>405.0600125</v>
      </c>
      <c r="I260" s="62">
        <v>2021</v>
      </c>
      <c r="J260" s="62">
        <v>7</v>
      </c>
      <c r="K260" s="62" t="s">
        <v>15</v>
      </c>
      <c r="L260" s="62" t="s">
        <v>2</v>
      </c>
      <c r="M260" s="62">
        <v>1742.8955</v>
      </c>
      <c r="N260" s="62">
        <v>405.0600125</v>
      </c>
    </row>
    <row r="261" spans="1:14">
      <c r="A261" s="62">
        <v>2021</v>
      </c>
      <c r="B261" s="62">
        <v>8</v>
      </c>
      <c r="C261" s="62" t="s">
        <v>0</v>
      </c>
      <c r="D261" s="62" t="s">
        <v>2</v>
      </c>
      <c r="E261" s="62">
        <v>1674.8782</v>
      </c>
      <c r="F261" s="62">
        <v>432.33551</v>
      </c>
      <c r="I261" s="62">
        <v>2021</v>
      </c>
      <c r="J261" s="62">
        <v>8</v>
      </c>
      <c r="K261" s="62" t="s">
        <v>15</v>
      </c>
      <c r="L261" s="62" t="s">
        <v>2</v>
      </c>
      <c r="M261" s="62">
        <v>1674.8782</v>
      </c>
      <c r="N261" s="62">
        <v>432.33551</v>
      </c>
    </row>
    <row r="262" spans="1:14">
      <c r="A262" s="62">
        <v>2021</v>
      </c>
      <c r="B262" s="62">
        <v>9</v>
      </c>
      <c r="C262" s="62" t="s">
        <v>0</v>
      </c>
      <c r="D262" s="62" t="s">
        <v>2</v>
      </c>
      <c r="E262" s="62">
        <v>2474.59</v>
      </c>
      <c r="F262" s="62">
        <v>680.3922</v>
      </c>
      <c r="I262" s="62">
        <v>2021</v>
      </c>
      <c r="J262" s="62">
        <v>9</v>
      </c>
      <c r="K262" s="62" t="s">
        <v>15</v>
      </c>
      <c r="L262" s="62" t="s">
        <v>2</v>
      </c>
      <c r="M262" s="62">
        <v>2474.59</v>
      </c>
      <c r="N262" s="62">
        <v>680.3922</v>
      </c>
    </row>
    <row r="263" spans="1:14">
      <c r="A263" s="62">
        <v>2021</v>
      </c>
      <c r="B263" s="62">
        <v>10</v>
      </c>
      <c r="C263" s="62" t="s">
        <v>0</v>
      </c>
      <c r="D263" s="62" t="s">
        <v>2</v>
      </c>
      <c r="E263" s="62">
        <v>3247.2525</v>
      </c>
      <c r="F263" s="62">
        <v>829.622225</v>
      </c>
      <c r="I263" s="62">
        <v>2021</v>
      </c>
      <c r="J263" s="62">
        <v>10</v>
      </c>
      <c r="K263" s="62" t="s">
        <v>15</v>
      </c>
      <c r="L263" s="62" t="s">
        <v>2</v>
      </c>
      <c r="M263" s="62">
        <v>3247.2525</v>
      </c>
      <c r="N263" s="62">
        <v>829.622225</v>
      </c>
    </row>
    <row r="264" spans="1:14">
      <c r="A264" s="62">
        <v>2021</v>
      </c>
      <c r="B264" s="62">
        <v>11</v>
      </c>
      <c r="C264" s="62" t="s">
        <v>0</v>
      </c>
      <c r="D264" s="62" t="s">
        <v>2</v>
      </c>
      <c r="E264" s="62">
        <v>1662.6349</v>
      </c>
      <c r="F264" s="62">
        <v>474.254025</v>
      </c>
      <c r="I264" s="62">
        <v>2021</v>
      </c>
      <c r="J264" s="62">
        <v>11</v>
      </c>
      <c r="K264" s="62" t="s">
        <v>15</v>
      </c>
      <c r="L264" s="62" t="s">
        <v>2</v>
      </c>
      <c r="M264" s="62">
        <v>1662.6349</v>
      </c>
      <c r="N264" s="62">
        <v>474.254025</v>
      </c>
    </row>
    <row r="265" spans="1:14">
      <c r="A265" s="62">
        <v>2021</v>
      </c>
      <c r="B265" s="62">
        <v>12</v>
      </c>
      <c r="C265" s="62" t="s">
        <v>0</v>
      </c>
      <c r="D265" s="62" t="s">
        <v>2</v>
      </c>
      <c r="E265" s="62">
        <v>863.92</v>
      </c>
      <c r="F265" s="62">
        <v>236.1515</v>
      </c>
      <c r="I265" s="62">
        <v>2021</v>
      </c>
      <c r="J265" s="62">
        <v>12</v>
      </c>
      <c r="K265" s="62" t="s">
        <v>15</v>
      </c>
      <c r="L265" s="62" t="s">
        <v>2</v>
      </c>
      <c r="M265" s="62">
        <v>863.92</v>
      </c>
      <c r="N265" s="62">
        <v>236.1515</v>
      </c>
    </row>
    <row r="266" spans="1:14">
      <c r="A266" s="62">
        <v>2022</v>
      </c>
      <c r="B266" s="62">
        <v>1</v>
      </c>
      <c r="C266" s="62" t="s">
        <v>0</v>
      </c>
      <c r="D266" s="62" t="s">
        <v>2</v>
      </c>
      <c r="E266" s="62">
        <v>1641.7355</v>
      </c>
      <c r="F266" s="62">
        <v>378.192875</v>
      </c>
      <c r="I266" s="62">
        <v>2022</v>
      </c>
      <c r="J266" s="62">
        <v>1</v>
      </c>
      <c r="K266" s="62" t="s">
        <v>15</v>
      </c>
      <c r="L266" s="62" t="s">
        <v>2</v>
      </c>
      <c r="M266" s="62">
        <v>1641.7355</v>
      </c>
      <c r="N266" s="62">
        <v>378.192875</v>
      </c>
    </row>
    <row r="267" spans="1:14">
      <c r="A267" s="62">
        <v>2022</v>
      </c>
      <c r="B267" s="62">
        <v>2</v>
      </c>
      <c r="C267" s="62" t="s">
        <v>0</v>
      </c>
      <c r="D267" s="62" t="s">
        <v>2</v>
      </c>
      <c r="E267" s="62">
        <v>2387.247</v>
      </c>
      <c r="F267" s="62">
        <v>586.62645</v>
      </c>
      <c r="I267" s="62">
        <v>2022</v>
      </c>
      <c r="J267" s="62">
        <v>2</v>
      </c>
      <c r="K267" s="62" t="s">
        <v>15</v>
      </c>
      <c r="L267" s="62" t="s">
        <v>2</v>
      </c>
      <c r="M267" s="62">
        <v>2387.247</v>
      </c>
      <c r="N267" s="62">
        <v>586.62645</v>
      </c>
    </row>
    <row r="268" spans="1:14">
      <c r="A268" s="62">
        <v>2022</v>
      </c>
      <c r="B268" s="62">
        <v>3</v>
      </c>
      <c r="C268" s="62" t="s">
        <v>0</v>
      </c>
      <c r="D268" s="62" t="s">
        <v>2</v>
      </c>
      <c r="E268" s="62">
        <v>2112.384</v>
      </c>
      <c r="F268" s="62">
        <v>613.204</v>
      </c>
      <c r="I268" s="62">
        <v>2022</v>
      </c>
      <c r="J268" s="62">
        <v>3</v>
      </c>
      <c r="K268" s="62" t="s">
        <v>15</v>
      </c>
      <c r="L268" s="62" t="s">
        <v>2</v>
      </c>
      <c r="M268" s="62">
        <v>2112.384</v>
      </c>
      <c r="N268" s="62">
        <v>613.204</v>
      </c>
    </row>
    <row r="269" spans="1:14">
      <c r="A269" s="62">
        <v>2022</v>
      </c>
      <c r="B269" s="62">
        <v>4</v>
      </c>
      <c r="C269" s="62" t="s">
        <v>0</v>
      </c>
      <c r="D269" s="62" t="s">
        <v>2</v>
      </c>
      <c r="E269" s="62">
        <v>2341.9101</v>
      </c>
      <c r="F269" s="62">
        <v>603.55677</v>
      </c>
      <c r="I269" s="62">
        <v>2022</v>
      </c>
      <c r="J269" s="62">
        <v>4</v>
      </c>
      <c r="K269" s="62" t="s">
        <v>15</v>
      </c>
      <c r="L269" s="62" t="s">
        <v>2</v>
      </c>
      <c r="M269" s="62">
        <v>2341.9101</v>
      </c>
      <c r="N269" s="62">
        <v>603.55677</v>
      </c>
    </row>
    <row r="270" spans="1:14">
      <c r="A270" s="62">
        <v>2022</v>
      </c>
      <c r="B270" s="62">
        <v>5</v>
      </c>
      <c r="C270" s="62" t="s">
        <v>0</v>
      </c>
      <c r="D270" s="62" t="s">
        <v>2</v>
      </c>
      <c r="E270" s="62">
        <v>2161.212</v>
      </c>
      <c r="F270" s="62">
        <v>494.69415</v>
      </c>
      <c r="I270" s="62">
        <v>2022</v>
      </c>
      <c r="J270" s="62">
        <v>5</v>
      </c>
      <c r="K270" s="62" t="s">
        <v>15</v>
      </c>
      <c r="L270" s="62" t="s">
        <v>2</v>
      </c>
      <c r="M270" s="62">
        <v>2161.212</v>
      </c>
      <c r="N270" s="62">
        <v>494.69415</v>
      </c>
    </row>
    <row r="271" spans="1:14">
      <c r="A271" s="62">
        <v>2022</v>
      </c>
      <c r="B271" s="62">
        <v>6</v>
      </c>
      <c r="C271" s="62" t="s">
        <v>0</v>
      </c>
      <c r="D271" s="62" t="s">
        <v>2</v>
      </c>
      <c r="E271" s="62">
        <v>1667.875</v>
      </c>
      <c r="F271" s="62">
        <v>370.852</v>
      </c>
      <c r="I271" s="62">
        <v>2022</v>
      </c>
      <c r="J271" s="62">
        <v>6</v>
      </c>
      <c r="K271" s="62" t="s">
        <v>15</v>
      </c>
      <c r="L271" s="62" t="s">
        <v>2</v>
      </c>
      <c r="M271" s="62">
        <v>1667.875</v>
      </c>
      <c r="N271" s="62">
        <v>370.852</v>
      </c>
    </row>
    <row r="272" spans="1:14">
      <c r="A272" s="62">
        <v>2022</v>
      </c>
      <c r="B272" s="62">
        <v>7</v>
      </c>
      <c r="C272" s="62" t="s">
        <v>0</v>
      </c>
      <c r="D272" s="62" t="s">
        <v>2</v>
      </c>
      <c r="E272" s="62">
        <v>1781.1225</v>
      </c>
      <c r="F272" s="62">
        <v>413.877</v>
      </c>
      <c r="I272" s="62">
        <v>2022</v>
      </c>
      <c r="J272" s="62">
        <v>7</v>
      </c>
      <c r="K272" s="62" t="s">
        <v>15</v>
      </c>
      <c r="L272" s="62" t="s">
        <v>2</v>
      </c>
      <c r="M272" s="62">
        <v>1781.1225</v>
      </c>
      <c r="N272" s="62">
        <v>413.877</v>
      </c>
    </row>
    <row r="273" spans="1:14">
      <c r="A273" s="62">
        <v>2022</v>
      </c>
      <c r="B273" s="62">
        <v>8</v>
      </c>
      <c r="C273" s="62" t="s">
        <v>0</v>
      </c>
      <c r="D273" s="62" t="s">
        <v>2</v>
      </c>
      <c r="E273" s="62">
        <v>1690.934</v>
      </c>
      <c r="F273" s="62">
        <v>349.7242</v>
      </c>
      <c r="I273" s="62">
        <v>2022</v>
      </c>
      <c r="J273" s="62">
        <v>8</v>
      </c>
      <c r="K273" s="62" t="s">
        <v>15</v>
      </c>
      <c r="L273" s="62" t="s">
        <v>2</v>
      </c>
      <c r="M273" s="62">
        <v>1690.934</v>
      </c>
      <c r="N273" s="62">
        <v>349.7242</v>
      </c>
    </row>
    <row r="274" spans="1:14">
      <c r="A274" s="62">
        <v>2022</v>
      </c>
      <c r="B274" s="62">
        <v>9</v>
      </c>
      <c r="C274" s="62" t="s">
        <v>0</v>
      </c>
      <c r="D274" s="62" t="s">
        <v>2</v>
      </c>
      <c r="E274" s="62">
        <v>2179.5036</v>
      </c>
      <c r="F274" s="62">
        <v>446.63043</v>
      </c>
      <c r="I274" s="62">
        <v>2022</v>
      </c>
      <c r="J274" s="62">
        <v>9</v>
      </c>
      <c r="K274" s="62" t="s">
        <v>15</v>
      </c>
      <c r="L274" s="62" t="s">
        <v>2</v>
      </c>
      <c r="M274" s="62">
        <v>2179.5036</v>
      </c>
      <c r="N274" s="62">
        <v>446.63043</v>
      </c>
    </row>
    <row r="275" spans="1:14">
      <c r="A275" s="62">
        <v>2022</v>
      </c>
      <c r="B275" s="62">
        <v>10</v>
      </c>
      <c r="C275" s="62" t="s">
        <v>0</v>
      </c>
      <c r="D275" s="62" t="s">
        <v>2</v>
      </c>
      <c r="E275" s="62">
        <v>3762.534</v>
      </c>
      <c r="F275" s="62">
        <v>776.3786375</v>
      </c>
      <c r="I275" s="62">
        <v>2022</v>
      </c>
      <c r="J275" s="62">
        <v>10</v>
      </c>
      <c r="K275" s="62" t="s">
        <v>15</v>
      </c>
      <c r="L275" s="62" t="s">
        <v>2</v>
      </c>
      <c r="M275" s="62">
        <v>3762.534</v>
      </c>
      <c r="N275" s="62">
        <v>776.3786375</v>
      </c>
    </row>
    <row r="276" spans="1:14">
      <c r="A276" s="62">
        <v>2022</v>
      </c>
      <c r="B276" s="62">
        <v>11</v>
      </c>
      <c r="C276" s="62" t="s">
        <v>0</v>
      </c>
      <c r="D276" s="62" t="s">
        <v>2</v>
      </c>
      <c r="E276" s="62">
        <v>1548.049</v>
      </c>
      <c r="F276" s="62">
        <v>372.3074</v>
      </c>
      <c r="I276" s="62">
        <v>2022</v>
      </c>
      <c r="J276" s="62">
        <v>11</v>
      </c>
      <c r="K276" s="62" t="s">
        <v>15</v>
      </c>
      <c r="L276" s="62" t="s">
        <v>2</v>
      </c>
      <c r="M276" s="62">
        <v>1548.049</v>
      </c>
      <c r="N276" s="62">
        <v>372.3074</v>
      </c>
    </row>
    <row r="277" spans="1:14">
      <c r="A277" s="62">
        <v>2022</v>
      </c>
      <c r="B277" s="62">
        <v>12</v>
      </c>
      <c r="C277" s="62" t="s">
        <v>0</v>
      </c>
      <c r="D277" s="62" t="s">
        <v>2</v>
      </c>
      <c r="E277" s="62">
        <v>1156.204</v>
      </c>
      <c r="F277" s="62">
        <v>276.303825</v>
      </c>
      <c r="I277" s="62">
        <v>2022</v>
      </c>
      <c r="J277" s="62">
        <v>12</v>
      </c>
      <c r="K277" s="62" t="s">
        <v>15</v>
      </c>
      <c r="L277" s="62" t="s">
        <v>2</v>
      </c>
      <c r="M277" s="62">
        <v>1156.204</v>
      </c>
      <c r="N277" s="62">
        <v>276.303825</v>
      </c>
    </row>
    <row r="278" spans="1:14">
      <c r="A278" s="62">
        <v>2023</v>
      </c>
      <c r="B278" s="62">
        <v>1</v>
      </c>
      <c r="C278" s="62" t="s">
        <v>0</v>
      </c>
      <c r="D278" s="62" t="s">
        <v>2</v>
      </c>
      <c r="E278" s="62">
        <v>2552.9085</v>
      </c>
      <c r="F278" s="62">
        <v>649.5004875</v>
      </c>
      <c r="I278" s="62">
        <v>2023</v>
      </c>
      <c r="J278" s="62">
        <v>1</v>
      </c>
      <c r="K278" s="62" t="s">
        <v>15</v>
      </c>
      <c r="L278" s="62" t="s">
        <v>2</v>
      </c>
      <c r="M278" s="62">
        <v>2552.9085</v>
      </c>
      <c r="N278" s="62">
        <v>649.5004875</v>
      </c>
    </row>
    <row r="279" spans="1:14">
      <c r="A279" s="62">
        <v>2023</v>
      </c>
      <c r="B279" s="62">
        <v>2</v>
      </c>
      <c r="C279" s="62" t="s">
        <v>0</v>
      </c>
      <c r="D279" s="62" t="s">
        <v>2</v>
      </c>
      <c r="E279" s="62">
        <v>4134.309</v>
      </c>
      <c r="F279" s="62">
        <v>1096.8284</v>
      </c>
      <c r="I279" s="62">
        <v>2023</v>
      </c>
      <c r="J279" s="62">
        <v>2</v>
      </c>
      <c r="K279" s="62" t="s">
        <v>15</v>
      </c>
      <c r="L279" s="62" t="s">
        <v>2</v>
      </c>
      <c r="M279" s="62">
        <v>4134.309</v>
      </c>
      <c r="N279" s="62">
        <v>1096.8284</v>
      </c>
    </row>
    <row r="280" spans="1:14">
      <c r="A280" s="62">
        <v>2023</v>
      </c>
      <c r="B280" s="62">
        <v>3</v>
      </c>
      <c r="C280" s="62" t="s">
        <v>0</v>
      </c>
      <c r="D280" s="62" t="s">
        <v>2</v>
      </c>
      <c r="E280" s="62">
        <v>3664.6845</v>
      </c>
      <c r="F280" s="62">
        <v>850.9540000000001</v>
      </c>
      <c r="I280" s="62">
        <v>2023</v>
      </c>
      <c r="J280" s="62">
        <v>3</v>
      </c>
      <c r="K280" s="62" t="s">
        <v>15</v>
      </c>
      <c r="L280" s="62" t="s">
        <v>2</v>
      </c>
      <c r="M280" s="62">
        <v>3664.6845</v>
      </c>
      <c r="N280" s="62">
        <v>850.9540000000001</v>
      </c>
    </row>
    <row r="281" spans="1:14">
      <c r="A281" s="62">
        <v>2023</v>
      </c>
      <c r="B281" s="62">
        <v>4</v>
      </c>
      <c r="C281" s="62" t="s">
        <v>0</v>
      </c>
      <c r="D281" s="62" t="s">
        <v>2</v>
      </c>
      <c r="E281" s="62">
        <v>3647.546</v>
      </c>
      <c r="F281" s="62">
        <v>773.80725</v>
      </c>
      <c r="I281" s="62">
        <v>2023</v>
      </c>
      <c r="J281" s="62">
        <v>4</v>
      </c>
      <c r="K281" s="62" t="s">
        <v>15</v>
      </c>
      <c r="L281" s="62" t="s">
        <v>2</v>
      </c>
      <c r="M281" s="62">
        <v>3647.546</v>
      </c>
      <c r="N281" s="62">
        <v>773.80725</v>
      </c>
    </row>
    <row r="282" spans="1:14">
      <c r="A282" s="62">
        <v>2023</v>
      </c>
      <c r="B282" s="62">
        <v>5</v>
      </c>
      <c r="C282" s="62" t="s">
        <v>0</v>
      </c>
      <c r="D282" s="62" t="s">
        <v>2</v>
      </c>
      <c r="E282" s="62">
        <v>2071.2518</v>
      </c>
      <c r="F282" s="62">
        <v>483.12569</v>
      </c>
      <c r="I282" s="62">
        <v>2023</v>
      </c>
      <c r="J282" s="62">
        <v>5</v>
      </c>
      <c r="K282" s="62" t="s">
        <v>15</v>
      </c>
      <c r="L282" s="62" t="s">
        <v>2</v>
      </c>
      <c r="M282" s="62">
        <v>2071.2518</v>
      </c>
      <c r="N282" s="62">
        <v>483.12569</v>
      </c>
    </row>
    <row r="283" spans="1:14">
      <c r="A283" s="62">
        <v>2023</v>
      </c>
      <c r="B283" s="62">
        <v>6</v>
      </c>
      <c r="C283" s="62" t="s">
        <v>0</v>
      </c>
      <c r="D283" s="62" t="s">
        <v>2</v>
      </c>
      <c r="E283" s="62">
        <v>368.477</v>
      </c>
      <c r="F283" s="62">
        <v>83.89954999999999</v>
      </c>
      <c r="I283" s="62">
        <v>2023</v>
      </c>
      <c r="J283" s="62">
        <v>6</v>
      </c>
      <c r="K283" s="62" t="s">
        <v>15</v>
      </c>
      <c r="L283" s="62" t="s">
        <v>2</v>
      </c>
      <c r="M283" s="62">
        <v>368.477</v>
      </c>
      <c r="N283" s="62">
        <v>83.89954999999999</v>
      </c>
    </row>
    <row r="284" spans="1:14">
      <c r="A284" s="62">
        <v>2023</v>
      </c>
      <c r="B284" s="62">
        <v>7</v>
      </c>
      <c r="C284" s="62" t="s">
        <v>0</v>
      </c>
      <c r="D284" s="62" t="s">
        <v>2</v>
      </c>
      <c r="E284" s="62">
        <v>171.937</v>
      </c>
      <c r="F284" s="62">
        <v>27.50485</v>
      </c>
      <c r="I284" s="62">
        <v>2023</v>
      </c>
      <c r="J284" s="62">
        <v>7</v>
      </c>
      <c r="K284" s="62" t="s">
        <v>15</v>
      </c>
      <c r="L284" s="62" t="s">
        <v>2</v>
      </c>
      <c r="M284" s="62">
        <v>171.937</v>
      </c>
      <c r="N284" s="62">
        <v>27.50485</v>
      </c>
    </row>
    <row r="285" spans="1:14">
      <c r="A285" s="62">
        <v>2023</v>
      </c>
      <c r="B285" s="62">
        <v>8</v>
      </c>
      <c r="C285" s="62" t="s">
        <v>0</v>
      </c>
      <c r="D285" s="62" t="s">
        <v>2</v>
      </c>
      <c r="E285" s="62">
        <v>315.56</v>
      </c>
      <c r="F285" s="62">
        <v>97.41800000000001</v>
      </c>
      <c r="I285" s="62">
        <v>2023</v>
      </c>
      <c r="J285" s="62">
        <v>8</v>
      </c>
      <c r="K285" s="62" t="s">
        <v>15</v>
      </c>
      <c r="L285" s="62" t="s">
        <v>2</v>
      </c>
      <c r="M285" s="62">
        <v>315.56</v>
      </c>
      <c r="N285" s="62">
        <v>97.41800000000001</v>
      </c>
    </row>
    <row r="286" spans="1:14">
      <c r="A286" s="62">
        <v>2023</v>
      </c>
      <c r="B286" s="62">
        <v>9</v>
      </c>
      <c r="C286" s="62" t="s">
        <v>0</v>
      </c>
      <c r="D286" s="62" t="s">
        <v>2</v>
      </c>
      <c r="E286" s="62">
        <v>2423.3365</v>
      </c>
      <c r="F286" s="62">
        <v>429.8698325</v>
      </c>
      <c r="I286" s="62">
        <v>2023</v>
      </c>
      <c r="J286" s="62">
        <v>9</v>
      </c>
      <c r="K286" s="62" t="s">
        <v>15</v>
      </c>
      <c r="L286" s="62" t="s">
        <v>2</v>
      </c>
      <c r="M286" s="62">
        <v>2423.3365</v>
      </c>
      <c r="N286" s="62">
        <v>429.8698325</v>
      </c>
    </row>
    <row r="287" spans="1:14">
      <c r="A287" s="62">
        <v>2023</v>
      </c>
      <c r="B287" s="62">
        <v>10</v>
      </c>
      <c r="C287" s="62" t="s">
        <v>0</v>
      </c>
      <c r="D287" s="62" t="s">
        <v>2</v>
      </c>
      <c r="E287" s="62">
        <v>4943.1683</v>
      </c>
      <c r="F287" s="62">
        <v>1008.5318475</v>
      </c>
      <c r="I287" s="62">
        <v>2023</v>
      </c>
      <c r="J287" s="62">
        <v>10</v>
      </c>
      <c r="K287" s="62" t="s">
        <v>15</v>
      </c>
      <c r="L287" s="62" t="s">
        <v>2</v>
      </c>
      <c r="M287" s="62">
        <v>4943.1683</v>
      </c>
      <c r="N287" s="62">
        <v>1008.5318475</v>
      </c>
    </row>
    <row r="288" spans="1:14">
      <c r="A288" s="62">
        <v>2023</v>
      </c>
      <c r="B288" s="62">
        <v>11</v>
      </c>
      <c r="C288" s="62" t="s">
        <v>0</v>
      </c>
      <c r="D288" s="62" t="s">
        <v>2</v>
      </c>
      <c r="E288" s="62">
        <v>1718.509</v>
      </c>
      <c r="F288" s="62">
        <v>451.161075</v>
      </c>
      <c r="I288" s="62">
        <v>2023</v>
      </c>
      <c r="J288" s="62">
        <v>11</v>
      </c>
      <c r="K288" s="62" t="s">
        <v>15</v>
      </c>
      <c r="L288" s="62" t="s">
        <v>2</v>
      </c>
      <c r="M288" s="62">
        <v>1718.509</v>
      </c>
      <c r="N288" s="62">
        <v>451.161075</v>
      </c>
    </row>
    <row r="289" spans="1:14">
      <c r="A289" s="62">
        <v>2023</v>
      </c>
      <c r="B289" s="62">
        <v>12</v>
      </c>
      <c r="C289" s="62" t="s">
        <v>0</v>
      </c>
      <c r="D289" s="62" t="s">
        <v>2</v>
      </c>
      <c r="E289" s="62">
        <v>128.5582</v>
      </c>
      <c r="F289" s="62">
        <v>47.28364000000001</v>
      </c>
      <c r="I289" s="62">
        <v>2023</v>
      </c>
      <c r="J289" s="62">
        <v>12</v>
      </c>
      <c r="K289" s="62" t="s">
        <v>15</v>
      </c>
      <c r="L289" s="62" t="s">
        <v>2</v>
      </c>
      <c r="M289" s="62">
        <v>128.5582</v>
      </c>
      <c r="N289" s="62">
        <v>47.28364000000001</v>
      </c>
    </row>
    <row r="290" spans="1:14">
      <c r="A290" s="62">
        <v>2024</v>
      </c>
      <c r="B290" s="62">
        <v>1</v>
      </c>
      <c r="C290" s="62" t="s">
        <v>0</v>
      </c>
      <c r="D290" s="62" t="s">
        <v>2</v>
      </c>
      <c r="E290" s="62">
        <v>2251.219</v>
      </c>
      <c r="F290" s="62">
        <v>520.3163499999999</v>
      </c>
      <c r="I290" s="62">
        <v>2024</v>
      </c>
      <c r="J290" s="62">
        <v>1</v>
      </c>
      <c r="K290" s="62" t="s">
        <v>15</v>
      </c>
      <c r="L290" s="62" t="s">
        <v>2</v>
      </c>
      <c r="M290" s="62">
        <v>2251.219</v>
      </c>
      <c r="N290" s="62">
        <v>520.3163499999999</v>
      </c>
    </row>
    <row r="291" spans="1:14">
      <c r="A291" s="62">
        <v>2024</v>
      </c>
      <c r="B291" s="62">
        <v>2</v>
      </c>
      <c r="C291" s="62" t="s">
        <v>0</v>
      </c>
      <c r="D291" s="62" t="s">
        <v>2</v>
      </c>
      <c r="E291" s="62">
        <v>3766.8788</v>
      </c>
      <c r="F291" s="62">
        <v>953.8580999999999</v>
      </c>
      <c r="I291" s="62">
        <v>2024</v>
      </c>
      <c r="J291" s="62">
        <v>2</v>
      </c>
      <c r="K291" s="62" t="s">
        <v>15</v>
      </c>
      <c r="L291" s="62" t="s">
        <v>2</v>
      </c>
      <c r="M291" s="62">
        <v>3766.8788</v>
      </c>
      <c r="N291" s="62">
        <v>953.8580999999999</v>
      </c>
    </row>
    <row r="292" spans="1:14">
      <c r="A292" s="62">
        <v>2024</v>
      </c>
      <c r="B292" s="62">
        <v>3</v>
      </c>
      <c r="C292" s="62" t="s">
        <v>0</v>
      </c>
      <c r="D292" s="62" t="s">
        <v>2</v>
      </c>
      <c r="E292" s="62">
        <v>2643.9494</v>
      </c>
      <c r="F292" s="62">
        <v>700.9220299999999</v>
      </c>
      <c r="I292" s="62">
        <v>2024</v>
      </c>
      <c r="J292" s="62">
        <v>3</v>
      </c>
      <c r="K292" s="62" t="s">
        <v>15</v>
      </c>
      <c r="L292" s="62" t="s">
        <v>2</v>
      </c>
      <c r="M292" s="62">
        <v>2643.9494</v>
      </c>
      <c r="N292" s="62">
        <v>700.9220299999999</v>
      </c>
    </row>
    <row r="293" spans="1:14">
      <c r="A293" s="62">
        <v>2024</v>
      </c>
      <c r="B293" s="62">
        <v>4</v>
      </c>
      <c r="C293" s="62" t="s">
        <v>0</v>
      </c>
      <c r="D293" s="62" t="s">
        <v>2</v>
      </c>
      <c r="E293" s="62">
        <v>2651.0149</v>
      </c>
      <c r="F293" s="62">
        <v>530.6103049999999</v>
      </c>
      <c r="I293" s="62">
        <v>2024</v>
      </c>
      <c r="J293" s="62">
        <v>4</v>
      </c>
      <c r="K293" s="62" t="s">
        <v>15</v>
      </c>
      <c r="L293" s="62" t="s">
        <v>2</v>
      </c>
      <c r="M293" s="62">
        <v>2651.0149</v>
      </c>
      <c r="N293" s="62">
        <v>530.6103049999999</v>
      </c>
    </row>
    <row r="294" spans="1:14">
      <c r="A294" s="62">
        <v>2024</v>
      </c>
      <c r="B294" s="62">
        <v>5</v>
      </c>
      <c r="C294" s="62" t="s">
        <v>0</v>
      </c>
      <c r="D294" s="62" t="s">
        <v>2</v>
      </c>
      <c r="E294" s="62">
        <v>1541.172</v>
      </c>
      <c r="F294" s="62">
        <v>295.5973</v>
      </c>
      <c r="I294" s="62">
        <v>2024</v>
      </c>
      <c r="J294" s="62">
        <v>5</v>
      </c>
      <c r="K294" s="62" t="s">
        <v>15</v>
      </c>
      <c r="L294" s="62" t="s">
        <v>2</v>
      </c>
      <c r="M294" s="62">
        <v>1541.172</v>
      </c>
      <c r="N294" s="62">
        <v>295.5973</v>
      </c>
    </row>
    <row r="295" spans="1:14">
      <c r="A295" s="62">
        <v>2024</v>
      </c>
      <c r="B295" s="62">
        <v>6</v>
      </c>
      <c r="C295" s="62" t="s">
        <v>0</v>
      </c>
      <c r="D295" s="62" t="s">
        <v>2</v>
      </c>
      <c r="E295" s="62">
        <v>1085.2415</v>
      </c>
      <c r="F295" s="62">
        <v>258.5824125</v>
      </c>
      <c r="I295" s="62">
        <v>2024</v>
      </c>
      <c r="J295" s="62">
        <v>6</v>
      </c>
      <c r="K295" s="62" t="s">
        <v>15</v>
      </c>
      <c r="L295" s="62" t="s">
        <v>2</v>
      </c>
      <c r="M295" s="62">
        <v>1085.2415</v>
      </c>
      <c r="N295" s="62">
        <v>258.5824125</v>
      </c>
    </row>
    <row r="296" spans="1:14">
      <c r="A296" s="62">
        <v>2024</v>
      </c>
      <c r="B296" s="62">
        <v>7</v>
      </c>
      <c r="C296" s="62" t="s">
        <v>0</v>
      </c>
      <c r="D296" s="62" t="s">
        <v>2</v>
      </c>
      <c r="E296" s="62">
        <v>512.8795</v>
      </c>
      <c r="F296" s="62">
        <v>99.979</v>
      </c>
      <c r="I296" s="62">
        <v>2024</v>
      </c>
      <c r="J296" s="62">
        <v>7</v>
      </c>
      <c r="K296" s="62" t="s">
        <v>15</v>
      </c>
      <c r="L296" s="62" t="s">
        <v>2</v>
      </c>
      <c r="M296" s="62">
        <v>512.8795</v>
      </c>
      <c r="N296" s="62">
        <v>99.979</v>
      </c>
    </row>
    <row r="297" spans="1:14">
      <c r="A297" s="62">
        <v>2024</v>
      </c>
      <c r="B297" s="62">
        <v>8</v>
      </c>
      <c r="C297" s="62" t="s">
        <v>0</v>
      </c>
      <c r="D297" s="62" t="s">
        <v>2</v>
      </c>
      <c r="E297" s="62">
        <v>486.4172</v>
      </c>
      <c r="F297" s="62">
        <v>159.98764</v>
      </c>
      <c r="I297" s="62">
        <v>2024</v>
      </c>
      <c r="J297" s="62">
        <v>8</v>
      </c>
      <c r="K297" s="62" t="s">
        <v>15</v>
      </c>
      <c r="L297" s="62" t="s">
        <v>2</v>
      </c>
      <c r="M297" s="62">
        <v>486.4172</v>
      </c>
      <c r="N297" s="62">
        <v>159.98764</v>
      </c>
    </row>
    <row r="298" spans="1:14">
      <c r="A298" s="62">
        <v>2024</v>
      </c>
      <c r="B298" s="62">
        <v>9</v>
      </c>
      <c r="C298" s="62" t="s">
        <v>0</v>
      </c>
      <c r="D298" s="62" t="s">
        <v>2</v>
      </c>
      <c r="E298" s="62">
        <v>1721.3308</v>
      </c>
      <c r="F298" s="62">
        <v>446.5484775</v>
      </c>
      <c r="I298" s="62">
        <v>2024</v>
      </c>
      <c r="J298" s="62">
        <v>9</v>
      </c>
      <c r="K298" s="62" t="s">
        <v>15</v>
      </c>
      <c r="L298" s="62" t="s">
        <v>2</v>
      </c>
      <c r="M298" s="62">
        <v>1721.3308</v>
      </c>
      <c r="N298" s="62">
        <v>446.5484775</v>
      </c>
    </row>
    <row r="299" spans="1:14">
      <c r="A299" s="62">
        <v>2024</v>
      </c>
      <c r="B299" s="62">
        <v>10</v>
      </c>
      <c r="C299" s="62" t="s">
        <v>0</v>
      </c>
      <c r="D299" s="62" t="s">
        <v>2</v>
      </c>
      <c r="E299" s="62">
        <v>2469.8125</v>
      </c>
      <c r="F299" s="62">
        <v>646.1467875</v>
      </c>
      <c r="I299" s="62">
        <v>2024</v>
      </c>
      <c r="J299" s="62">
        <v>10</v>
      </c>
      <c r="K299" s="62" t="s">
        <v>15</v>
      </c>
      <c r="L299" s="62" t="s">
        <v>2</v>
      </c>
      <c r="M299" s="62">
        <v>2469.8125</v>
      </c>
      <c r="N299" s="62">
        <v>646.1467875</v>
      </c>
    </row>
    <row r="300" spans="1:14">
      <c r="A300" s="62">
        <v>2024</v>
      </c>
      <c r="B300" s="62">
        <v>11</v>
      </c>
      <c r="C300" s="62" t="s">
        <v>0</v>
      </c>
      <c r="D300" s="62" t="s">
        <v>2</v>
      </c>
      <c r="E300" s="62">
        <v>1183.0576</v>
      </c>
      <c r="F300" s="62">
        <v>285.1896175</v>
      </c>
      <c r="I300" s="62">
        <v>2024</v>
      </c>
      <c r="J300" s="62">
        <v>11</v>
      </c>
      <c r="K300" s="62" t="s">
        <v>15</v>
      </c>
      <c r="L300" s="62" t="s">
        <v>2</v>
      </c>
      <c r="M300" s="62">
        <v>1183.0576</v>
      </c>
      <c r="N300" s="62">
        <v>285.1896175</v>
      </c>
    </row>
    <row r="301" spans="1:14">
      <c r="A301" s="62">
        <v>2024</v>
      </c>
      <c r="B301" s="62">
        <v>12</v>
      </c>
      <c r="C301" s="62" t="s">
        <v>0</v>
      </c>
      <c r="D301" s="62" t="s">
        <v>2</v>
      </c>
      <c r="E301" s="62">
        <v>69.52250000000001</v>
      </c>
      <c r="F301" s="62">
        <v>18.6338</v>
      </c>
      <c r="I301" s="62">
        <v>2024</v>
      </c>
      <c r="J301" s="62">
        <v>12</v>
      </c>
      <c r="K301" s="62" t="s">
        <v>15</v>
      </c>
      <c r="L301" s="62" t="s">
        <v>2</v>
      </c>
      <c r="M301" s="62">
        <v>69.52250000000001</v>
      </c>
      <c r="N301" s="62">
        <v>18.6338</v>
      </c>
    </row>
    <row r="302" spans="1:14">
      <c r="A302" s="62">
        <v>2025</v>
      </c>
      <c r="B302" s="62">
        <v>1</v>
      </c>
      <c r="C302" s="62" t="s">
        <v>0</v>
      </c>
      <c r="D302" s="62" t="s">
        <v>2</v>
      </c>
      <c r="E302" s="62">
        <v>2120.1022</v>
      </c>
      <c r="F302" s="62">
        <v>367.8312325</v>
      </c>
      <c r="I302" s="62">
        <v>2025</v>
      </c>
      <c r="J302" s="62">
        <v>1</v>
      </c>
      <c r="K302" s="62" t="s">
        <v>15</v>
      </c>
      <c r="L302" s="62" t="s">
        <v>2</v>
      </c>
      <c r="M302" s="62">
        <v>2120.1022</v>
      </c>
      <c r="N302" s="62">
        <v>367.8312325</v>
      </c>
    </row>
    <row r="303" spans="1:14">
      <c r="A303" s="62">
        <v>2025</v>
      </c>
      <c r="B303" s="62">
        <v>2</v>
      </c>
      <c r="C303" s="62" t="s">
        <v>0</v>
      </c>
      <c r="D303" s="62" t="s">
        <v>2</v>
      </c>
      <c r="E303" s="62">
        <v>3003.7811</v>
      </c>
      <c r="F303" s="62">
        <v>561.7281525</v>
      </c>
      <c r="I303" s="62">
        <v>2025</v>
      </c>
      <c r="J303" s="62">
        <v>2</v>
      </c>
      <c r="K303" s="62" t="s">
        <v>15</v>
      </c>
      <c r="L303" s="62" t="s">
        <v>2</v>
      </c>
      <c r="M303" s="62">
        <v>3003.7811</v>
      </c>
      <c r="N303" s="62">
        <v>561.7281525</v>
      </c>
    </row>
    <row r="304" spans="1:14">
      <c r="A304" s="62">
        <v>2025</v>
      </c>
      <c r="B304" s="62">
        <v>3</v>
      </c>
      <c r="C304" s="62" t="s">
        <v>0</v>
      </c>
      <c r="D304" s="62" t="s">
        <v>2</v>
      </c>
      <c r="E304" s="62">
        <v>2202.617</v>
      </c>
      <c r="F304" s="62">
        <v>523.232375</v>
      </c>
      <c r="I304" s="62">
        <v>2025</v>
      </c>
      <c r="J304" s="62">
        <v>3</v>
      </c>
      <c r="K304" s="62" t="s">
        <v>15</v>
      </c>
      <c r="L304" s="62" t="s">
        <v>2</v>
      </c>
      <c r="M304" s="62">
        <v>2202.617</v>
      </c>
      <c r="N304" s="62">
        <v>523.232375</v>
      </c>
    </row>
    <row r="305" spans="1:14">
      <c r="A305" s="62">
        <v>2025</v>
      </c>
      <c r="B305" s="62">
        <v>4</v>
      </c>
      <c r="C305" s="62" t="s">
        <v>0</v>
      </c>
      <c r="D305" s="62" t="s">
        <v>2</v>
      </c>
      <c r="E305" s="62">
        <v>2680.846</v>
      </c>
      <c r="F305" s="62">
        <v>638.03355</v>
      </c>
      <c r="I305" s="62">
        <v>2025</v>
      </c>
      <c r="J305" s="62">
        <v>4</v>
      </c>
      <c r="K305" s="62" t="s">
        <v>15</v>
      </c>
      <c r="L305" s="62" t="s">
        <v>2</v>
      </c>
      <c r="M305" s="62">
        <v>2680.846</v>
      </c>
      <c r="N305" s="62">
        <v>638.03355</v>
      </c>
    </row>
    <row r="306" spans="1:14">
      <c r="A306" s="62">
        <v>2025</v>
      </c>
      <c r="B306" s="62">
        <v>5</v>
      </c>
      <c r="C306" s="62" t="s">
        <v>0</v>
      </c>
      <c r="D306" s="62" t="s">
        <v>2</v>
      </c>
      <c r="E306" s="62">
        <v>900.91</v>
      </c>
      <c r="F306" s="62">
        <v>278.0086</v>
      </c>
      <c r="I306" s="62">
        <v>2025</v>
      </c>
      <c r="J306" s="62">
        <v>5</v>
      </c>
      <c r="K306" s="62" t="s">
        <v>15</v>
      </c>
      <c r="L306" s="62" t="s">
        <v>2</v>
      </c>
      <c r="M306" s="62">
        <v>900.91</v>
      </c>
      <c r="N306" s="62">
        <v>278.0086</v>
      </c>
    </row>
    <row r="307" spans="1:14">
      <c r="A307" s="62">
        <v>2025</v>
      </c>
      <c r="B307" s="62">
        <v>6</v>
      </c>
      <c r="C307" s="62" t="s">
        <v>0</v>
      </c>
      <c r="D307" s="62" t="s">
        <v>2</v>
      </c>
      <c r="E307" s="62">
        <v>370.8306</v>
      </c>
      <c r="F307" s="62">
        <v>86.132025</v>
      </c>
      <c r="I307" s="62">
        <v>2025</v>
      </c>
      <c r="J307" s="62">
        <v>6</v>
      </c>
      <c r="K307" s="62" t="s">
        <v>15</v>
      </c>
      <c r="L307" s="62" t="s">
        <v>2</v>
      </c>
      <c r="M307" s="62">
        <v>370.8306</v>
      </c>
      <c r="N307" s="62">
        <v>86.132025</v>
      </c>
    </row>
    <row r="308" spans="1:14">
      <c r="A308" s="62">
        <v>2025</v>
      </c>
      <c r="B308" s="62">
        <v>7</v>
      </c>
      <c r="C308" s="62" t="s">
        <v>0</v>
      </c>
      <c r="D308" s="62" t="s">
        <v>2</v>
      </c>
      <c r="E308" s="62">
        <v>255.7162</v>
      </c>
      <c r="F308" s="62">
        <v>43.77245</v>
      </c>
      <c r="I308" s="62">
        <v>2025</v>
      </c>
      <c r="J308" s="62">
        <v>7</v>
      </c>
      <c r="K308" s="62" t="s">
        <v>15</v>
      </c>
      <c r="L308" s="62" t="s">
        <v>2</v>
      </c>
      <c r="M308" s="62">
        <v>255.7162</v>
      </c>
      <c r="N308" s="62">
        <v>43.77245</v>
      </c>
    </row>
    <row r="309" spans="1:14">
      <c r="A309" s="62">
        <v>2025</v>
      </c>
      <c r="B309" s="62">
        <v>8</v>
      </c>
      <c r="C309" s="62" t="s">
        <v>0</v>
      </c>
      <c r="D309" s="62" t="s">
        <v>2</v>
      </c>
      <c r="E309" s="62">
        <v>629.405</v>
      </c>
      <c r="F309" s="62">
        <v>138.2665</v>
      </c>
      <c r="I309" s="62">
        <v>2025</v>
      </c>
      <c r="J309" s="62">
        <v>8</v>
      </c>
      <c r="K309" s="62" t="s">
        <v>15</v>
      </c>
      <c r="L309" s="62" t="s">
        <v>2</v>
      </c>
      <c r="M309" s="62">
        <v>629.405</v>
      </c>
      <c r="N309" s="62">
        <v>138.2665</v>
      </c>
    </row>
    <row r="310" spans="1:14">
      <c r="A310" s="62">
        <v>2025</v>
      </c>
      <c r="B310" s="62">
        <v>9</v>
      </c>
      <c r="C310" s="62" t="s">
        <v>0</v>
      </c>
      <c r="D310" s="62" t="s">
        <v>2</v>
      </c>
      <c r="E310" s="62">
        <v>2057.151</v>
      </c>
      <c r="F310" s="62">
        <v>395.818475</v>
      </c>
      <c r="I310" s="62">
        <v>2025</v>
      </c>
      <c r="J310" s="62">
        <v>9</v>
      </c>
      <c r="K310" s="62" t="s">
        <v>15</v>
      </c>
      <c r="L310" s="62" t="s">
        <v>2</v>
      </c>
      <c r="M310" s="62">
        <v>2057.151</v>
      </c>
      <c r="N310" s="62">
        <v>395.818475</v>
      </c>
    </row>
    <row r="311" spans="1:14">
      <c r="A311" s="62">
        <v>2025</v>
      </c>
      <c r="B311" s="62">
        <v>10</v>
      </c>
      <c r="C311" s="62" t="s">
        <v>0</v>
      </c>
      <c r="D311" s="62" t="s">
        <v>2</v>
      </c>
      <c r="E311" s="62">
        <v>3379.727</v>
      </c>
      <c r="F311" s="62">
        <v>752.723575</v>
      </c>
      <c r="I311" s="62">
        <v>2025</v>
      </c>
      <c r="J311" s="62">
        <v>10</v>
      </c>
      <c r="K311" s="62" t="s">
        <v>15</v>
      </c>
      <c r="L311" s="62" t="s">
        <v>2</v>
      </c>
      <c r="M311" s="62">
        <v>3379.727</v>
      </c>
      <c r="N311" s="62">
        <v>752.723575</v>
      </c>
    </row>
    <row r="312" spans="1:14">
      <c r="A312" s="62">
        <v>2025</v>
      </c>
      <c r="B312" s="62">
        <v>11</v>
      </c>
      <c r="C312" s="62" t="s">
        <v>0</v>
      </c>
      <c r="D312" s="62" t="s">
        <v>2</v>
      </c>
      <c r="E312" s="62">
        <v>1733.814</v>
      </c>
      <c r="F312" s="62">
        <v>428.74995</v>
      </c>
      <c r="I312" s="62">
        <v>2025</v>
      </c>
      <c r="J312" s="62">
        <v>11</v>
      </c>
      <c r="K312" s="62" t="s">
        <v>15</v>
      </c>
      <c r="L312" s="62" t="s">
        <v>2</v>
      </c>
      <c r="M312" s="62">
        <v>1733.814</v>
      </c>
      <c r="N312" s="62">
        <v>428.74995</v>
      </c>
    </row>
    <row r="313" spans="1:14">
      <c r="A313" s="62">
        <v>2025</v>
      </c>
      <c r="B313" s="62">
        <v>12</v>
      </c>
      <c r="C313" s="62" t="s">
        <v>0</v>
      </c>
      <c r="D313" s="62" t="s">
        <v>2</v>
      </c>
      <c r="E313" s="62">
        <v>81.62</v>
      </c>
      <c r="F313" s="62">
        <v>13.9835</v>
      </c>
      <c r="I313" s="62">
        <v>2025</v>
      </c>
      <c r="J313" s="62">
        <v>12</v>
      </c>
      <c r="K313" s="62" t="s">
        <v>15</v>
      </c>
      <c r="L313" s="62" t="s">
        <v>2</v>
      </c>
      <c r="M313" s="62">
        <v>81.62</v>
      </c>
      <c r="N313" s="62">
        <v>13.9835</v>
      </c>
    </row>
    <row r="314" spans="1:14">
      <c r="A314" s="62">
        <v>2026</v>
      </c>
      <c r="B314" s="62">
        <v>1</v>
      </c>
      <c r="C314" s="62" t="s">
        <v>0</v>
      </c>
      <c r="D314" s="62" t="s">
        <v>2</v>
      </c>
      <c r="E314" s="62">
        <v>1062.6823</v>
      </c>
      <c r="F314" s="62">
        <v>226.164915</v>
      </c>
      <c r="I314" s="62">
        <v>2026</v>
      </c>
      <c r="J314" s="62">
        <v>1</v>
      </c>
      <c r="K314" s="62" t="s">
        <v>15</v>
      </c>
      <c r="L314" s="62" t="s">
        <v>2</v>
      </c>
      <c r="M314" s="62">
        <v>1062.6823</v>
      </c>
      <c r="N314" s="62">
        <v>226.164915</v>
      </c>
    </row>
    <row r="315" spans="1:14">
      <c r="A315" s="62">
        <v>2026</v>
      </c>
      <c r="B315" s="62">
        <v>2</v>
      </c>
      <c r="C315" s="62" t="s">
        <v>0</v>
      </c>
      <c r="D315" s="62" t="s">
        <v>2</v>
      </c>
      <c r="E315" s="62">
        <v>1946.2561</v>
      </c>
      <c r="F315" s="62">
        <v>440.11579</v>
      </c>
      <c r="I315" s="62">
        <v>2026</v>
      </c>
      <c r="J315" s="62">
        <v>2</v>
      </c>
      <c r="K315" s="62" t="s">
        <v>15</v>
      </c>
      <c r="L315" s="62" t="s">
        <v>2</v>
      </c>
      <c r="M315" s="62">
        <v>1946.2561</v>
      </c>
      <c r="N315" s="62">
        <v>440.11579</v>
      </c>
    </row>
    <row r="316" spans="1:14">
      <c r="A316" s="62">
        <v>2026</v>
      </c>
      <c r="B316" s="62">
        <v>3</v>
      </c>
      <c r="C316" s="62" t="s">
        <v>0</v>
      </c>
      <c r="D316" s="62" t="s">
        <v>2</v>
      </c>
      <c r="E316" s="62">
        <v>2033.7659</v>
      </c>
      <c r="F316" s="62">
        <v>394.364125</v>
      </c>
      <c r="I316" s="62">
        <v>2026</v>
      </c>
      <c r="J316" s="62">
        <v>3</v>
      </c>
      <c r="K316" s="62" t="s">
        <v>15</v>
      </c>
      <c r="L316" s="62" t="s">
        <v>2</v>
      </c>
      <c r="M316" s="62">
        <v>2033.7659</v>
      </c>
      <c r="N316" s="62">
        <v>394.364125</v>
      </c>
    </row>
    <row r="317" spans="1:14">
      <c r="A317" s="62">
        <v>2026</v>
      </c>
      <c r="B317" s="62">
        <v>4</v>
      </c>
      <c r="C317" s="62" t="s">
        <v>0</v>
      </c>
      <c r="D317" s="62" t="s">
        <v>2</v>
      </c>
      <c r="E317" s="62">
        <v>1938.51</v>
      </c>
      <c r="F317" s="62">
        <v>354.099</v>
      </c>
      <c r="I317" s="62">
        <v>2026</v>
      </c>
      <c r="J317" s="62">
        <v>4</v>
      </c>
      <c r="K317" s="62" t="s">
        <v>15</v>
      </c>
      <c r="L317" s="62" t="s">
        <v>2</v>
      </c>
      <c r="M317" s="62">
        <v>1938.51</v>
      </c>
      <c r="N317" s="62">
        <v>354.099</v>
      </c>
    </row>
    <row r="318" spans="1:14">
      <c r="A318" s="62">
        <v>2026</v>
      </c>
      <c r="B318" s="62">
        <v>5</v>
      </c>
      <c r="C318" s="62" t="s">
        <v>0</v>
      </c>
      <c r="D318" s="62" t="s">
        <v>2</v>
      </c>
      <c r="E318" s="62">
        <v>1001.3308</v>
      </c>
      <c r="F318" s="62">
        <v>172.26395</v>
      </c>
      <c r="I318" s="62">
        <v>2026</v>
      </c>
      <c r="J318" s="62">
        <v>5</v>
      </c>
      <c r="K318" s="62" t="s">
        <v>15</v>
      </c>
      <c r="L318" s="62" t="s">
        <v>2</v>
      </c>
      <c r="M318" s="62">
        <v>1001.3308</v>
      </c>
      <c r="N318" s="62">
        <v>172.26395</v>
      </c>
    </row>
    <row r="319" spans="1:14">
      <c r="A319" s="62">
        <v>2026</v>
      </c>
      <c r="B319" s="62">
        <v>6</v>
      </c>
      <c r="C319" s="62" t="s">
        <v>0</v>
      </c>
      <c r="D319" s="62" t="s">
        <v>2</v>
      </c>
      <c r="E319" s="62">
        <v>179.03</v>
      </c>
      <c r="F319" s="62">
        <v>34.06525</v>
      </c>
      <c r="I319" s="62">
        <v>2026</v>
      </c>
      <c r="J319" s="62">
        <v>6</v>
      </c>
      <c r="K319" s="62" t="s">
        <v>15</v>
      </c>
      <c r="L319" s="62" t="s">
        <v>2</v>
      </c>
      <c r="M319" s="62">
        <v>179.03</v>
      </c>
      <c r="N319" s="62">
        <v>34.06525</v>
      </c>
    </row>
    <row r="320" spans="1:14">
      <c r="A320" s="62">
        <v>2026</v>
      </c>
      <c r="B320" s="62">
        <v>7</v>
      </c>
      <c r="C320" s="62" t="s">
        <v>0</v>
      </c>
      <c r="D320" s="62" t="s">
        <v>2</v>
      </c>
      <c r="E320" s="62">
        <v>233.572</v>
      </c>
      <c r="F320" s="62">
        <v>42.9196</v>
      </c>
      <c r="I320" s="62">
        <v>2026</v>
      </c>
      <c r="J320" s="62">
        <v>7</v>
      </c>
      <c r="K320" s="62" t="s">
        <v>15</v>
      </c>
      <c r="L320" s="62" t="s">
        <v>2</v>
      </c>
      <c r="M320" s="62">
        <v>233.572</v>
      </c>
      <c r="N320" s="62">
        <v>42.9196</v>
      </c>
    </row>
    <row r="321" spans="1:14">
      <c r="A321" s="62">
        <v>2026</v>
      </c>
      <c r="B321" s="62">
        <v>8</v>
      </c>
      <c r="C321" s="62" t="s">
        <v>0</v>
      </c>
      <c r="D321" s="62" t="s">
        <v>2</v>
      </c>
      <c r="E321" s="62">
        <v>204.11</v>
      </c>
      <c r="F321" s="62">
        <v>19.24375</v>
      </c>
      <c r="I321" s="62">
        <v>2026</v>
      </c>
      <c r="J321" s="62">
        <v>8</v>
      </c>
      <c r="K321" s="62" t="s">
        <v>15</v>
      </c>
      <c r="L321" s="62" t="s">
        <v>2</v>
      </c>
      <c r="M321" s="62">
        <v>204.11</v>
      </c>
      <c r="N321" s="62">
        <v>19.24375</v>
      </c>
    </row>
    <row r="322" spans="1:14">
      <c r="A322" s="62">
        <v>2026</v>
      </c>
      <c r="B322" s="62">
        <v>9</v>
      </c>
      <c r="C322" s="62" t="s">
        <v>0</v>
      </c>
      <c r="D322" s="62" t="s">
        <v>2</v>
      </c>
      <c r="E322" s="62">
        <v>1171.8349</v>
      </c>
      <c r="F322" s="62">
        <v>276.3219325</v>
      </c>
      <c r="I322" s="62">
        <v>2026</v>
      </c>
      <c r="J322" s="62">
        <v>9</v>
      </c>
      <c r="K322" s="62" t="s">
        <v>15</v>
      </c>
      <c r="L322" s="62" t="s">
        <v>2</v>
      </c>
      <c r="M322" s="62">
        <v>1171.8349</v>
      </c>
      <c r="N322" s="62">
        <v>276.3219325</v>
      </c>
    </row>
    <row r="323" spans="1:14">
      <c r="A323" s="62">
        <v>2026</v>
      </c>
      <c r="B323" s="62">
        <v>10</v>
      </c>
      <c r="C323" s="62" t="s">
        <v>0</v>
      </c>
      <c r="D323" s="62" t="s">
        <v>2</v>
      </c>
      <c r="E323" s="62">
        <v>1593.294</v>
      </c>
      <c r="F323" s="62">
        <v>423.621605</v>
      </c>
      <c r="I323" s="62">
        <v>2026</v>
      </c>
      <c r="J323" s="62">
        <v>10</v>
      </c>
      <c r="K323" s="62" t="s">
        <v>15</v>
      </c>
      <c r="L323" s="62" t="s">
        <v>2</v>
      </c>
      <c r="M323" s="62">
        <v>1593.294</v>
      </c>
      <c r="N323" s="62">
        <v>423.621605</v>
      </c>
    </row>
    <row r="324" spans="1:14">
      <c r="A324" s="62">
        <v>2026</v>
      </c>
      <c r="B324" s="62">
        <v>11</v>
      </c>
      <c r="C324" s="62" t="s">
        <v>0</v>
      </c>
      <c r="D324" s="62" t="s">
        <v>2</v>
      </c>
      <c r="E324" s="62">
        <v>655.176</v>
      </c>
      <c r="F324" s="62">
        <v>199.66655</v>
      </c>
      <c r="I324" s="62">
        <v>2026</v>
      </c>
      <c r="J324" s="62">
        <v>11</v>
      </c>
      <c r="K324" s="62" t="s">
        <v>15</v>
      </c>
      <c r="L324" s="62" t="s">
        <v>2</v>
      </c>
      <c r="M324" s="62">
        <v>655.176</v>
      </c>
      <c r="N324" s="62">
        <v>199.66655</v>
      </c>
    </row>
    <row r="325" spans="1:14">
      <c r="A325" s="62">
        <v>2026</v>
      </c>
      <c r="B325" s="62">
        <v>12</v>
      </c>
      <c r="C325" s="62" t="s">
        <v>0</v>
      </c>
      <c r="D325" s="62" t="s">
        <v>2</v>
      </c>
      <c r="E325" s="62">
        <v>9.5</v>
      </c>
      <c r="F325" s="62">
        <v>3.12</v>
      </c>
      <c r="I325" s="62">
        <v>2026</v>
      </c>
      <c r="J325" s="62">
        <v>12</v>
      </c>
      <c r="K325" s="62" t="s">
        <v>15</v>
      </c>
      <c r="L325" s="62" t="s">
        <v>2</v>
      </c>
      <c r="M325" s="62">
        <v>9.5</v>
      </c>
      <c r="N325" s="62">
        <v>3.12</v>
      </c>
    </row>
    <row r="326" spans="1:14">
      <c r="A326" s="62">
        <v>2027</v>
      </c>
      <c r="B326" s="62">
        <v>1</v>
      </c>
      <c r="C326" s="62" t="s">
        <v>0</v>
      </c>
      <c r="D326" s="62" t="s">
        <v>2</v>
      </c>
      <c r="E326" s="62">
        <v>1088.333</v>
      </c>
      <c r="F326" s="62">
        <v>293.034375</v>
      </c>
      <c r="I326" s="62">
        <v>2027</v>
      </c>
      <c r="J326" s="62">
        <v>1</v>
      </c>
      <c r="K326" s="62" t="s">
        <v>15</v>
      </c>
      <c r="L326" s="62" t="s">
        <v>2</v>
      </c>
      <c r="M326" s="62">
        <v>1088.333</v>
      </c>
      <c r="N326" s="62">
        <v>293.034375</v>
      </c>
    </row>
    <row r="327" spans="1:14">
      <c r="A327" s="62">
        <v>2027</v>
      </c>
      <c r="B327" s="62">
        <v>2</v>
      </c>
      <c r="C327" s="62" t="s">
        <v>0</v>
      </c>
      <c r="D327" s="62" t="s">
        <v>2</v>
      </c>
      <c r="E327" s="62">
        <v>2092.4001</v>
      </c>
      <c r="F327" s="62">
        <v>526.846765</v>
      </c>
      <c r="I327" s="62">
        <v>2027</v>
      </c>
      <c r="J327" s="62">
        <v>2</v>
      </c>
      <c r="K327" s="62" t="s">
        <v>15</v>
      </c>
      <c r="L327" s="62" t="s">
        <v>2</v>
      </c>
      <c r="M327" s="62">
        <v>2092.4001</v>
      </c>
      <c r="N327" s="62">
        <v>526.846765</v>
      </c>
    </row>
    <row r="328" spans="1:14">
      <c r="A328" s="62">
        <v>2027</v>
      </c>
      <c r="B328" s="62">
        <v>3</v>
      </c>
      <c r="C328" s="62" t="s">
        <v>0</v>
      </c>
      <c r="D328" s="62" t="s">
        <v>2</v>
      </c>
      <c r="E328" s="62">
        <v>2910.1523</v>
      </c>
      <c r="F328" s="62">
        <v>683.76415</v>
      </c>
      <c r="I328" s="62">
        <v>2027</v>
      </c>
      <c r="J328" s="62">
        <v>3</v>
      </c>
      <c r="K328" s="62" t="s">
        <v>15</v>
      </c>
      <c r="L328" s="62" t="s">
        <v>2</v>
      </c>
      <c r="M328" s="62">
        <v>2910.1523</v>
      </c>
      <c r="N328" s="62">
        <v>683.76415</v>
      </c>
    </row>
    <row r="329" spans="1:14">
      <c r="A329" s="62">
        <v>2027</v>
      </c>
      <c r="B329" s="62">
        <v>4</v>
      </c>
      <c r="C329" s="62" t="s">
        <v>0</v>
      </c>
      <c r="D329" s="62" t="s">
        <v>2</v>
      </c>
      <c r="E329" s="62">
        <v>2004.0124</v>
      </c>
      <c r="F329" s="62">
        <v>427.8607175</v>
      </c>
      <c r="I329" s="62">
        <v>2027</v>
      </c>
      <c r="J329" s="62">
        <v>4</v>
      </c>
      <c r="K329" s="62" t="s">
        <v>15</v>
      </c>
      <c r="L329" s="62" t="s">
        <v>2</v>
      </c>
      <c r="M329" s="62">
        <v>2004.0124</v>
      </c>
      <c r="N329" s="62">
        <v>427.8607175</v>
      </c>
    </row>
    <row r="330" spans="1:14">
      <c r="A330" s="62">
        <v>2027</v>
      </c>
      <c r="B330" s="62">
        <v>5</v>
      </c>
      <c r="C330" s="62" t="s">
        <v>0</v>
      </c>
      <c r="D330" s="62" t="s">
        <v>2</v>
      </c>
      <c r="E330" s="62">
        <v>901.152</v>
      </c>
      <c r="F330" s="62">
        <v>179.3469</v>
      </c>
      <c r="I330" s="62">
        <v>2027</v>
      </c>
      <c r="J330" s="62">
        <v>5</v>
      </c>
      <c r="K330" s="62" t="s">
        <v>15</v>
      </c>
      <c r="L330" s="62" t="s">
        <v>2</v>
      </c>
      <c r="M330" s="62">
        <v>901.152</v>
      </c>
      <c r="N330" s="62">
        <v>179.3469</v>
      </c>
    </row>
    <row r="331" spans="1:14">
      <c r="A331" s="62">
        <v>2027</v>
      </c>
      <c r="B331" s="62">
        <v>6</v>
      </c>
      <c r="C331" s="62" t="s">
        <v>0</v>
      </c>
      <c r="D331" s="62" t="s">
        <v>2</v>
      </c>
      <c r="E331" s="62">
        <v>215.305</v>
      </c>
      <c r="F331" s="62">
        <v>62.26075</v>
      </c>
      <c r="I331" s="62">
        <v>2027</v>
      </c>
      <c r="J331" s="62">
        <v>6</v>
      </c>
      <c r="K331" s="62" t="s">
        <v>15</v>
      </c>
      <c r="L331" s="62" t="s">
        <v>2</v>
      </c>
      <c r="M331" s="62">
        <v>215.305</v>
      </c>
      <c r="N331" s="62">
        <v>62.26075</v>
      </c>
    </row>
    <row r="332" spans="1:14">
      <c r="A332" s="62">
        <v>2027</v>
      </c>
      <c r="B332" s="62">
        <v>7</v>
      </c>
      <c r="C332" s="62" t="s">
        <v>0</v>
      </c>
      <c r="D332" s="62" t="s">
        <v>2</v>
      </c>
      <c r="E332" s="62">
        <v>167.5</v>
      </c>
      <c r="F332" s="62">
        <v>61</v>
      </c>
      <c r="I332" s="62">
        <v>2027</v>
      </c>
      <c r="J332" s="62">
        <v>7</v>
      </c>
      <c r="K332" s="62" t="s">
        <v>15</v>
      </c>
      <c r="L332" s="62" t="s">
        <v>2</v>
      </c>
      <c r="M332" s="62">
        <v>167.5</v>
      </c>
      <c r="N332" s="62">
        <v>61</v>
      </c>
    </row>
    <row r="333" spans="1:14">
      <c r="A333" s="62">
        <v>2027</v>
      </c>
      <c r="B333" s="62">
        <v>8</v>
      </c>
      <c r="C333" s="62" t="s">
        <v>0</v>
      </c>
      <c r="D333" s="62" t="s">
        <v>2</v>
      </c>
      <c r="E333" s="62">
        <v>51.06</v>
      </c>
      <c r="F333" s="62">
        <v>17.69</v>
      </c>
      <c r="I333" s="62">
        <v>2027</v>
      </c>
      <c r="J333" s="62">
        <v>8</v>
      </c>
      <c r="K333" s="62" t="s">
        <v>15</v>
      </c>
      <c r="L333" s="62" t="s">
        <v>2</v>
      </c>
      <c r="M333" s="62">
        <v>51.06</v>
      </c>
      <c r="N333" s="62">
        <v>17.69</v>
      </c>
    </row>
    <row r="334" spans="1:14">
      <c r="A334" s="62">
        <v>2027</v>
      </c>
      <c r="B334" s="62">
        <v>9</v>
      </c>
      <c r="C334" s="62" t="s">
        <v>0</v>
      </c>
      <c r="D334" s="62" t="s">
        <v>2</v>
      </c>
      <c r="E334" s="62">
        <v>2986.8719</v>
      </c>
      <c r="F334" s="62">
        <v>567.2165575</v>
      </c>
      <c r="I334" s="62">
        <v>2027</v>
      </c>
      <c r="J334" s="62">
        <v>9</v>
      </c>
      <c r="K334" s="62" t="s">
        <v>15</v>
      </c>
      <c r="L334" s="62" t="s">
        <v>2</v>
      </c>
      <c r="M334" s="62">
        <v>2986.8719</v>
      </c>
      <c r="N334" s="62">
        <v>567.2165575</v>
      </c>
    </row>
    <row r="335" spans="1:14">
      <c r="A335" s="62">
        <v>2027</v>
      </c>
      <c r="B335" s="62">
        <v>10</v>
      </c>
      <c r="C335" s="62" t="s">
        <v>0</v>
      </c>
      <c r="D335" s="62" t="s">
        <v>2</v>
      </c>
      <c r="E335" s="62">
        <v>2955.9469</v>
      </c>
      <c r="F335" s="62">
        <v>580.3807575</v>
      </c>
      <c r="I335" s="62">
        <v>2027</v>
      </c>
      <c r="J335" s="62">
        <v>10</v>
      </c>
      <c r="K335" s="62" t="s">
        <v>15</v>
      </c>
      <c r="L335" s="62" t="s">
        <v>2</v>
      </c>
      <c r="M335" s="62">
        <v>2955.9469</v>
      </c>
      <c r="N335" s="62">
        <v>580.3807575</v>
      </c>
    </row>
    <row r="336" spans="1:14">
      <c r="A336" s="62">
        <v>2027</v>
      </c>
      <c r="B336" s="62">
        <v>11</v>
      </c>
      <c r="C336" s="62" t="s">
        <v>0</v>
      </c>
      <c r="D336" s="62" t="s">
        <v>2</v>
      </c>
      <c r="E336" s="62">
        <v>546.936</v>
      </c>
      <c r="F336" s="62">
        <v>108.275275</v>
      </c>
      <c r="I336" s="62">
        <v>2027</v>
      </c>
      <c r="J336" s="62">
        <v>11</v>
      </c>
      <c r="K336" s="62" t="s">
        <v>15</v>
      </c>
      <c r="L336" s="62" t="s">
        <v>2</v>
      </c>
      <c r="M336" s="62">
        <v>546.936</v>
      </c>
      <c r="N336" s="62">
        <v>108.275275</v>
      </c>
    </row>
    <row r="337" spans="1:14">
      <c r="A337" s="62">
        <v>2027</v>
      </c>
      <c r="B337" s="62">
        <v>12</v>
      </c>
      <c r="C337" s="62" t="s">
        <v>0</v>
      </c>
      <c r="D337" s="62" t="s">
        <v>2</v>
      </c>
      <c r="E337" s="62">
        <v>3.5</v>
      </c>
      <c r="F337" s="62">
        <v>0</v>
      </c>
      <c r="I337" s="62">
        <v>2027</v>
      </c>
      <c r="J337" s="62">
        <v>12</v>
      </c>
      <c r="K337" s="62" t="s">
        <v>15</v>
      </c>
      <c r="L337" s="62" t="s">
        <v>2</v>
      </c>
      <c r="M337" s="62">
        <v>3.5</v>
      </c>
      <c r="N337" s="62">
        <v>0</v>
      </c>
    </row>
    <row r="338" spans="1:14">
      <c r="A338" s="62">
        <v>2014</v>
      </c>
      <c r="B338" s="62">
        <v>1</v>
      </c>
      <c r="C338" s="62" t="s">
        <v>0</v>
      </c>
      <c r="D338" s="62" t="s">
        <v>3</v>
      </c>
      <c r="E338" s="62">
        <v>1091.808</v>
      </c>
      <c r="F338" s="62">
        <v>252.142125</v>
      </c>
      <c r="I338" s="62">
        <v>2014</v>
      </c>
      <c r="J338" s="62">
        <v>1</v>
      </c>
      <c r="K338" s="62" t="s">
        <v>15</v>
      </c>
      <c r="L338" s="62" t="s">
        <v>3</v>
      </c>
      <c r="M338" s="62">
        <v>1091.808</v>
      </c>
      <c r="N338" s="62">
        <v>252.142125</v>
      </c>
    </row>
    <row r="339" spans="1:14">
      <c r="A339" s="62">
        <v>2014</v>
      </c>
      <c r="B339" s="62">
        <v>2</v>
      </c>
      <c r="C339" s="62" t="s">
        <v>0</v>
      </c>
      <c r="D339" s="62" t="s">
        <v>3</v>
      </c>
      <c r="E339" s="62">
        <v>696.3102</v>
      </c>
      <c r="F339" s="62">
        <v>154.198235</v>
      </c>
      <c r="I339" s="62">
        <v>2014</v>
      </c>
      <c r="J339" s="62">
        <v>2</v>
      </c>
      <c r="K339" s="62" t="s">
        <v>15</v>
      </c>
      <c r="L339" s="62" t="s">
        <v>3</v>
      </c>
      <c r="M339" s="62">
        <v>696.3102</v>
      </c>
      <c r="N339" s="62">
        <v>154.198235</v>
      </c>
    </row>
    <row r="340" spans="1:14">
      <c r="A340" s="62">
        <v>2014</v>
      </c>
      <c r="B340" s="62">
        <v>3</v>
      </c>
      <c r="C340" s="62" t="s">
        <v>0</v>
      </c>
      <c r="D340" s="62" t="s">
        <v>3</v>
      </c>
      <c r="E340" s="62">
        <v>786.9754</v>
      </c>
      <c r="F340" s="62">
        <v>182.009105</v>
      </c>
      <c r="I340" s="62">
        <v>2014</v>
      </c>
      <c r="J340" s="62">
        <v>3</v>
      </c>
      <c r="K340" s="62" t="s">
        <v>15</v>
      </c>
      <c r="L340" s="62" t="s">
        <v>3</v>
      </c>
      <c r="M340" s="62">
        <v>786.9754</v>
      </c>
      <c r="N340" s="62">
        <v>182.009105</v>
      </c>
    </row>
    <row r="341" spans="1:14">
      <c r="A341" s="62">
        <v>2014</v>
      </c>
      <c r="B341" s="62">
        <v>4</v>
      </c>
      <c r="C341" s="62" t="s">
        <v>0</v>
      </c>
      <c r="D341" s="62" t="s">
        <v>3</v>
      </c>
      <c r="E341" s="62">
        <v>657.1449</v>
      </c>
      <c r="F341" s="62">
        <v>151.2309075</v>
      </c>
      <c r="I341" s="62">
        <v>2014</v>
      </c>
      <c r="J341" s="62">
        <v>4</v>
      </c>
      <c r="K341" s="62" t="s">
        <v>15</v>
      </c>
      <c r="L341" s="62" t="s">
        <v>3</v>
      </c>
      <c r="M341" s="62">
        <v>657.1449</v>
      </c>
      <c r="N341" s="62">
        <v>151.2309075</v>
      </c>
    </row>
    <row r="342" spans="1:14">
      <c r="A342" s="62">
        <v>2014</v>
      </c>
      <c r="B342" s="62">
        <v>5</v>
      </c>
      <c r="C342" s="62" t="s">
        <v>0</v>
      </c>
      <c r="D342" s="62" t="s">
        <v>3</v>
      </c>
      <c r="E342" s="62">
        <v>349.2213</v>
      </c>
      <c r="F342" s="62">
        <v>97.40676499999999</v>
      </c>
      <c r="I342" s="62">
        <v>2014</v>
      </c>
      <c r="J342" s="62">
        <v>5</v>
      </c>
      <c r="K342" s="62" t="s">
        <v>15</v>
      </c>
      <c r="L342" s="62" t="s">
        <v>3</v>
      </c>
      <c r="M342" s="62">
        <v>349.2213</v>
      </c>
      <c r="N342" s="62">
        <v>97.40676499999999</v>
      </c>
    </row>
    <row r="343" spans="1:14">
      <c r="A343" s="62">
        <v>2014</v>
      </c>
      <c r="B343" s="62">
        <v>6</v>
      </c>
      <c r="C343" s="62" t="s">
        <v>0</v>
      </c>
      <c r="D343" s="62" t="s">
        <v>3</v>
      </c>
      <c r="E343" s="62">
        <v>1015.9734</v>
      </c>
      <c r="F343" s="62">
        <v>284.77089</v>
      </c>
      <c r="I343" s="62">
        <v>2014</v>
      </c>
      <c r="J343" s="62">
        <v>6</v>
      </c>
      <c r="K343" s="62" t="s">
        <v>15</v>
      </c>
      <c r="L343" s="62" t="s">
        <v>3</v>
      </c>
      <c r="M343" s="62">
        <v>1015.9734</v>
      </c>
      <c r="N343" s="62">
        <v>284.77089</v>
      </c>
    </row>
    <row r="344" spans="1:14">
      <c r="A344" s="62">
        <v>2014</v>
      </c>
      <c r="B344" s="62">
        <v>7</v>
      </c>
      <c r="C344" s="62" t="s">
        <v>0</v>
      </c>
      <c r="D344" s="62" t="s">
        <v>3</v>
      </c>
      <c r="E344" s="62">
        <v>775.3200000000001</v>
      </c>
      <c r="F344" s="62">
        <v>218.233475</v>
      </c>
      <c r="I344" s="62">
        <v>2014</v>
      </c>
      <c r="J344" s="62">
        <v>7</v>
      </c>
      <c r="K344" s="62" t="s">
        <v>15</v>
      </c>
      <c r="L344" s="62" t="s">
        <v>3</v>
      </c>
      <c r="M344" s="62">
        <v>775.3200000000001</v>
      </c>
      <c r="N344" s="62">
        <v>218.233475</v>
      </c>
    </row>
    <row r="345" spans="1:14">
      <c r="A345" s="62">
        <v>2014</v>
      </c>
      <c r="B345" s="62">
        <v>8</v>
      </c>
      <c r="C345" s="62" t="s">
        <v>0</v>
      </c>
      <c r="D345" s="62" t="s">
        <v>3</v>
      </c>
      <c r="E345" s="62">
        <v>1105.6216</v>
      </c>
      <c r="F345" s="62">
        <v>284.08738</v>
      </c>
      <c r="I345" s="62">
        <v>2014</v>
      </c>
      <c r="J345" s="62">
        <v>8</v>
      </c>
      <c r="K345" s="62" t="s">
        <v>15</v>
      </c>
      <c r="L345" s="62" t="s">
        <v>3</v>
      </c>
      <c r="M345" s="62">
        <v>1105.6216</v>
      </c>
      <c r="N345" s="62">
        <v>284.08738</v>
      </c>
    </row>
    <row r="346" spans="1:14">
      <c r="A346" s="62">
        <v>2014</v>
      </c>
      <c r="B346" s="62">
        <v>9</v>
      </c>
      <c r="C346" s="62" t="s">
        <v>0</v>
      </c>
      <c r="D346" s="62" t="s">
        <v>3</v>
      </c>
      <c r="E346" s="62">
        <v>1479.6396</v>
      </c>
      <c r="F346" s="62">
        <v>480.94667</v>
      </c>
      <c r="I346" s="62">
        <v>2014</v>
      </c>
      <c r="J346" s="62">
        <v>9</v>
      </c>
      <c r="K346" s="62" t="s">
        <v>15</v>
      </c>
      <c r="L346" s="62" t="s">
        <v>3</v>
      </c>
      <c r="M346" s="62">
        <v>1479.6396</v>
      </c>
      <c r="N346" s="62">
        <v>480.94667</v>
      </c>
    </row>
    <row r="347" spans="1:14">
      <c r="A347" s="62">
        <v>2014</v>
      </c>
      <c r="B347" s="62">
        <v>10</v>
      </c>
      <c r="C347" s="62" t="s">
        <v>0</v>
      </c>
      <c r="D347" s="62" t="s">
        <v>3</v>
      </c>
      <c r="E347" s="62">
        <v>881.328</v>
      </c>
      <c r="F347" s="62">
        <v>293.590925</v>
      </c>
      <c r="I347" s="62">
        <v>2014</v>
      </c>
      <c r="J347" s="62">
        <v>10</v>
      </c>
      <c r="K347" s="62" t="s">
        <v>15</v>
      </c>
      <c r="L347" s="62" t="s">
        <v>3</v>
      </c>
      <c r="M347" s="62">
        <v>881.328</v>
      </c>
      <c r="N347" s="62">
        <v>293.590925</v>
      </c>
    </row>
    <row r="348" spans="1:14">
      <c r="A348" s="62">
        <v>2014</v>
      </c>
      <c r="B348" s="62">
        <v>11</v>
      </c>
      <c r="C348" s="62" t="s">
        <v>0</v>
      </c>
      <c r="D348" s="62" t="s">
        <v>3</v>
      </c>
      <c r="E348" s="62">
        <v>422.7024</v>
      </c>
      <c r="F348" s="62">
        <v>79.96856750000001</v>
      </c>
      <c r="I348" s="62">
        <v>2014</v>
      </c>
      <c r="J348" s="62">
        <v>11</v>
      </c>
      <c r="K348" s="62" t="s">
        <v>15</v>
      </c>
      <c r="L348" s="62" t="s">
        <v>3</v>
      </c>
      <c r="M348" s="62">
        <v>422.7024</v>
      </c>
      <c r="N348" s="62">
        <v>79.96856750000001</v>
      </c>
    </row>
    <row r="349" spans="1:14">
      <c r="A349" s="62">
        <v>2014</v>
      </c>
      <c r="B349" s="62">
        <v>12</v>
      </c>
      <c r="C349" s="62" t="s">
        <v>0</v>
      </c>
      <c r="D349" s="62" t="s">
        <v>3</v>
      </c>
      <c r="E349" s="62">
        <v>399.675</v>
      </c>
      <c r="F349" s="62">
        <v>87.658675</v>
      </c>
      <c r="I349" s="62">
        <v>2014</v>
      </c>
      <c r="J349" s="62">
        <v>12</v>
      </c>
      <c r="K349" s="62" t="s">
        <v>15</v>
      </c>
      <c r="L349" s="62" t="s">
        <v>3</v>
      </c>
      <c r="M349" s="62">
        <v>399.675</v>
      </c>
      <c r="N349" s="62">
        <v>87.658675</v>
      </c>
    </row>
    <row r="350" spans="1:14">
      <c r="A350" s="62">
        <v>2015</v>
      </c>
      <c r="B350" s="62">
        <v>1</v>
      </c>
      <c r="C350" s="62" t="s">
        <v>0</v>
      </c>
      <c r="D350" s="62" t="s">
        <v>3</v>
      </c>
      <c r="E350" s="62">
        <v>1016.8983</v>
      </c>
      <c r="F350" s="62">
        <v>330.72184</v>
      </c>
      <c r="I350" s="62">
        <v>2015</v>
      </c>
      <c r="J350" s="62">
        <v>1</v>
      </c>
      <c r="K350" s="62" t="s">
        <v>15</v>
      </c>
      <c r="L350" s="62" t="s">
        <v>3</v>
      </c>
      <c r="M350" s="62">
        <v>1016.8983</v>
      </c>
      <c r="N350" s="62">
        <v>330.72184</v>
      </c>
    </row>
    <row r="351" spans="1:14">
      <c r="A351" s="62">
        <v>2015</v>
      </c>
      <c r="B351" s="62">
        <v>2</v>
      </c>
      <c r="C351" s="62" t="s">
        <v>0</v>
      </c>
      <c r="D351" s="62" t="s">
        <v>3</v>
      </c>
      <c r="E351" s="62">
        <v>1127.9677</v>
      </c>
      <c r="F351" s="62">
        <v>338.282435</v>
      </c>
      <c r="I351" s="62">
        <v>2015</v>
      </c>
      <c r="J351" s="62">
        <v>2</v>
      </c>
      <c r="K351" s="62" t="s">
        <v>15</v>
      </c>
      <c r="L351" s="62" t="s">
        <v>3</v>
      </c>
      <c r="M351" s="62">
        <v>1127.9677</v>
      </c>
      <c r="N351" s="62">
        <v>338.282435</v>
      </c>
    </row>
    <row r="352" spans="1:14">
      <c r="A352" s="62">
        <v>2015</v>
      </c>
      <c r="B352" s="62">
        <v>3</v>
      </c>
      <c r="C352" s="62" t="s">
        <v>0</v>
      </c>
      <c r="D352" s="62" t="s">
        <v>3</v>
      </c>
      <c r="E352" s="62">
        <v>1167.933</v>
      </c>
      <c r="F352" s="62">
        <v>432.768625</v>
      </c>
      <c r="I352" s="62">
        <v>2015</v>
      </c>
      <c r="J352" s="62">
        <v>3</v>
      </c>
      <c r="K352" s="62" t="s">
        <v>15</v>
      </c>
      <c r="L352" s="62" t="s">
        <v>3</v>
      </c>
      <c r="M352" s="62">
        <v>1167.933</v>
      </c>
      <c r="N352" s="62">
        <v>432.768625</v>
      </c>
    </row>
    <row r="353" spans="1:14">
      <c r="A353" s="62">
        <v>2015</v>
      </c>
      <c r="B353" s="62">
        <v>4</v>
      </c>
      <c r="C353" s="62" t="s">
        <v>0</v>
      </c>
      <c r="D353" s="62" t="s">
        <v>3</v>
      </c>
      <c r="E353" s="62">
        <v>1106.94</v>
      </c>
      <c r="F353" s="62">
        <v>348.283525</v>
      </c>
      <c r="I353" s="62">
        <v>2015</v>
      </c>
      <c r="J353" s="62">
        <v>4</v>
      </c>
      <c r="K353" s="62" t="s">
        <v>15</v>
      </c>
      <c r="L353" s="62" t="s">
        <v>3</v>
      </c>
      <c r="M353" s="62">
        <v>1106.94</v>
      </c>
      <c r="N353" s="62">
        <v>348.283525</v>
      </c>
    </row>
    <row r="354" spans="1:14">
      <c r="A354" s="62">
        <v>2015</v>
      </c>
      <c r="B354" s="62">
        <v>5</v>
      </c>
      <c r="C354" s="62" t="s">
        <v>0</v>
      </c>
      <c r="D354" s="62" t="s">
        <v>3</v>
      </c>
      <c r="E354" s="62">
        <v>920.309</v>
      </c>
      <c r="F354" s="62">
        <v>261.0842375</v>
      </c>
      <c r="I354" s="62">
        <v>2015</v>
      </c>
      <c r="J354" s="62">
        <v>5</v>
      </c>
      <c r="K354" s="62" t="s">
        <v>15</v>
      </c>
      <c r="L354" s="62" t="s">
        <v>3</v>
      </c>
      <c r="M354" s="62">
        <v>920.309</v>
      </c>
      <c r="N354" s="62">
        <v>261.0842375</v>
      </c>
    </row>
    <row r="355" spans="1:14">
      <c r="A355" s="62">
        <v>2015</v>
      </c>
      <c r="B355" s="62">
        <v>6</v>
      </c>
      <c r="C355" s="62" t="s">
        <v>0</v>
      </c>
      <c r="D355" s="62" t="s">
        <v>3</v>
      </c>
      <c r="E355" s="62">
        <v>915.807</v>
      </c>
      <c r="F355" s="62">
        <v>284.78221</v>
      </c>
      <c r="I355" s="62">
        <v>2015</v>
      </c>
      <c r="J355" s="62">
        <v>6</v>
      </c>
      <c r="K355" s="62" t="s">
        <v>15</v>
      </c>
      <c r="L355" s="62" t="s">
        <v>3</v>
      </c>
      <c r="M355" s="62">
        <v>915.807</v>
      </c>
      <c r="N355" s="62">
        <v>284.78221</v>
      </c>
    </row>
    <row r="356" spans="1:14">
      <c r="A356" s="62">
        <v>2015</v>
      </c>
      <c r="B356" s="62">
        <v>7</v>
      </c>
      <c r="C356" s="62" t="s">
        <v>0</v>
      </c>
      <c r="D356" s="62" t="s">
        <v>3</v>
      </c>
      <c r="E356" s="62">
        <v>974.1265</v>
      </c>
      <c r="F356" s="62">
        <v>248.86376</v>
      </c>
      <c r="I356" s="62">
        <v>2015</v>
      </c>
      <c r="J356" s="62">
        <v>7</v>
      </c>
      <c r="K356" s="62" t="s">
        <v>15</v>
      </c>
      <c r="L356" s="62" t="s">
        <v>3</v>
      </c>
      <c r="M356" s="62">
        <v>974.1265</v>
      </c>
      <c r="N356" s="62">
        <v>248.86376</v>
      </c>
    </row>
    <row r="357" spans="1:14">
      <c r="A357" s="62">
        <v>2015</v>
      </c>
      <c r="B357" s="62">
        <v>8</v>
      </c>
      <c r="C357" s="62" t="s">
        <v>0</v>
      </c>
      <c r="D357" s="62" t="s">
        <v>3</v>
      </c>
      <c r="E357" s="62">
        <v>1385.522</v>
      </c>
      <c r="F357" s="62">
        <v>319.9627</v>
      </c>
      <c r="I357" s="62">
        <v>2015</v>
      </c>
      <c r="J357" s="62">
        <v>8</v>
      </c>
      <c r="K357" s="62" t="s">
        <v>15</v>
      </c>
      <c r="L357" s="62" t="s">
        <v>3</v>
      </c>
      <c r="M357" s="62">
        <v>1385.522</v>
      </c>
      <c r="N357" s="62">
        <v>319.9627</v>
      </c>
    </row>
    <row r="358" spans="1:14">
      <c r="A358" s="62">
        <v>2015</v>
      </c>
      <c r="B358" s="62">
        <v>9</v>
      </c>
      <c r="C358" s="62" t="s">
        <v>0</v>
      </c>
      <c r="D358" s="62" t="s">
        <v>3</v>
      </c>
      <c r="E358" s="62">
        <v>1576.8118</v>
      </c>
      <c r="F358" s="62">
        <v>490.904035</v>
      </c>
      <c r="I358" s="62">
        <v>2015</v>
      </c>
      <c r="J358" s="62">
        <v>9</v>
      </c>
      <c r="K358" s="62" t="s">
        <v>15</v>
      </c>
      <c r="L358" s="62" t="s">
        <v>3</v>
      </c>
      <c r="M358" s="62">
        <v>1576.8118</v>
      </c>
      <c r="N358" s="62">
        <v>490.904035</v>
      </c>
    </row>
    <row r="359" spans="1:14">
      <c r="A359" s="62">
        <v>2015</v>
      </c>
      <c r="B359" s="62">
        <v>10</v>
      </c>
      <c r="C359" s="62" t="s">
        <v>0</v>
      </c>
      <c r="D359" s="62" t="s">
        <v>3</v>
      </c>
      <c r="E359" s="62">
        <v>1509.1344</v>
      </c>
      <c r="F359" s="62">
        <v>485.806395</v>
      </c>
      <c r="I359" s="62">
        <v>2015</v>
      </c>
      <c r="J359" s="62">
        <v>10</v>
      </c>
      <c r="K359" s="62" t="s">
        <v>15</v>
      </c>
      <c r="L359" s="62" t="s">
        <v>3</v>
      </c>
      <c r="M359" s="62">
        <v>1509.1344</v>
      </c>
      <c r="N359" s="62">
        <v>485.806395</v>
      </c>
    </row>
    <row r="360" spans="1:14">
      <c r="A360" s="62">
        <v>2015</v>
      </c>
      <c r="B360" s="62">
        <v>11</v>
      </c>
      <c r="C360" s="62" t="s">
        <v>0</v>
      </c>
      <c r="D360" s="62" t="s">
        <v>3</v>
      </c>
      <c r="E360" s="62">
        <v>1089.6099</v>
      </c>
      <c r="F360" s="62">
        <v>300.3517075</v>
      </c>
      <c r="I360" s="62">
        <v>2015</v>
      </c>
      <c r="J360" s="62">
        <v>11</v>
      </c>
      <c r="K360" s="62" t="s">
        <v>15</v>
      </c>
      <c r="L360" s="62" t="s">
        <v>3</v>
      </c>
      <c r="M360" s="62">
        <v>1089.6099</v>
      </c>
      <c r="N360" s="62">
        <v>300.3517075</v>
      </c>
    </row>
    <row r="361" spans="1:14">
      <c r="A361" s="62">
        <v>2015</v>
      </c>
      <c r="B361" s="62">
        <v>12</v>
      </c>
      <c r="C361" s="62" t="s">
        <v>0</v>
      </c>
      <c r="D361" s="62" t="s">
        <v>3</v>
      </c>
      <c r="E361" s="62">
        <v>1081.965</v>
      </c>
      <c r="F361" s="62">
        <v>302.695875</v>
      </c>
      <c r="I361" s="62">
        <v>2015</v>
      </c>
      <c r="J361" s="62">
        <v>12</v>
      </c>
      <c r="K361" s="62" t="s">
        <v>15</v>
      </c>
      <c r="L361" s="62" t="s">
        <v>3</v>
      </c>
      <c r="M361" s="62">
        <v>1081.965</v>
      </c>
      <c r="N361" s="62">
        <v>302.695875</v>
      </c>
    </row>
    <row r="362" spans="1:14">
      <c r="A362" s="62">
        <v>2016</v>
      </c>
      <c r="B362" s="62">
        <v>1</v>
      </c>
      <c r="C362" s="62" t="s">
        <v>0</v>
      </c>
      <c r="D362" s="62" t="s">
        <v>3</v>
      </c>
      <c r="E362" s="62">
        <v>1505.092</v>
      </c>
      <c r="F362" s="62">
        <v>410.611225</v>
      </c>
      <c r="I362" s="62">
        <v>2016</v>
      </c>
      <c r="J362" s="62">
        <v>1</v>
      </c>
      <c r="K362" s="62" t="s">
        <v>15</v>
      </c>
      <c r="L362" s="62" t="s">
        <v>3</v>
      </c>
      <c r="M362" s="62">
        <v>1505.092</v>
      </c>
      <c r="N362" s="62">
        <v>410.611225</v>
      </c>
    </row>
    <row r="363" spans="1:14">
      <c r="A363" s="62">
        <v>2016</v>
      </c>
      <c r="B363" s="62">
        <v>2</v>
      </c>
      <c r="C363" s="62" t="s">
        <v>0</v>
      </c>
      <c r="D363" s="62" t="s">
        <v>3</v>
      </c>
      <c r="E363" s="62">
        <v>1022.2315</v>
      </c>
      <c r="F363" s="62">
        <v>296.6490625</v>
      </c>
      <c r="I363" s="62">
        <v>2016</v>
      </c>
      <c r="J363" s="62">
        <v>2</v>
      </c>
      <c r="K363" s="62" t="s">
        <v>15</v>
      </c>
      <c r="L363" s="62" t="s">
        <v>3</v>
      </c>
      <c r="M363" s="62">
        <v>1022.2315</v>
      </c>
      <c r="N363" s="62">
        <v>296.6490625</v>
      </c>
    </row>
    <row r="364" spans="1:14">
      <c r="A364" s="62">
        <v>2016</v>
      </c>
      <c r="B364" s="62">
        <v>3</v>
      </c>
      <c r="C364" s="62" t="s">
        <v>0</v>
      </c>
      <c r="D364" s="62" t="s">
        <v>3</v>
      </c>
      <c r="E364" s="62">
        <v>594.2286</v>
      </c>
      <c r="F364" s="62">
        <v>172.895505</v>
      </c>
      <c r="I364" s="62">
        <v>2016</v>
      </c>
      <c r="J364" s="62">
        <v>3</v>
      </c>
      <c r="K364" s="62" t="s">
        <v>15</v>
      </c>
      <c r="L364" s="62" t="s">
        <v>3</v>
      </c>
      <c r="M364" s="62">
        <v>594.2286</v>
      </c>
      <c r="N364" s="62">
        <v>172.895505</v>
      </c>
    </row>
    <row r="365" spans="1:14">
      <c r="A365" s="62">
        <v>2016</v>
      </c>
      <c r="B365" s="62">
        <v>4</v>
      </c>
      <c r="C365" s="62" t="s">
        <v>0</v>
      </c>
      <c r="D365" s="62" t="s">
        <v>3</v>
      </c>
      <c r="E365" s="62">
        <v>1205.9936</v>
      </c>
      <c r="F365" s="62">
        <v>415.838355</v>
      </c>
      <c r="I365" s="62">
        <v>2016</v>
      </c>
      <c r="J365" s="62">
        <v>4</v>
      </c>
      <c r="K365" s="62" t="s">
        <v>15</v>
      </c>
      <c r="L365" s="62" t="s">
        <v>3</v>
      </c>
      <c r="M365" s="62">
        <v>1205.9936</v>
      </c>
      <c r="N365" s="62">
        <v>415.838355</v>
      </c>
    </row>
    <row r="366" spans="1:14">
      <c r="A366" s="62">
        <v>2016</v>
      </c>
      <c r="B366" s="62">
        <v>5</v>
      </c>
      <c r="C366" s="62" t="s">
        <v>0</v>
      </c>
      <c r="D366" s="62" t="s">
        <v>3</v>
      </c>
      <c r="E366" s="62">
        <v>757.0985000000001</v>
      </c>
      <c r="F366" s="62">
        <v>280.7942525</v>
      </c>
      <c r="I366" s="62">
        <v>2016</v>
      </c>
      <c r="J366" s="62">
        <v>5</v>
      </c>
      <c r="K366" s="62" t="s">
        <v>15</v>
      </c>
      <c r="L366" s="62" t="s">
        <v>3</v>
      </c>
      <c r="M366" s="62">
        <v>757.0985000000001</v>
      </c>
      <c r="N366" s="62">
        <v>280.7942525</v>
      </c>
    </row>
    <row r="367" spans="1:14">
      <c r="A367" s="62">
        <v>2016</v>
      </c>
      <c r="B367" s="62">
        <v>6</v>
      </c>
      <c r="C367" s="62" t="s">
        <v>0</v>
      </c>
      <c r="D367" s="62" t="s">
        <v>3</v>
      </c>
      <c r="E367" s="62">
        <v>381.444</v>
      </c>
      <c r="F367" s="62">
        <v>136.97175</v>
      </c>
      <c r="I367" s="62">
        <v>2016</v>
      </c>
      <c r="J367" s="62">
        <v>6</v>
      </c>
      <c r="K367" s="62" t="s">
        <v>15</v>
      </c>
      <c r="L367" s="62" t="s">
        <v>3</v>
      </c>
      <c r="M367" s="62">
        <v>381.444</v>
      </c>
      <c r="N367" s="62">
        <v>136.97175</v>
      </c>
    </row>
    <row r="368" spans="1:14">
      <c r="A368" s="62">
        <v>2016</v>
      </c>
      <c r="B368" s="62">
        <v>7</v>
      </c>
      <c r="C368" s="62" t="s">
        <v>0</v>
      </c>
      <c r="D368" s="62" t="s">
        <v>3</v>
      </c>
      <c r="E368" s="62">
        <v>290.304</v>
      </c>
      <c r="F368" s="62">
        <v>95.85062500000001</v>
      </c>
      <c r="I368" s="62">
        <v>2016</v>
      </c>
      <c r="J368" s="62">
        <v>7</v>
      </c>
      <c r="K368" s="62" t="s">
        <v>15</v>
      </c>
      <c r="L368" s="62" t="s">
        <v>3</v>
      </c>
      <c r="M368" s="62">
        <v>290.304</v>
      </c>
      <c r="N368" s="62">
        <v>95.85062500000001</v>
      </c>
    </row>
    <row r="369" spans="1:14">
      <c r="A369" s="62">
        <v>2016</v>
      </c>
      <c r="B369" s="62">
        <v>8</v>
      </c>
      <c r="C369" s="62" t="s">
        <v>0</v>
      </c>
      <c r="D369" s="62" t="s">
        <v>3</v>
      </c>
      <c r="E369" s="62">
        <v>536.9645</v>
      </c>
      <c r="F369" s="62">
        <v>179.235375</v>
      </c>
      <c r="I369" s="62">
        <v>2016</v>
      </c>
      <c r="J369" s="62">
        <v>8</v>
      </c>
      <c r="K369" s="62" t="s">
        <v>15</v>
      </c>
      <c r="L369" s="62" t="s">
        <v>3</v>
      </c>
      <c r="M369" s="62">
        <v>536.9645</v>
      </c>
      <c r="N369" s="62">
        <v>179.235375</v>
      </c>
    </row>
    <row r="370" spans="1:14">
      <c r="A370" s="62">
        <v>2016</v>
      </c>
      <c r="B370" s="62">
        <v>9</v>
      </c>
      <c r="C370" s="62" t="s">
        <v>0</v>
      </c>
      <c r="D370" s="62" t="s">
        <v>3</v>
      </c>
      <c r="E370" s="62">
        <v>943.1655</v>
      </c>
      <c r="F370" s="62">
        <v>191.4481</v>
      </c>
      <c r="I370" s="62">
        <v>2016</v>
      </c>
      <c r="J370" s="62">
        <v>9</v>
      </c>
      <c r="K370" s="62" t="s">
        <v>15</v>
      </c>
      <c r="L370" s="62" t="s">
        <v>3</v>
      </c>
      <c r="M370" s="62">
        <v>943.1655</v>
      </c>
      <c r="N370" s="62">
        <v>191.4481</v>
      </c>
    </row>
    <row r="371" spans="1:14">
      <c r="A371" s="62">
        <v>2016</v>
      </c>
      <c r="B371" s="62">
        <v>10</v>
      </c>
      <c r="C371" s="62" t="s">
        <v>0</v>
      </c>
      <c r="D371" s="62" t="s">
        <v>3</v>
      </c>
      <c r="E371" s="62">
        <v>1303.7341</v>
      </c>
      <c r="F371" s="62">
        <v>314.8285925</v>
      </c>
      <c r="I371" s="62">
        <v>2016</v>
      </c>
      <c r="J371" s="62">
        <v>10</v>
      </c>
      <c r="K371" s="62" t="s">
        <v>15</v>
      </c>
      <c r="L371" s="62" t="s">
        <v>3</v>
      </c>
      <c r="M371" s="62">
        <v>1303.7341</v>
      </c>
      <c r="N371" s="62">
        <v>314.8285925</v>
      </c>
    </row>
    <row r="372" spans="1:14">
      <c r="A372" s="62">
        <v>2016</v>
      </c>
      <c r="B372" s="62">
        <v>11</v>
      </c>
      <c r="C372" s="62" t="s">
        <v>0</v>
      </c>
      <c r="D372" s="62" t="s">
        <v>3</v>
      </c>
      <c r="E372" s="62">
        <v>911.2675</v>
      </c>
      <c r="F372" s="62">
        <v>240.3606</v>
      </c>
      <c r="I372" s="62">
        <v>2016</v>
      </c>
      <c r="J372" s="62">
        <v>11</v>
      </c>
      <c r="K372" s="62" t="s">
        <v>15</v>
      </c>
      <c r="L372" s="62" t="s">
        <v>3</v>
      </c>
      <c r="M372" s="62">
        <v>911.2675</v>
      </c>
      <c r="N372" s="62">
        <v>240.3606</v>
      </c>
    </row>
    <row r="373" spans="1:14">
      <c r="A373" s="62">
        <v>2016</v>
      </c>
      <c r="B373" s="62">
        <v>12</v>
      </c>
      <c r="C373" s="62" t="s">
        <v>0</v>
      </c>
      <c r="D373" s="62" t="s">
        <v>3</v>
      </c>
      <c r="E373" s="62">
        <v>575.0338</v>
      </c>
      <c r="F373" s="62">
        <v>107.960755</v>
      </c>
      <c r="I373" s="62">
        <v>2016</v>
      </c>
      <c r="J373" s="62">
        <v>12</v>
      </c>
      <c r="K373" s="62" t="s">
        <v>15</v>
      </c>
      <c r="L373" s="62" t="s">
        <v>3</v>
      </c>
      <c r="M373" s="62">
        <v>575.0338</v>
      </c>
      <c r="N373" s="62">
        <v>107.960755</v>
      </c>
    </row>
    <row r="374" spans="1:14">
      <c r="A374" s="62">
        <v>2017</v>
      </c>
      <c r="B374" s="62">
        <v>1</v>
      </c>
      <c r="C374" s="62" t="s">
        <v>0</v>
      </c>
      <c r="D374" s="62" t="s">
        <v>3</v>
      </c>
      <c r="E374" s="62">
        <v>1223.1632</v>
      </c>
      <c r="F374" s="62">
        <v>296.863975</v>
      </c>
      <c r="I374" s="62">
        <v>2017</v>
      </c>
      <c r="J374" s="62">
        <v>1</v>
      </c>
      <c r="K374" s="62" t="s">
        <v>15</v>
      </c>
      <c r="L374" s="62" t="s">
        <v>3</v>
      </c>
      <c r="M374" s="62">
        <v>1223.1632</v>
      </c>
      <c r="N374" s="62">
        <v>296.863975</v>
      </c>
    </row>
    <row r="375" spans="1:14">
      <c r="A375" s="62">
        <v>2017</v>
      </c>
      <c r="B375" s="62">
        <v>2</v>
      </c>
      <c r="C375" s="62" t="s">
        <v>0</v>
      </c>
      <c r="D375" s="62" t="s">
        <v>3</v>
      </c>
      <c r="E375" s="62">
        <v>1377.6975</v>
      </c>
      <c r="F375" s="62">
        <v>332.016425</v>
      </c>
      <c r="I375" s="62">
        <v>2017</v>
      </c>
      <c r="J375" s="62">
        <v>2</v>
      </c>
      <c r="K375" s="62" t="s">
        <v>15</v>
      </c>
      <c r="L375" s="62" t="s">
        <v>3</v>
      </c>
      <c r="M375" s="62">
        <v>1377.6975</v>
      </c>
      <c r="N375" s="62">
        <v>332.016425</v>
      </c>
    </row>
    <row r="376" spans="1:14">
      <c r="A376" s="62">
        <v>2017</v>
      </c>
      <c r="B376" s="62">
        <v>3</v>
      </c>
      <c r="C376" s="62" t="s">
        <v>0</v>
      </c>
      <c r="D376" s="62" t="s">
        <v>3</v>
      </c>
      <c r="E376" s="62">
        <v>1098.88</v>
      </c>
      <c r="F376" s="62">
        <v>279.59015</v>
      </c>
      <c r="I376" s="62">
        <v>2017</v>
      </c>
      <c r="J376" s="62">
        <v>3</v>
      </c>
      <c r="K376" s="62" t="s">
        <v>15</v>
      </c>
      <c r="L376" s="62" t="s">
        <v>3</v>
      </c>
      <c r="M376" s="62">
        <v>1098.88</v>
      </c>
      <c r="N376" s="62">
        <v>279.59015</v>
      </c>
    </row>
    <row r="377" spans="1:14">
      <c r="A377" s="62">
        <v>2017</v>
      </c>
      <c r="B377" s="62">
        <v>4</v>
      </c>
      <c r="C377" s="62" t="s">
        <v>0</v>
      </c>
      <c r="D377" s="62" t="s">
        <v>3</v>
      </c>
      <c r="E377" s="62">
        <v>546.3244999999999</v>
      </c>
      <c r="F377" s="62">
        <v>192.3131625</v>
      </c>
      <c r="I377" s="62">
        <v>2017</v>
      </c>
      <c r="J377" s="62">
        <v>4</v>
      </c>
      <c r="K377" s="62" t="s">
        <v>15</v>
      </c>
      <c r="L377" s="62" t="s">
        <v>3</v>
      </c>
      <c r="M377" s="62">
        <v>546.3244999999999</v>
      </c>
      <c r="N377" s="62">
        <v>192.3131625</v>
      </c>
    </row>
    <row r="378" spans="1:14">
      <c r="A378" s="62">
        <v>2017</v>
      </c>
      <c r="B378" s="62">
        <v>5</v>
      </c>
      <c r="C378" s="62" t="s">
        <v>0</v>
      </c>
      <c r="D378" s="62" t="s">
        <v>3</v>
      </c>
      <c r="E378" s="62">
        <v>755.8305</v>
      </c>
      <c r="F378" s="62">
        <v>220.5101875</v>
      </c>
      <c r="I378" s="62">
        <v>2017</v>
      </c>
      <c r="J378" s="62">
        <v>5</v>
      </c>
      <c r="K378" s="62" t="s">
        <v>15</v>
      </c>
      <c r="L378" s="62" t="s">
        <v>3</v>
      </c>
      <c r="M378" s="62">
        <v>755.8305</v>
      </c>
      <c r="N378" s="62">
        <v>220.5101875</v>
      </c>
    </row>
    <row r="379" spans="1:14">
      <c r="A379" s="62">
        <v>2017</v>
      </c>
      <c r="B379" s="62">
        <v>6</v>
      </c>
      <c r="C379" s="62" t="s">
        <v>0</v>
      </c>
      <c r="D379" s="62" t="s">
        <v>3</v>
      </c>
      <c r="E379" s="62">
        <v>314.91</v>
      </c>
      <c r="F379" s="62">
        <v>77.66975000000001</v>
      </c>
      <c r="I379" s="62">
        <v>2017</v>
      </c>
      <c r="J379" s="62">
        <v>6</v>
      </c>
      <c r="K379" s="62" t="s">
        <v>15</v>
      </c>
      <c r="L379" s="62" t="s">
        <v>3</v>
      </c>
      <c r="M379" s="62">
        <v>314.91</v>
      </c>
      <c r="N379" s="62">
        <v>77.66975000000001</v>
      </c>
    </row>
    <row r="380" spans="1:14">
      <c r="A380" s="62">
        <v>2017</v>
      </c>
      <c r="B380" s="62">
        <v>7</v>
      </c>
      <c r="C380" s="62" t="s">
        <v>0</v>
      </c>
      <c r="D380" s="62" t="s">
        <v>3</v>
      </c>
      <c r="E380" s="62">
        <v>403.1188</v>
      </c>
      <c r="F380" s="62">
        <v>140.1381225</v>
      </c>
      <c r="I380" s="62">
        <v>2017</v>
      </c>
      <c r="J380" s="62">
        <v>7</v>
      </c>
      <c r="K380" s="62" t="s">
        <v>15</v>
      </c>
      <c r="L380" s="62" t="s">
        <v>3</v>
      </c>
      <c r="M380" s="62">
        <v>403.1188</v>
      </c>
      <c r="N380" s="62">
        <v>140.1381225</v>
      </c>
    </row>
    <row r="381" spans="1:14">
      <c r="A381" s="62">
        <v>2017</v>
      </c>
      <c r="B381" s="62">
        <v>8</v>
      </c>
      <c r="C381" s="62" t="s">
        <v>0</v>
      </c>
      <c r="D381" s="62" t="s">
        <v>3</v>
      </c>
      <c r="E381" s="62">
        <v>2384.3951</v>
      </c>
      <c r="F381" s="62">
        <v>519.6263275</v>
      </c>
      <c r="I381" s="62">
        <v>2017</v>
      </c>
      <c r="J381" s="62">
        <v>8</v>
      </c>
      <c r="K381" s="62" t="s">
        <v>15</v>
      </c>
      <c r="L381" s="62" t="s">
        <v>3</v>
      </c>
      <c r="M381" s="62">
        <v>2384.3951</v>
      </c>
      <c r="N381" s="62">
        <v>519.6263275</v>
      </c>
    </row>
    <row r="382" spans="1:14">
      <c r="A382" s="62">
        <v>2017</v>
      </c>
      <c r="B382" s="62">
        <v>9</v>
      </c>
      <c r="C382" s="62" t="s">
        <v>0</v>
      </c>
      <c r="D382" s="62" t="s">
        <v>3</v>
      </c>
      <c r="E382" s="62">
        <v>7104.3935</v>
      </c>
      <c r="F382" s="62">
        <v>1581.9366375</v>
      </c>
      <c r="I382" s="62">
        <v>2017</v>
      </c>
      <c r="J382" s="62">
        <v>9</v>
      </c>
      <c r="K382" s="62" t="s">
        <v>15</v>
      </c>
      <c r="L382" s="62" t="s">
        <v>3</v>
      </c>
      <c r="M382" s="62">
        <v>7104.3935</v>
      </c>
      <c r="N382" s="62">
        <v>1581.9366375</v>
      </c>
    </row>
    <row r="383" spans="1:14">
      <c r="A383" s="62">
        <v>2017</v>
      </c>
      <c r="B383" s="62">
        <v>10</v>
      </c>
      <c r="C383" s="62" t="s">
        <v>0</v>
      </c>
      <c r="D383" s="62" t="s">
        <v>3</v>
      </c>
      <c r="E383" s="62">
        <v>1394.2902</v>
      </c>
      <c r="F383" s="62">
        <v>358.629985</v>
      </c>
      <c r="I383" s="62">
        <v>2017</v>
      </c>
      <c r="J383" s="62">
        <v>10</v>
      </c>
      <c r="K383" s="62" t="s">
        <v>15</v>
      </c>
      <c r="L383" s="62" t="s">
        <v>3</v>
      </c>
      <c r="M383" s="62">
        <v>1394.2902</v>
      </c>
      <c r="N383" s="62">
        <v>358.629985</v>
      </c>
    </row>
    <row r="384" spans="1:14">
      <c r="A384" s="62">
        <v>2017</v>
      </c>
      <c r="B384" s="62">
        <v>11</v>
      </c>
      <c r="C384" s="62" t="s">
        <v>0</v>
      </c>
      <c r="D384" s="62" t="s">
        <v>3</v>
      </c>
      <c r="E384" s="62">
        <v>862.5840000000001</v>
      </c>
      <c r="F384" s="62">
        <v>300.640125</v>
      </c>
      <c r="I384" s="62">
        <v>2017</v>
      </c>
      <c r="J384" s="62">
        <v>11</v>
      </c>
      <c r="K384" s="62" t="s">
        <v>15</v>
      </c>
      <c r="L384" s="62" t="s">
        <v>3</v>
      </c>
      <c r="M384" s="62">
        <v>862.5840000000001</v>
      </c>
      <c r="N384" s="62">
        <v>300.640125</v>
      </c>
    </row>
    <row r="385" spans="1:14">
      <c r="A385" s="62">
        <v>2017</v>
      </c>
      <c r="B385" s="62">
        <v>12</v>
      </c>
      <c r="C385" s="62" t="s">
        <v>0</v>
      </c>
      <c r="D385" s="62" t="s">
        <v>3</v>
      </c>
      <c r="E385" s="62">
        <v>340.569</v>
      </c>
      <c r="F385" s="62">
        <v>100.821325</v>
      </c>
      <c r="I385" s="62">
        <v>2017</v>
      </c>
      <c r="J385" s="62">
        <v>12</v>
      </c>
      <c r="K385" s="62" t="s">
        <v>15</v>
      </c>
      <c r="L385" s="62" t="s">
        <v>3</v>
      </c>
      <c r="M385" s="62">
        <v>340.569</v>
      </c>
      <c r="N385" s="62">
        <v>100.821325</v>
      </c>
    </row>
    <row r="386" spans="1:14">
      <c r="A386" s="62">
        <v>2018</v>
      </c>
      <c r="B386" s="62">
        <v>1</v>
      </c>
      <c r="C386" s="62" t="s">
        <v>0</v>
      </c>
      <c r="D386" s="62" t="s">
        <v>3</v>
      </c>
      <c r="E386" s="62">
        <v>852.6345</v>
      </c>
      <c r="F386" s="62">
        <v>191.2492125</v>
      </c>
      <c r="I386" s="62">
        <v>2018</v>
      </c>
      <c r="J386" s="62">
        <v>1</v>
      </c>
      <c r="K386" s="62" t="s">
        <v>15</v>
      </c>
      <c r="L386" s="62" t="s">
        <v>3</v>
      </c>
      <c r="M386" s="62">
        <v>852.6345</v>
      </c>
      <c r="N386" s="62">
        <v>191.2492125</v>
      </c>
    </row>
    <row r="387" spans="1:14">
      <c r="A387" s="62">
        <v>2018</v>
      </c>
      <c r="B387" s="62">
        <v>2</v>
      </c>
      <c r="C387" s="62" t="s">
        <v>0</v>
      </c>
      <c r="D387" s="62" t="s">
        <v>3</v>
      </c>
      <c r="E387" s="62">
        <v>1453.9124</v>
      </c>
      <c r="F387" s="62">
        <v>293.590905</v>
      </c>
      <c r="I387" s="62">
        <v>2018</v>
      </c>
      <c r="J387" s="62">
        <v>2</v>
      </c>
      <c r="K387" s="62" t="s">
        <v>15</v>
      </c>
      <c r="L387" s="62" t="s">
        <v>3</v>
      </c>
      <c r="M387" s="62">
        <v>1453.9124</v>
      </c>
      <c r="N387" s="62">
        <v>293.590905</v>
      </c>
    </row>
    <row r="388" spans="1:14">
      <c r="A388" s="62">
        <v>2018</v>
      </c>
      <c r="B388" s="62">
        <v>3</v>
      </c>
      <c r="C388" s="62" t="s">
        <v>0</v>
      </c>
      <c r="D388" s="62" t="s">
        <v>3</v>
      </c>
      <c r="E388" s="62">
        <v>893.0537</v>
      </c>
      <c r="F388" s="62">
        <v>209.9335775</v>
      </c>
      <c r="I388" s="62">
        <v>2018</v>
      </c>
      <c r="J388" s="62">
        <v>3</v>
      </c>
      <c r="K388" s="62" t="s">
        <v>15</v>
      </c>
      <c r="L388" s="62" t="s">
        <v>3</v>
      </c>
      <c r="M388" s="62">
        <v>893.0537</v>
      </c>
      <c r="N388" s="62">
        <v>209.9335775</v>
      </c>
    </row>
    <row r="389" spans="1:14">
      <c r="A389" s="62">
        <v>2018</v>
      </c>
      <c r="B389" s="62">
        <v>4</v>
      </c>
      <c r="C389" s="62" t="s">
        <v>0</v>
      </c>
      <c r="D389" s="62" t="s">
        <v>3</v>
      </c>
      <c r="E389" s="62">
        <v>981.5375</v>
      </c>
      <c r="F389" s="62">
        <v>286.1062875</v>
      </c>
      <c r="I389" s="62">
        <v>2018</v>
      </c>
      <c r="J389" s="62">
        <v>4</v>
      </c>
      <c r="K389" s="62" t="s">
        <v>15</v>
      </c>
      <c r="L389" s="62" t="s">
        <v>3</v>
      </c>
      <c r="M389" s="62">
        <v>981.5375</v>
      </c>
      <c r="N389" s="62">
        <v>286.1062875</v>
      </c>
    </row>
    <row r="390" spans="1:14">
      <c r="A390" s="62">
        <v>2018</v>
      </c>
      <c r="B390" s="62">
        <v>5</v>
      </c>
      <c r="C390" s="62" t="s">
        <v>0</v>
      </c>
      <c r="D390" s="62" t="s">
        <v>3</v>
      </c>
      <c r="E390" s="62">
        <v>858.2673</v>
      </c>
      <c r="F390" s="62">
        <v>232.4909875</v>
      </c>
      <c r="I390" s="62">
        <v>2018</v>
      </c>
      <c r="J390" s="62">
        <v>5</v>
      </c>
      <c r="K390" s="62" t="s">
        <v>15</v>
      </c>
      <c r="L390" s="62" t="s">
        <v>3</v>
      </c>
      <c r="M390" s="62">
        <v>858.2673</v>
      </c>
      <c r="N390" s="62">
        <v>232.4909875</v>
      </c>
    </row>
    <row r="391" spans="1:14">
      <c r="A391" s="62">
        <v>2018</v>
      </c>
      <c r="B391" s="62">
        <v>6</v>
      </c>
      <c r="C391" s="62" t="s">
        <v>0</v>
      </c>
      <c r="D391" s="62" t="s">
        <v>3</v>
      </c>
      <c r="E391" s="62">
        <v>626.549</v>
      </c>
      <c r="F391" s="62">
        <v>176.294475</v>
      </c>
      <c r="I391" s="62">
        <v>2018</v>
      </c>
      <c r="J391" s="62">
        <v>6</v>
      </c>
      <c r="K391" s="62" t="s">
        <v>15</v>
      </c>
      <c r="L391" s="62" t="s">
        <v>3</v>
      </c>
      <c r="M391" s="62">
        <v>626.549</v>
      </c>
      <c r="N391" s="62">
        <v>176.294475</v>
      </c>
    </row>
    <row r="392" spans="1:14">
      <c r="A392" s="62">
        <v>2018</v>
      </c>
      <c r="B392" s="62">
        <v>7</v>
      </c>
      <c r="C392" s="62" t="s">
        <v>0</v>
      </c>
      <c r="D392" s="62" t="s">
        <v>3</v>
      </c>
      <c r="E392" s="62">
        <v>1245.1376</v>
      </c>
      <c r="F392" s="62">
        <v>321.22905</v>
      </c>
      <c r="I392" s="62">
        <v>2018</v>
      </c>
      <c r="J392" s="62">
        <v>7</v>
      </c>
      <c r="K392" s="62" t="s">
        <v>15</v>
      </c>
      <c r="L392" s="62" t="s">
        <v>3</v>
      </c>
      <c r="M392" s="62">
        <v>1245.1376</v>
      </c>
      <c r="N392" s="62">
        <v>321.22905</v>
      </c>
    </row>
    <row r="393" spans="1:14">
      <c r="A393" s="62">
        <v>2018</v>
      </c>
      <c r="B393" s="62">
        <v>8</v>
      </c>
      <c r="C393" s="62" t="s">
        <v>0</v>
      </c>
      <c r="D393" s="62" t="s">
        <v>3</v>
      </c>
      <c r="E393" s="62">
        <v>1072.9289</v>
      </c>
      <c r="F393" s="62">
        <v>286.9503575</v>
      </c>
      <c r="I393" s="62">
        <v>2018</v>
      </c>
      <c r="J393" s="62">
        <v>8</v>
      </c>
      <c r="K393" s="62" t="s">
        <v>15</v>
      </c>
      <c r="L393" s="62" t="s">
        <v>3</v>
      </c>
      <c r="M393" s="62">
        <v>1072.9289</v>
      </c>
      <c r="N393" s="62">
        <v>286.9503575</v>
      </c>
    </row>
    <row r="394" spans="1:14">
      <c r="A394" s="62">
        <v>2018</v>
      </c>
      <c r="B394" s="62">
        <v>9</v>
      </c>
      <c r="C394" s="62" t="s">
        <v>0</v>
      </c>
      <c r="D394" s="62" t="s">
        <v>3</v>
      </c>
      <c r="E394" s="62">
        <v>1216.8304</v>
      </c>
      <c r="F394" s="62">
        <v>277.6653375</v>
      </c>
      <c r="I394" s="62">
        <v>2018</v>
      </c>
      <c r="J394" s="62">
        <v>9</v>
      </c>
      <c r="K394" s="62" t="s">
        <v>15</v>
      </c>
      <c r="L394" s="62" t="s">
        <v>3</v>
      </c>
      <c r="M394" s="62">
        <v>1216.8304</v>
      </c>
      <c r="N394" s="62">
        <v>277.6653375</v>
      </c>
    </row>
    <row r="395" spans="1:14">
      <c r="A395" s="62">
        <v>2018</v>
      </c>
      <c r="B395" s="62">
        <v>10</v>
      </c>
      <c r="C395" s="62" t="s">
        <v>0</v>
      </c>
      <c r="D395" s="62" t="s">
        <v>3</v>
      </c>
      <c r="E395" s="62">
        <v>998.991</v>
      </c>
      <c r="F395" s="62">
        <v>226.94848</v>
      </c>
      <c r="I395" s="62">
        <v>2018</v>
      </c>
      <c r="J395" s="62">
        <v>10</v>
      </c>
      <c r="K395" s="62" t="s">
        <v>15</v>
      </c>
      <c r="L395" s="62" t="s">
        <v>3</v>
      </c>
      <c r="M395" s="62">
        <v>998.991</v>
      </c>
      <c r="N395" s="62">
        <v>226.94848</v>
      </c>
    </row>
    <row r="396" spans="1:14">
      <c r="A396" s="62">
        <v>2018</v>
      </c>
      <c r="B396" s="62">
        <v>11</v>
      </c>
      <c r="C396" s="62" t="s">
        <v>0</v>
      </c>
      <c r="D396" s="62" t="s">
        <v>3</v>
      </c>
      <c r="E396" s="62">
        <v>679.7406</v>
      </c>
      <c r="F396" s="62">
        <v>168.9166175</v>
      </c>
      <c r="I396" s="62">
        <v>2018</v>
      </c>
      <c r="J396" s="62">
        <v>11</v>
      </c>
      <c r="K396" s="62" t="s">
        <v>15</v>
      </c>
      <c r="L396" s="62" t="s">
        <v>3</v>
      </c>
      <c r="M396" s="62">
        <v>679.7406</v>
      </c>
      <c r="N396" s="62">
        <v>168.9166175</v>
      </c>
    </row>
    <row r="397" spans="1:14">
      <c r="A397" s="62">
        <v>2018</v>
      </c>
      <c r="B397" s="62">
        <v>12</v>
      </c>
      <c r="C397" s="62" t="s">
        <v>0</v>
      </c>
      <c r="D397" s="62" t="s">
        <v>3</v>
      </c>
      <c r="E397" s="62">
        <v>489.008</v>
      </c>
      <c r="F397" s="62">
        <v>132.847475</v>
      </c>
      <c r="I397" s="62">
        <v>2018</v>
      </c>
      <c r="J397" s="62">
        <v>12</v>
      </c>
      <c r="K397" s="62" t="s">
        <v>15</v>
      </c>
      <c r="L397" s="62" t="s">
        <v>3</v>
      </c>
      <c r="M397" s="62">
        <v>489.008</v>
      </c>
      <c r="N397" s="62">
        <v>132.847475</v>
      </c>
    </row>
    <row r="398" spans="1:14">
      <c r="A398" s="62">
        <v>2019</v>
      </c>
      <c r="B398" s="62">
        <v>1</v>
      </c>
      <c r="C398" s="62" t="s">
        <v>0</v>
      </c>
      <c r="D398" s="62" t="s">
        <v>3</v>
      </c>
      <c r="E398" s="62">
        <v>1617.9368</v>
      </c>
      <c r="F398" s="62">
        <v>483.37131</v>
      </c>
      <c r="I398" s="62">
        <v>2019</v>
      </c>
      <c r="J398" s="62">
        <v>1</v>
      </c>
      <c r="K398" s="62" t="s">
        <v>15</v>
      </c>
      <c r="L398" s="62" t="s">
        <v>3</v>
      </c>
      <c r="M398" s="62">
        <v>1617.9368</v>
      </c>
      <c r="N398" s="62">
        <v>483.37131</v>
      </c>
    </row>
    <row r="399" spans="1:14">
      <c r="A399" s="62">
        <v>2019</v>
      </c>
      <c r="B399" s="62">
        <v>2</v>
      </c>
      <c r="C399" s="62" t="s">
        <v>0</v>
      </c>
      <c r="D399" s="62" t="s">
        <v>3</v>
      </c>
      <c r="E399" s="62">
        <v>2865.9575</v>
      </c>
      <c r="F399" s="62">
        <v>709.4242475</v>
      </c>
      <c r="I399" s="62">
        <v>2019</v>
      </c>
      <c r="J399" s="62">
        <v>2</v>
      </c>
      <c r="K399" s="62" t="s">
        <v>15</v>
      </c>
      <c r="L399" s="62" t="s">
        <v>3</v>
      </c>
      <c r="M399" s="62">
        <v>2865.9575</v>
      </c>
      <c r="N399" s="62">
        <v>709.4242475</v>
      </c>
    </row>
    <row r="400" spans="1:14">
      <c r="A400" s="62">
        <v>2019</v>
      </c>
      <c r="B400" s="62">
        <v>3</v>
      </c>
      <c r="C400" s="62" t="s">
        <v>0</v>
      </c>
      <c r="D400" s="62" t="s">
        <v>3</v>
      </c>
      <c r="E400" s="62">
        <v>2350.2258</v>
      </c>
      <c r="F400" s="62">
        <v>647.0914025</v>
      </c>
      <c r="I400" s="62">
        <v>2019</v>
      </c>
      <c r="J400" s="62">
        <v>3</v>
      </c>
      <c r="K400" s="62" t="s">
        <v>15</v>
      </c>
      <c r="L400" s="62" t="s">
        <v>3</v>
      </c>
      <c r="M400" s="62">
        <v>2350.2258</v>
      </c>
      <c r="N400" s="62">
        <v>647.0914025</v>
      </c>
    </row>
    <row r="401" spans="1:14">
      <c r="A401" s="62">
        <v>2019</v>
      </c>
      <c r="B401" s="62">
        <v>4</v>
      </c>
      <c r="C401" s="62" t="s">
        <v>0</v>
      </c>
      <c r="D401" s="62" t="s">
        <v>3</v>
      </c>
      <c r="E401" s="62">
        <v>2246.306</v>
      </c>
      <c r="F401" s="62">
        <v>547.489275</v>
      </c>
      <c r="I401" s="62">
        <v>2019</v>
      </c>
      <c r="J401" s="62">
        <v>4</v>
      </c>
      <c r="K401" s="62" t="s">
        <v>15</v>
      </c>
      <c r="L401" s="62" t="s">
        <v>3</v>
      </c>
      <c r="M401" s="62">
        <v>2246.306</v>
      </c>
      <c r="N401" s="62">
        <v>547.489275</v>
      </c>
    </row>
    <row r="402" spans="1:14">
      <c r="A402" s="62">
        <v>2019</v>
      </c>
      <c r="B402" s="62">
        <v>5</v>
      </c>
      <c r="C402" s="62" t="s">
        <v>0</v>
      </c>
      <c r="D402" s="62" t="s">
        <v>3</v>
      </c>
      <c r="E402" s="62">
        <v>1541.8013</v>
      </c>
      <c r="F402" s="62">
        <v>398.0797525</v>
      </c>
      <c r="I402" s="62">
        <v>2019</v>
      </c>
      <c r="J402" s="62">
        <v>5</v>
      </c>
      <c r="K402" s="62" t="s">
        <v>15</v>
      </c>
      <c r="L402" s="62" t="s">
        <v>3</v>
      </c>
      <c r="M402" s="62">
        <v>1541.8013</v>
      </c>
      <c r="N402" s="62">
        <v>398.0797525</v>
      </c>
    </row>
    <row r="403" spans="1:14">
      <c r="A403" s="62">
        <v>2019</v>
      </c>
      <c r="B403" s="62">
        <v>6</v>
      </c>
      <c r="C403" s="62" t="s">
        <v>0</v>
      </c>
      <c r="D403" s="62" t="s">
        <v>3</v>
      </c>
      <c r="E403" s="62">
        <v>1242.576</v>
      </c>
      <c r="F403" s="62">
        <v>293.36755</v>
      </c>
      <c r="I403" s="62">
        <v>2019</v>
      </c>
      <c r="J403" s="62">
        <v>6</v>
      </c>
      <c r="K403" s="62" t="s">
        <v>15</v>
      </c>
      <c r="L403" s="62" t="s">
        <v>3</v>
      </c>
      <c r="M403" s="62">
        <v>1242.576</v>
      </c>
      <c r="N403" s="62">
        <v>293.36755</v>
      </c>
    </row>
    <row r="404" spans="1:14">
      <c r="A404" s="62">
        <v>2019</v>
      </c>
      <c r="B404" s="62">
        <v>7</v>
      </c>
      <c r="C404" s="62" t="s">
        <v>0</v>
      </c>
      <c r="D404" s="62" t="s">
        <v>3</v>
      </c>
      <c r="E404" s="62">
        <v>1082.7676</v>
      </c>
      <c r="F404" s="62">
        <v>295.9259775</v>
      </c>
      <c r="I404" s="62">
        <v>2019</v>
      </c>
      <c r="J404" s="62">
        <v>7</v>
      </c>
      <c r="K404" s="62" t="s">
        <v>15</v>
      </c>
      <c r="L404" s="62" t="s">
        <v>3</v>
      </c>
      <c r="M404" s="62">
        <v>1082.7676</v>
      </c>
      <c r="N404" s="62">
        <v>295.9259775</v>
      </c>
    </row>
    <row r="405" spans="1:14">
      <c r="A405" s="62">
        <v>2019</v>
      </c>
      <c r="B405" s="62">
        <v>8</v>
      </c>
      <c r="C405" s="62" t="s">
        <v>0</v>
      </c>
      <c r="D405" s="62" t="s">
        <v>3</v>
      </c>
      <c r="E405" s="62">
        <v>636.3903</v>
      </c>
      <c r="F405" s="62">
        <v>207.5968625</v>
      </c>
      <c r="I405" s="62">
        <v>2019</v>
      </c>
      <c r="J405" s="62">
        <v>8</v>
      </c>
      <c r="K405" s="62" t="s">
        <v>15</v>
      </c>
      <c r="L405" s="62" t="s">
        <v>3</v>
      </c>
      <c r="M405" s="62">
        <v>636.3903</v>
      </c>
      <c r="N405" s="62">
        <v>207.5968625</v>
      </c>
    </row>
    <row r="406" spans="1:14">
      <c r="A406" s="62">
        <v>2019</v>
      </c>
      <c r="B406" s="62">
        <v>9</v>
      </c>
      <c r="C406" s="62" t="s">
        <v>0</v>
      </c>
      <c r="D406" s="62" t="s">
        <v>3</v>
      </c>
      <c r="E406" s="62">
        <v>1504.4449</v>
      </c>
      <c r="F406" s="62">
        <v>350.0744575</v>
      </c>
      <c r="I406" s="62">
        <v>2019</v>
      </c>
      <c r="J406" s="62">
        <v>9</v>
      </c>
      <c r="K406" s="62" t="s">
        <v>15</v>
      </c>
      <c r="L406" s="62" t="s">
        <v>3</v>
      </c>
      <c r="M406" s="62">
        <v>1504.4449</v>
      </c>
      <c r="N406" s="62">
        <v>350.0744575</v>
      </c>
    </row>
    <row r="407" spans="1:14">
      <c r="A407" s="62">
        <v>2019</v>
      </c>
      <c r="B407" s="62">
        <v>10</v>
      </c>
      <c r="C407" s="62" t="s">
        <v>0</v>
      </c>
      <c r="D407" s="62" t="s">
        <v>3</v>
      </c>
      <c r="E407" s="62">
        <v>1572.9723</v>
      </c>
      <c r="F407" s="62">
        <v>396.3788025</v>
      </c>
      <c r="I407" s="62">
        <v>2019</v>
      </c>
      <c r="J407" s="62">
        <v>10</v>
      </c>
      <c r="K407" s="62" t="s">
        <v>15</v>
      </c>
      <c r="L407" s="62" t="s">
        <v>3</v>
      </c>
      <c r="M407" s="62">
        <v>1572.9723</v>
      </c>
      <c r="N407" s="62">
        <v>396.3788025</v>
      </c>
    </row>
    <row r="408" spans="1:14">
      <c r="A408" s="62">
        <v>2019</v>
      </c>
      <c r="B408" s="62">
        <v>11</v>
      </c>
      <c r="C408" s="62" t="s">
        <v>0</v>
      </c>
      <c r="D408" s="62" t="s">
        <v>3</v>
      </c>
      <c r="E408" s="62">
        <v>1098.645</v>
      </c>
      <c r="F408" s="62">
        <v>298.674925</v>
      </c>
      <c r="I408" s="62">
        <v>2019</v>
      </c>
      <c r="J408" s="62">
        <v>11</v>
      </c>
      <c r="K408" s="62" t="s">
        <v>15</v>
      </c>
      <c r="L408" s="62" t="s">
        <v>3</v>
      </c>
      <c r="M408" s="62">
        <v>1098.645</v>
      </c>
      <c r="N408" s="62">
        <v>298.674925</v>
      </c>
    </row>
    <row r="409" spans="1:14">
      <c r="A409" s="62">
        <v>2019</v>
      </c>
      <c r="B409" s="62">
        <v>12</v>
      </c>
      <c r="C409" s="62" t="s">
        <v>0</v>
      </c>
      <c r="D409" s="62" t="s">
        <v>3</v>
      </c>
      <c r="E409" s="62">
        <v>575.3808</v>
      </c>
      <c r="F409" s="62">
        <v>138.286145</v>
      </c>
      <c r="I409" s="62">
        <v>2019</v>
      </c>
      <c r="J409" s="62">
        <v>12</v>
      </c>
      <c r="K409" s="62" t="s">
        <v>15</v>
      </c>
      <c r="L409" s="62" t="s">
        <v>3</v>
      </c>
      <c r="M409" s="62">
        <v>575.3808</v>
      </c>
      <c r="N409" s="62">
        <v>138.286145</v>
      </c>
    </row>
    <row r="410" spans="1:14">
      <c r="A410" s="62">
        <v>2020</v>
      </c>
      <c r="B410" s="62">
        <v>1</v>
      </c>
      <c r="C410" s="62" t="s">
        <v>0</v>
      </c>
      <c r="D410" s="62" t="s">
        <v>3</v>
      </c>
      <c r="E410" s="62">
        <v>1232.0382</v>
      </c>
      <c r="F410" s="62">
        <v>350.453275</v>
      </c>
      <c r="I410" s="62">
        <v>2020</v>
      </c>
      <c r="J410" s="62">
        <v>1</v>
      </c>
      <c r="K410" s="62" t="s">
        <v>15</v>
      </c>
      <c r="L410" s="62" t="s">
        <v>3</v>
      </c>
      <c r="M410" s="62">
        <v>1232.0382</v>
      </c>
      <c r="N410" s="62">
        <v>350.453275</v>
      </c>
    </row>
    <row r="411" spans="1:14">
      <c r="A411" s="62">
        <v>2020</v>
      </c>
      <c r="B411" s="62">
        <v>2</v>
      </c>
      <c r="C411" s="62" t="s">
        <v>0</v>
      </c>
      <c r="D411" s="62" t="s">
        <v>3</v>
      </c>
      <c r="E411" s="62">
        <v>1892.5551</v>
      </c>
      <c r="F411" s="62">
        <v>704.2035425</v>
      </c>
      <c r="I411" s="62">
        <v>2020</v>
      </c>
      <c r="J411" s="62">
        <v>2</v>
      </c>
      <c r="K411" s="62" t="s">
        <v>15</v>
      </c>
      <c r="L411" s="62" t="s">
        <v>3</v>
      </c>
      <c r="M411" s="62">
        <v>1892.5551</v>
      </c>
      <c r="N411" s="62">
        <v>704.2035425</v>
      </c>
    </row>
    <row r="412" spans="1:14">
      <c r="A412" s="62">
        <v>2020</v>
      </c>
      <c r="B412" s="62">
        <v>3</v>
      </c>
      <c r="C412" s="62" t="s">
        <v>0</v>
      </c>
      <c r="D412" s="62" t="s">
        <v>3</v>
      </c>
      <c r="E412" s="62">
        <v>3124.2728</v>
      </c>
      <c r="F412" s="62">
        <v>870.8893425</v>
      </c>
      <c r="I412" s="62">
        <v>2020</v>
      </c>
      <c r="J412" s="62">
        <v>3</v>
      </c>
      <c r="K412" s="62" t="s">
        <v>15</v>
      </c>
      <c r="L412" s="62" t="s">
        <v>3</v>
      </c>
      <c r="M412" s="62">
        <v>3124.2728</v>
      </c>
      <c r="N412" s="62">
        <v>870.8893425</v>
      </c>
    </row>
    <row r="413" spans="1:14">
      <c r="A413" s="62">
        <v>2020</v>
      </c>
      <c r="B413" s="62">
        <v>4</v>
      </c>
      <c r="C413" s="62" t="s">
        <v>0</v>
      </c>
      <c r="D413" s="62" t="s">
        <v>3</v>
      </c>
      <c r="E413" s="62">
        <v>13100.4646</v>
      </c>
      <c r="F413" s="62">
        <v>3006.722475</v>
      </c>
      <c r="I413" s="62">
        <v>2020</v>
      </c>
      <c r="J413" s="62">
        <v>4</v>
      </c>
      <c r="K413" s="62" t="s">
        <v>15</v>
      </c>
      <c r="L413" s="62" t="s">
        <v>3</v>
      </c>
      <c r="M413" s="62">
        <v>13100.4646</v>
      </c>
      <c r="N413" s="62">
        <v>3006.722475</v>
      </c>
    </row>
    <row r="414" spans="1:14">
      <c r="A414" s="62">
        <v>2020</v>
      </c>
      <c r="B414" s="62">
        <v>5</v>
      </c>
      <c r="C414" s="62" t="s">
        <v>0</v>
      </c>
      <c r="D414" s="62" t="s">
        <v>3</v>
      </c>
      <c r="E414" s="62">
        <v>13302.6049</v>
      </c>
      <c r="F414" s="62">
        <v>3030.5731875</v>
      </c>
      <c r="I414" s="62">
        <v>2020</v>
      </c>
      <c r="J414" s="62">
        <v>5</v>
      </c>
      <c r="K414" s="62" t="s">
        <v>15</v>
      </c>
      <c r="L414" s="62" t="s">
        <v>3</v>
      </c>
      <c r="M414" s="62">
        <v>13302.6049</v>
      </c>
      <c r="N414" s="62">
        <v>3030.5731875</v>
      </c>
    </row>
    <row r="415" spans="1:14">
      <c r="A415" s="62">
        <v>2020</v>
      </c>
      <c r="B415" s="62">
        <v>6</v>
      </c>
      <c r="C415" s="62" t="s">
        <v>0</v>
      </c>
      <c r="D415" s="62" t="s">
        <v>3</v>
      </c>
      <c r="E415" s="62">
        <v>13008.8655</v>
      </c>
      <c r="F415" s="62">
        <v>2984.4636275</v>
      </c>
      <c r="I415" s="62">
        <v>2020</v>
      </c>
      <c r="J415" s="62">
        <v>6</v>
      </c>
      <c r="K415" s="62" t="s">
        <v>15</v>
      </c>
      <c r="L415" s="62" t="s">
        <v>3</v>
      </c>
      <c r="M415" s="62">
        <v>13008.8655</v>
      </c>
      <c r="N415" s="62">
        <v>2984.4636275</v>
      </c>
    </row>
    <row r="416" spans="1:14">
      <c r="A416" s="62">
        <v>2020</v>
      </c>
      <c r="B416" s="62">
        <v>7</v>
      </c>
      <c r="C416" s="62" t="s">
        <v>0</v>
      </c>
      <c r="D416" s="62" t="s">
        <v>3</v>
      </c>
      <c r="E416" s="62">
        <v>12854.361</v>
      </c>
      <c r="F416" s="62">
        <v>2896.2087</v>
      </c>
      <c r="I416" s="62">
        <v>2020</v>
      </c>
      <c r="J416" s="62">
        <v>7</v>
      </c>
      <c r="K416" s="62" t="s">
        <v>15</v>
      </c>
      <c r="L416" s="62" t="s">
        <v>3</v>
      </c>
      <c r="M416" s="62">
        <v>12854.361</v>
      </c>
      <c r="N416" s="62">
        <v>2896.2087</v>
      </c>
    </row>
    <row r="417" spans="1:14">
      <c r="A417" s="62">
        <v>2020</v>
      </c>
      <c r="B417" s="62">
        <v>8</v>
      </c>
      <c r="C417" s="62" t="s">
        <v>0</v>
      </c>
      <c r="D417" s="62" t="s">
        <v>3</v>
      </c>
      <c r="E417" s="62">
        <v>13570.9941</v>
      </c>
      <c r="F417" s="62">
        <v>2886.0321875</v>
      </c>
      <c r="I417" s="62">
        <v>2020</v>
      </c>
      <c r="J417" s="62">
        <v>8</v>
      </c>
      <c r="K417" s="62" t="s">
        <v>15</v>
      </c>
      <c r="L417" s="62" t="s">
        <v>3</v>
      </c>
      <c r="M417" s="62">
        <v>13570.9941</v>
      </c>
      <c r="N417" s="62">
        <v>2886.0321875</v>
      </c>
    </row>
    <row r="418" spans="1:14">
      <c r="A418" s="62">
        <v>2020</v>
      </c>
      <c r="B418" s="62">
        <v>9</v>
      </c>
      <c r="C418" s="62" t="s">
        <v>0</v>
      </c>
      <c r="D418" s="62" t="s">
        <v>3</v>
      </c>
      <c r="E418" s="62">
        <v>14728.0855</v>
      </c>
      <c r="F418" s="62">
        <v>3198.14096</v>
      </c>
      <c r="I418" s="62">
        <v>2020</v>
      </c>
      <c r="J418" s="62">
        <v>9</v>
      </c>
      <c r="K418" s="62" t="s">
        <v>15</v>
      </c>
      <c r="L418" s="62" t="s">
        <v>3</v>
      </c>
      <c r="M418" s="62">
        <v>14728.0855</v>
      </c>
      <c r="N418" s="62">
        <v>3198.14096</v>
      </c>
    </row>
    <row r="419" spans="1:14">
      <c r="A419" s="62">
        <v>2020</v>
      </c>
      <c r="B419" s="62">
        <v>10</v>
      </c>
      <c r="C419" s="62" t="s">
        <v>0</v>
      </c>
      <c r="D419" s="62" t="s">
        <v>3</v>
      </c>
      <c r="E419" s="62">
        <v>13735.7158</v>
      </c>
      <c r="F419" s="62">
        <v>3020.3005775</v>
      </c>
      <c r="I419" s="62">
        <v>2020</v>
      </c>
      <c r="J419" s="62">
        <v>10</v>
      </c>
      <c r="K419" s="62" t="s">
        <v>15</v>
      </c>
      <c r="L419" s="62" t="s">
        <v>3</v>
      </c>
      <c r="M419" s="62">
        <v>13735.7158</v>
      </c>
      <c r="N419" s="62">
        <v>3020.3005775</v>
      </c>
    </row>
    <row r="420" spans="1:14">
      <c r="A420" s="62">
        <v>2020</v>
      </c>
      <c r="B420" s="62">
        <v>11</v>
      </c>
      <c r="C420" s="62" t="s">
        <v>0</v>
      </c>
      <c r="D420" s="62" t="s">
        <v>3</v>
      </c>
      <c r="E420" s="62">
        <v>12124.4143</v>
      </c>
      <c r="F420" s="62">
        <v>2646.6423075</v>
      </c>
      <c r="I420" s="62">
        <v>2020</v>
      </c>
      <c r="J420" s="62">
        <v>11</v>
      </c>
      <c r="K420" s="62" t="s">
        <v>15</v>
      </c>
      <c r="L420" s="62" t="s">
        <v>3</v>
      </c>
      <c r="M420" s="62">
        <v>12124.4143</v>
      </c>
      <c r="N420" s="62">
        <v>2646.6423075</v>
      </c>
    </row>
    <row r="421" spans="1:14">
      <c r="A421" s="62">
        <v>2020</v>
      </c>
      <c r="B421" s="62">
        <v>12</v>
      </c>
      <c r="C421" s="62" t="s">
        <v>0</v>
      </c>
      <c r="D421" s="62" t="s">
        <v>3</v>
      </c>
      <c r="E421" s="62">
        <v>12105.8737</v>
      </c>
      <c r="F421" s="62">
        <v>2644.4630425</v>
      </c>
      <c r="I421" s="62">
        <v>2020</v>
      </c>
      <c r="J421" s="62">
        <v>12</v>
      </c>
      <c r="K421" s="62" t="s">
        <v>15</v>
      </c>
      <c r="L421" s="62" t="s">
        <v>3</v>
      </c>
      <c r="M421" s="62">
        <v>12105.8737</v>
      </c>
      <c r="N421" s="62">
        <v>2644.4630425</v>
      </c>
    </row>
    <row r="422" spans="1:14">
      <c r="A422" s="62">
        <v>2021</v>
      </c>
      <c r="B422" s="62">
        <v>1</v>
      </c>
      <c r="C422" s="62" t="s">
        <v>0</v>
      </c>
      <c r="D422" s="62" t="s">
        <v>3</v>
      </c>
      <c r="E422" s="62">
        <v>11996.4125</v>
      </c>
      <c r="F422" s="62">
        <v>2640.6363175</v>
      </c>
      <c r="I422" s="62">
        <v>2021</v>
      </c>
      <c r="J422" s="62">
        <v>1</v>
      </c>
      <c r="K422" s="62" t="s">
        <v>15</v>
      </c>
      <c r="L422" s="62" t="s">
        <v>3</v>
      </c>
      <c r="M422" s="62">
        <v>11996.4125</v>
      </c>
      <c r="N422" s="62">
        <v>2640.6363175</v>
      </c>
    </row>
    <row r="423" spans="1:14">
      <c r="A423" s="62">
        <v>2021</v>
      </c>
      <c r="B423" s="62">
        <v>2</v>
      </c>
      <c r="C423" s="62" t="s">
        <v>0</v>
      </c>
      <c r="D423" s="62" t="s">
        <v>3</v>
      </c>
      <c r="E423" s="62">
        <v>17022.1441</v>
      </c>
      <c r="F423" s="62">
        <v>3925.570025</v>
      </c>
      <c r="I423" s="62">
        <v>2021</v>
      </c>
      <c r="J423" s="62">
        <v>2</v>
      </c>
      <c r="K423" s="62" t="s">
        <v>15</v>
      </c>
      <c r="L423" s="62" t="s">
        <v>3</v>
      </c>
      <c r="M423" s="62">
        <v>17022.1441</v>
      </c>
      <c r="N423" s="62">
        <v>3925.570025</v>
      </c>
    </row>
    <row r="424" spans="1:14">
      <c r="A424" s="62">
        <v>2021</v>
      </c>
      <c r="B424" s="62">
        <v>3</v>
      </c>
      <c r="C424" s="62" t="s">
        <v>0</v>
      </c>
      <c r="D424" s="62" t="s">
        <v>3</v>
      </c>
      <c r="E424" s="62">
        <v>11357.6837</v>
      </c>
      <c r="F424" s="62">
        <v>2511.7503</v>
      </c>
      <c r="I424" s="62">
        <v>2021</v>
      </c>
      <c r="J424" s="62">
        <v>3</v>
      </c>
      <c r="K424" s="62" t="s">
        <v>15</v>
      </c>
      <c r="L424" s="62" t="s">
        <v>3</v>
      </c>
      <c r="M424" s="62">
        <v>11357.6837</v>
      </c>
      <c r="N424" s="62">
        <v>2511.7503</v>
      </c>
    </row>
    <row r="425" spans="1:14">
      <c r="A425" s="62">
        <v>2021</v>
      </c>
      <c r="B425" s="62">
        <v>4</v>
      </c>
      <c r="C425" s="62" t="s">
        <v>0</v>
      </c>
      <c r="D425" s="62" t="s">
        <v>3</v>
      </c>
      <c r="E425" s="62">
        <v>5399.945</v>
      </c>
      <c r="F425" s="62">
        <v>1276.96817</v>
      </c>
      <c r="I425" s="62">
        <v>2021</v>
      </c>
      <c r="J425" s="62">
        <v>4</v>
      </c>
      <c r="K425" s="62" t="s">
        <v>15</v>
      </c>
      <c r="L425" s="62" t="s">
        <v>3</v>
      </c>
      <c r="M425" s="62">
        <v>5399.945</v>
      </c>
      <c r="N425" s="62">
        <v>1276.96817</v>
      </c>
    </row>
    <row r="426" spans="1:14">
      <c r="A426" s="62">
        <v>2021</v>
      </c>
      <c r="B426" s="62">
        <v>5</v>
      </c>
      <c r="C426" s="62" t="s">
        <v>0</v>
      </c>
      <c r="D426" s="62" t="s">
        <v>3</v>
      </c>
      <c r="E426" s="62">
        <v>2294.947</v>
      </c>
      <c r="F426" s="62">
        <v>562.288945</v>
      </c>
      <c r="I426" s="62">
        <v>2021</v>
      </c>
      <c r="J426" s="62">
        <v>5</v>
      </c>
      <c r="K426" s="62" t="s">
        <v>15</v>
      </c>
      <c r="L426" s="62" t="s">
        <v>3</v>
      </c>
      <c r="M426" s="62">
        <v>2294.947</v>
      </c>
      <c r="N426" s="62">
        <v>562.288945</v>
      </c>
    </row>
    <row r="427" spans="1:14">
      <c r="A427" s="62">
        <v>2021</v>
      </c>
      <c r="B427" s="62">
        <v>6</v>
      </c>
      <c r="C427" s="62" t="s">
        <v>0</v>
      </c>
      <c r="D427" s="62" t="s">
        <v>3</v>
      </c>
      <c r="E427" s="62">
        <v>2256.6982</v>
      </c>
      <c r="F427" s="62">
        <v>520.84727</v>
      </c>
      <c r="I427" s="62">
        <v>2021</v>
      </c>
      <c r="J427" s="62">
        <v>6</v>
      </c>
      <c r="K427" s="62" t="s">
        <v>15</v>
      </c>
      <c r="L427" s="62" t="s">
        <v>3</v>
      </c>
      <c r="M427" s="62">
        <v>2256.6982</v>
      </c>
      <c r="N427" s="62">
        <v>520.84727</v>
      </c>
    </row>
    <row r="428" spans="1:14">
      <c r="A428" s="62">
        <v>2021</v>
      </c>
      <c r="B428" s="62">
        <v>7</v>
      </c>
      <c r="C428" s="62" t="s">
        <v>0</v>
      </c>
      <c r="D428" s="62" t="s">
        <v>3</v>
      </c>
      <c r="E428" s="62">
        <v>1720.6524</v>
      </c>
      <c r="F428" s="62">
        <v>465.0061</v>
      </c>
      <c r="I428" s="62">
        <v>2021</v>
      </c>
      <c r="J428" s="62">
        <v>7</v>
      </c>
      <c r="K428" s="62" t="s">
        <v>15</v>
      </c>
      <c r="L428" s="62" t="s">
        <v>3</v>
      </c>
      <c r="M428" s="62">
        <v>1720.6524</v>
      </c>
      <c r="N428" s="62">
        <v>465.0061</v>
      </c>
    </row>
    <row r="429" spans="1:14">
      <c r="A429" s="62">
        <v>2021</v>
      </c>
      <c r="B429" s="62">
        <v>8</v>
      </c>
      <c r="C429" s="62" t="s">
        <v>0</v>
      </c>
      <c r="D429" s="62" t="s">
        <v>3</v>
      </c>
      <c r="E429" s="62">
        <v>2236.4022</v>
      </c>
      <c r="F429" s="62">
        <v>585.504305</v>
      </c>
      <c r="I429" s="62">
        <v>2021</v>
      </c>
      <c r="J429" s="62">
        <v>8</v>
      </c>
      <c r="K429" s="62" t="s">
        <v>15</v>
      </c>
      <c r="L429" s="62" t="s">
        <v>3</v>
      </c>
      <c r="M429" s="62">
        <v>2236.4022</v>
      </c>
      <c r="N429" s="62">
        <v>585.504305</v>
      </c>
    </row>
    <row r="430" spans="1:14">
      <c r="A430" s="62">
        <v>2021</v>
      </c>
      <c r="B430" s="62">
        <v>9</v>
      </c>
      <c r="C430" s="62" t="s">
        <v>0</v>
      </c>
      <c r="D430" s="62" t="s">
        <v>3</v>
      </c>
      <c r="E430" s="62">
        <v>5009.9912</v>
      </c>
      <c r="F430" s="62">
        <v>1211.232925</v>
      </c>
      <c r="I430" s="62">
        <v>2021</v>
      </c>
      <c r="J430" s="62">
        <v>9</v>
      </c>
      <c r="K430" s="62" t="s">
        <v>15</v>
      </c>
      <c r="L430" s="62" t="s">
        <v>3</v>
      </c>
      <c r="M430" s="62">
        <v>5009.9912</v>
      </c>
      <c r="N430" s="62">
        <v>1211.232925</v>
      </c>
    </row>
    <row r="431" spans="1:14">
      <c r="A431" s="62">
        <v>2021</v>
      </c>
      <c r="B431" s="62">
        <v>10</v>
      </c>
      <c r="C431" s="62" t="s">
        <v>0</v>
      </c>
      <c r="D431" s="62" t="s">
        <v>3</v>
      </c>
      <c r="E431" s="62">
        <v>3932.9572</v>
      </c>
      <c r="F431" s="62">
        <v>1056.9961</v>
      </c>
      <c r="I431" s="62">
        <v>2021</v>
      </c>
      <c r="J431" s="62">
        <v>10</v>
      </c>
      <c r="K431" s="62" t="s">
        <v>15</v>
      </c>
      <c r="L431" s="62" t="s">
        <v>3</v>
      </c>
      <c r="M431" s="62">
        <v>3932.9572</v>
      </c>
      <c r="N431" s="62">
        <v>1056.9961</v>
      </c>
    </row>
    <row r="432" spans="1:14">
      <c r="A432" s="62">
        <v>2021</v>
      </c>
      <c r="B432" s="62">
        <v>11</v>
      </c>
      <c r="C432" s="62" t="s">
        <v>0</v>
      </c>
      <c r="D432" s="62" t="s">
        <v>3</v>
      </c>
      <c r="E432" s="62">
        <v>2535.736</v>
      </c>
      <c r="F432" s="62">
        <v>624.82245</v>
      </c>
      <c r="I432" s="62">
        <v>2021</v>
      </c>
      <c r="J432" s="62">
        <v>11</v>
      </c>
      <c r="K432" s="62" t="s">
        <v>15</v>
      </c>
      <c r="L432" s="62" t="s">
        <v>3</v>
      </c>
      <c r="M432" s="62">
        <v>2535.736</v>
      </c>
      <c r="N432" s="62">
        <v>624.82245</v>
      </c>
    </row>
    <row r="433" spans="1:14">
      <c r="A433" s="62">
        <v>2021</v>
      </c>
      <c r="B433" s="62">
        <v>12</v>
      </c>
      <c r="C433" s="62" t="s">
        <v>0</v>
      </c>
      <c r="D433" s="62" t="s">
        <v>3</v>
      </c>
      <c r="E433" s="62">
        <v>1807.8542</v>
      </c>
      <c r="F433" s="62">
        <v>494.28991</v>
      </c>
      <c r="I433" s="62">
        <v>2021</v>
      </c>
      <c r="J433" s="62">
        <v>12</v>
      </c>
      <c r="K433" s="62" t="s">
        <v>15</v>
      </c>
      <c r="L433" s="62" t="s">
        <v>3</v>
      </c>
      <c r="M433" s="62">
        <v>1807.8542</v>
      </c>
      <c r="N433" s="62">
        <v>494.28991</v>
      </c>
    </row>
    <row r="434" spans="1:14">
      <c r="A434" s="62">
        <v>2022</v>
      </c>
      <c r="B434" s="62">
        <v>1</v>
      </c>
      <c r="C434" s="62" t="s">
        <v>0</v>
      </c>
      <c r="D434" s="62" t="s">
        <v>3</v>
      </c>
      <c r="E434" s="62">
        <v>2136.4074</v>
      </c>
      <c r="F434" s="62">
        <v>638.05978</v>
      </c>
      <c r="I434" s="62">
        <v>2022</v>
      </c>
      <c r="J434" s="62">
        <v>1</v>
      </c>
      <c r="K434" s="62" t="s">
        <v>15</v>
      </c>
      <c r="L434" s="62" t="s">
        <v>3</v>
      </c>
      <c r="M434" s="62">
        <v>2136.4074</v>
      </c>
      <c r="N434" s="62">
        <v>638.05978</v>
      </c>
    </row>
    <row r="435" spans="1:14">
      <c r="A435" s="62">
        <v>2022</v>
      </c>
      <c r="B435" s="62">
        <v>2</v>
      </c>
      <c r="C435" s="62" t="s">
        <v>0</v>
      </c>
      <c r="D435" s="62" t="s">
        <v>3</v>
      </c>
      <c r="E435" s="62">
        <v>2560.138</v>
      </c>
      <c r="F435" s="62">
        <v>577.72235</v>
      </c>
      <c r="I435" s="62">
        <v>2022</v>
      </c>
      <c r="J435" s="62">
        <v>2</v>
      </c>
      <c r="K435" s="62" t="s">
        <v>15</v>
      </c>
      <c r="L435" s="62" t="s">
        <v>3</v>
      </c>
      <c r="M435" s="62">
        <v>2560.138</v>
      </c>
      <c r="N435" s="62">
        <v>577.72235</v>
      </c>
    </row>
    <row r="436" spans="1:14">
      <c r="A436" s="62">
        <v>2022</v>
      </c>
      <c r="B436" s="62">
        <v>3</v>
      </c>
      <c r="C436" s="62" t="s">
        <v>0</v>
      </c>
      <c r="D436" s="62" t="s">
        <v>3</v>
      </c>
      <c r="E436" s="62">
        <v>1897.7965</v>
      </c>
      <c r="F436" s="62">
        <v>441.372675</v>
      </c>
      <c r="I436" s="62">
        <v>2022</v>
      </c>
      <c r="J436" s="62">
        <v>3</v>
      </c>
      <c r="K436" s="62" t="s">
        <v>15</v>
      </c>
      <c r="L436" s="62" t="s">
        <v>3</v>
      </c>
      <c r="M436" s="62">
        <v>1897.7965</v>
      </c>
      <c r="N436" s="62">
        <v>441.372675</v>
      </c>
    </row>
    <row r="437" spans="1:14">
      <c r="A437" s="62">
        <v>2022</v>
      </c>
      <c r="B437" s="62">
        <v>4</v>
      </c>
      <c r="C437" s="62" t="s">
        <v>0</v>
      </c>
      <c r="D437" s="62" t="s">
        <v>3</v>
      </c>
      <c r="E437" s="62">
        <v>2126.5569</v>
      </c>
      <c r="F437" s="62">
        <v>492.864165</v>
      </c>
      <c r="I437" s="62">
        <v>2022</v>
      </c>
      <c r="J437" s="62">
        <v>4</v>
      </c>
      <c r="K437" s="62" t="s">
        <v>15</v>
      </c>
      <c r="L437" s="62" t="s">
        <v>3</v>
      </c>
      <c r="M437" s="62">
        <v>2126.5569</v>
      </c>
      <c r="N437" s="62">
        <v>492.864165</v>
      </c>
    </row>
    <row r="438" spans="1:14">
      <c r="A438" s="62">
        <v>2022</v>
      </c>
      <c r="B438" s="62">
        <v>5</v>
      </c>
      <c r="C438" s="62" t="s">
        <v>0</v>
      </c>
      <c r="D438" s="62" t="s">
        <v>3</v>
      </c>
      <c r="E438" s="62">
        <v>1915.8068</v>
      </c>
      <c r="F438" s="62">
        <v>366.255065</v>
      </c>
      <c r="I438" s="62">
        <v>2022</v>
      </c>
      <c r="J438" s="62">
        <v>5</v>
      </c>
      <c r="K438" s="62" t="s">
        <v>15</v>
      </c>
      <c r="L438" s="62" t="s">
        <v>3</v>
      </c>
      <c r="M438" s="62">
        <v>1915.8068</v>
      </c>
      <c r="N438" s="62">
        <v>366.255065</v>
      </c>
    </row>
    <row r="439" spans="1:14">
      <c r="A439" s="62">
        <v>2022</v>
      </c>
      <c r="B439" s="62">
        <v>6</v>
      </c>
      <c r="C439" s="62" t="s">
        <v>0</v>
      </c>
      <c r="D439" s="62" t="s">
        <v>3</v>
      </c>
      <c r="E439" s="62">
        <v>1365.4118</v>
      </c>
      <c r="F439" s="62">
        <v>329.37455</v>
      </c>
      <c r="I439" s="62">
        <v>2022</v>
      </c>
      <c r="J439" s="62">
        <v>6</v>
      </c>
      <c r="K439" s="62" t="s">
        <v>15</v>
      </c>
      <c r="L439" s="62" t="s">
        <v>3</v>
      </c>
      <c r="M439" s="62">
        <v>1365.4118</v>
      </c>
      <c r="N439" s="62">
        <v>329.37455</v>
      </c>
    </row>
    <row r="440" spans="1:14">
      <c r="A440" s="62">
        <v>2022</v>
      </c>
      <c r="B440" s="62">
        <v>7</v>
      </c>
      <c r="C440" s="62" t="s">
        <v>0</v>
      </c>
      <c r="D440" s="62" t="s">
        <v>3</v>
      </c>
      <c r="E440" s="62">
        <v>1338.2962</v>
      </c>
      <c r="F440" s="62">
        <v>298.959195</v>
      </c>
      <c r="I440" s="62">
        <v>2022</v>
      </c>
      <c r="J440" s="62">
        <v>7</v>
      </c>
      <c r="K440" s="62" t="s">
        <v>15</v>
      </c>
      <c r="L440" s="62" t="s">
        <v>3</v>
      </c>
      <c r="M440" s="62">
        <v>1338.2962</v>
      </c>
      <c r="N440" s="62">
        <v>298.959195</v>
      </c>
    </row>
    <row r="441" spans="1:14">
      <c r="A441" s="62">
        <v>2022</v>
      </c>
      <c r="B441" s="62">
        <v>8</v>
      </c>
      <c r="C441" s="62" t="s">
        <v>0</v>
      </c>
      <c r="D441" s="62" t="s">
        <v>3</v>
      </c>
      <c r="E441" s="62">
        <v>1346.9824</v>
      </c>
      <c r="F441" s="62">
        <v>336.079225</v>
      </c>
      <c r="I441" s="62">
        <v>2022</v>
      </c>
      <c r="J441" s="62">
        <v>8</v>
      </c>
      <c r="K441" s="62" t="s">
        <v>15</v>
      </c>
      <c r="L441" s="62" t="s">
        <v>3</v>
      </c>
      <c r="M441" s="62">
        <v>1346.9824</v>
      </c>
      <c r="N441" s="62">
        <v>336.079225</v>
      </c>
    </row>
    <row r="442" spans="1:14">
      <c r="A442" s="62">
        <v>2022</v>
      </c>
      <c r="B442" s="62">
        <v>9</v>
      </c>
      <c r="C442" s="62" t="s">
        <v>0</v>
      </c>
      <c r="D442" s="62" t="s">
        <v>3</v>
      </c>
      <c r="E442" s="62">
        <v>1198.2113</v>
      </c>
      <c r="F442" s="62">
        <v>322.2904125</v>
      </c>
      <c r="I442" s="62">
        <v>2022</v>
      </c>
      <c r="J442" s="62">
        <v>9</v>
      </c>
      <c r="K442" s="62" t="s">
        <v>15</v>
      </c>
      <c r="L442" s="62" t="s">
        <v>3</v>
      </c>
      <c r="M442" s="62">
        <v>1198.2113</v>
      </c>
      <c r="N442" s="62">
        <v>322.2904125</v>
      </c>
    </row>
    <row r="443" spans="1:14">
      <c r="A443" s="62">
        <v>2022</v>
      </c>
      <c r="B443" s="62">
        <v>10</v>
      </c>
      <c r="C443" s="62" t="s">
        <v>0</v>
      </c>
      <c r="D443" s="62" t="s">
        <v>3</v>
      </c>
      <c r="E443" s="62">
        <v>1803.6182</v>
      </c>
      <c r="F443" s="62">
        <v>521.08491</v>
      </c>
      <c r="I443" s="62">
        <v>2022</v>
      </c>
      <c r="J443" s="62">
        <v>10</v>
      </c>
      <c r="K443" s="62" t="s">
        <v>15</v>
      </c>
      <c r="L443" s="62" t="s">
        <v>3</v>
      </c>
      <c r="M443" s="62">
        <v>1803.6182</v>
      </c>
      <c r="N443" s="62">
        <v>521.08491</v>
      </c>
    </row>
    <row r="444" spans="1:14">
      <c r="A444" s="62">
        <v>2022</v>
      </c>
      <c r="B444" s="62">
        <v>11</v>
      </c>
      <c r="C444" s="62" t="s">
        <v>0</v>
      </c>
      <c r="D444" s="62" t="s">
        <v>3</v>
      </c>
      <c r="E444" s="62">
        <v>1657.1564</v>
      </c>
      <c r="F444" s="62">
        <v>402.6044975</v>
      </c>
      <c r="I444" s="62">
        <v>2022</v>
      </c>
      <c r="J444" s="62">
        <v>11</v>
      </c>
      <c r="K444" s="62" t="s">
        <v>15</v>
      </c>
      <c r="L444" s="62" t="s">
        <v>3</v>
      </c>
      <c r="M444" s="62">
        <v>1657.1564</v>
      </c>
      <c r="N444" s="62">
        <v>402.6044975</v>
      </c>
    </row>
    <row r="445" spans="1:14">
      <c r="A445" s="62">
        <v>2022</v>
      </c>
      <c r="B445" s="62">
        <v>12</v>
      </c>
      <c r="C445" s="62" t="s">
        <v>0</v>
      </c>
      <c r="D445" s="62" t="s">
        <v>3</v>
      </c>
      <c r="E445" s="62">
        <v>3282.1273</v>
      </c>
      <c r="F445" s="62">
        <v>793.6630175</v>
      </c>
      <c r="I445" s="62">
        <v>2022</v>
      </c>
      <c r="J445" s="62">
        <v>12</v>
      </c>
      <c r="K445" s="62" t="s">
        <v>15</v>
      </c>
      <c r="L445" s="62" t="s">
        <v>3</v>
      </c>
      <c r="M445" s="62">
        <v>3282.1273</v>
      </c>
      <c r="N445" s="62">
        <v>793.6630175</v>
      </c>
    </row>
    <row r="446" spans="1:14">
      <c r="A446" s="62">
        <v>2023</v>
      </c>
      <c r="B446" s="62">
        <v>1</v>
      </c>
      <c r="C446" s="62" t="s">
        <v>0</v>
      </c>
      <c r="D446" s="62" t="s">
        <v>3</v>
      </c>
      <c r="E446" s="62">
        <v>3159.4181</v>
      </c>
      <c r="F446" s="62">
        <v>770.5173075</v>
      </c>
      <c r="I446" s="62">
        <v>2023</v>
      </c>
      <c r="J446" s="62">
        <v>1</v>
      </c>
      <c r="K446" s="62" t="s">
        <v>15</v>
      </c>
      <c r="L446" s="62" t="s">
        <v>3</v>
      </c>
      <c r="M446" s="62">
        <v>3159.4181</v>
      </c>
      <c r="N446" s="62">
        <v>770.5173075</v>
      </c>
    </row>
    <row r="447" spans="1:14">
      <c r="A447" s="62">
        <v>2023</v>
      </c>
      <c r="B447" s="62">
        <v>2</v>
      </c>
      <c r="C447" s="62" t="s">
        <v>0</v>
      </c>
      <c r="D447" s="62" t="s">
        <v>3</v>
      </c>
      <c r="E447" s="62">
        <v>2679.4067</v>
      </c>
      <c r="F447" s="62">
        <v>590.3797</v>
      </c>
      <c r="I447" s="62">
        <v>2023</v>
      </c>
      <c r="J447" s="62">
        <v>2</v>
      </c>
      <c r="K447" s="62" t="s">
        <v>15</v>
      </c>
      <c r="L447" s="62" t="s">
        <v>3</v>
      </c>
      <c r="M447" s="62">
        <v>2679.4067</v>
      </c>
      <c r="N447" s="62">
        <v>590.3797</v>
      </c>
    </row>
    <row r="448" spans="1:14">
      <c r="A448" s="62">
        <v>2023</v>
      </c>
      <c r="B448" s="62">
        <v>3</v>
      </c>
      <c r="C448" s="62" t="s">
        <v>0</v>
      </c>
      <c r="D448" s="62" t="s">
        <v>3</v>
      </c>
      <c r="E448" s="62">
        <v>3076.538</v>
      </c>
      <c r="F448" s="62">
        <v>745.328405</v>
      </c>
      <c r="I448" s="62">
        <v>2023</v>
      </c>
      <c r="J448" s="62">
        <v>3</v>
      </c>
      <c r="K448" s="62" t="s">
        <v>15</v>
      </c>
      <c r="L448" s="62" t="s">
        <v>3</v>
      </c>
      <c r="M448" s="62">
        <v>3076.538</v>
      </c>
      <c r="N448" s="62">
        <v>745.328405</v>
      </c>
    </row>
    <row r="449" spans="1:14">
      <c r="A449" s="62">
        <v>2023</v>
      </c>
      <c r="B449" s="62">
        <v>4</v>
      </c>
      <c r="C449" s="62" t="s">
        <v>0</v>
      </c>
      <c r="D449" s="62" t="s">
        <v>3</v>
      </c>
      <c r="E449" s="62">
        <v>2468.7029</v>
      </c>
      <c r="F449" s="62">
        <v>564.9949075</v>
      </c>
      <c r="I449" s="62">
        <v>2023</v>
      </c>
      <c r="J449" s="62">
        <v>4</v>
      </c>
      <c r="K449" s="62" t="s">
        <v>15</v>
      </c>
      <c r="L449" s="62" t="s">
        <v>3</v>
      </c>
      <c r="M449" s="62">
        <v>2468.7029</v>
      </c>
      <c r="N449" s="62">
        <v>564.9949075</v>
      </c>
    </row>
    <row r="450" spans="1:14">
      <c r="A450" s="62">
        <v>2023</v>
      </c>
      <c r="B450" s="62">
        <v>5</v>
      </c>
      <c r="C450" s="62" t="s">
        <v>0</v>
      </c>
      <c r="D450" s="62" t="s">
        <v>3</v>
      </c>
      <c r="E450" s="62">
        <v>1748.7276</v>
      </c>
      <c r="F450" s="62">
        <v>482.70763</v>
      </c>
      <c r="I450" s="62">
        <v>2023</v>
      </c>
      <c r="J450" s="62">
        <v>5</v>
      </c>
      <c r="K450" s="62" t="s">
        <v>15</v>
      </c>
      <c r="L450" s="62" t="s">
        <v>3</v>
      </c>
      <c r="M450" s="62">
        <v>1748.7276</v>
      </c>
      <c r="N450" s="62">
        <v>482.70763</v>
      </c>
    </row>
    <row r="451" spans="1:14">
      <c r="A451" s="62">
        <v>2023</v>
      </c>
      <c r="B451" s="62">
        <v>6</v>
      </c>
      <c r="C451" s="62" t="s">
        <v>0</v>
      </c>
      <c r="D451" s="62" t="s">
        <v>3</v>
      </c>
      <c r="E451" s="62">
        <v>1921.4961</v>
      </c>
      <c r="F451" s="62">
        <v>553.3832225</v>
      </c>
      <c r="I451" s="62">
        <v>2023</v>
      </c>
      <c r="J451" s="62">
        <v>6</v>
      </c>
      <c r="K451" s="62" t="s">
        <v>15</v>
      </c>
      <c r="L451" s="62" t="s">
        <v>3</v>
      </c>
      <c r="M451" s="62">
        <v>1921.4961</v>
      </c>
      <c r="N451" s="62">
        <v>553.3832225</v>
      </c>
    </row>
    <row r="452" spans="1:14">
      <c r="A452" s="62">
        <v>2023</v>
      </c>
      <c r="B452" s="62">
        <v>7</v>
      </c>
      <c r="C452" s="62" t="s">
        <v>0</v>
      </c>
      <c r="D452" s="62" t="s">
        <v>3</v>
      </c>
      <c r="E452" s="62">
        <v>1475.1268</v>
      </c>
      <c r="F452" s="62">
        <v>395.8364</v>
      </c>
      <c r="I452" s="62">
        <v>2023</v>
      </c>
      <c r="J452" s="62">
        <v>7</v>
      </c>
      <c r="K452" s="62" t="s">
        <v>15</v>
      </c>
      <c r="L452" s="62" t="s">
        <v>3</v>
      </c>
      <c r="M452" s="62">
        <v>1475.1268</v>
      </c>
      <c r="N452" s="62">
        <v>395.8364</v>
      </c>
    </row>
    <row r="453" spans="1:14">
      <c r="A453" s="62">
        <v>2023</v>
      </c>
      <c r="B453" s="62">
        <v>8</v>
      </c>
      <c r="C453" s="62" t="s">
        <v>0</v>
      </c>
      <c r="D453" s="62" t="s">
        <v>3</v>
      </c>
      <c r="E453" s="62">
        <v>1444.011</v>
      </c>
      <c r="F453" s="62">
        <v>379.76115</v>
      </c>
      <c r="I453" s="62">
        <v>2023</v>
      </c>
      <c r="J453" s="62">
        <v>8</v>
      </c>
      <c r="K453" s="62" t="s">
        <v>15</v>
      </c>
      <c r="L453" s="62" t="s">
        <v>3</v>
      </c>
      <c r="M453" s="62">
        <v>1444.011</v>
      </c>
      <c r="N453" s="62">
        <v>379.76115</v>
      </c>
    </row>
    <row r="454" spans="1:14">
      <c r="A454" s="62">
        <v>2023</v>
      </c>
      <c r="B454" s="62">
        <v>9</v>
      </c>
      <c r="C454" s="62" t="s">
        <v>0</v>
      </c>
      <c r="D454" s="62" t="s">
        <v>3</v>
      </c>
      <c r="E454" s="62">
        <v>1531.522</v>
      </c>
      <c r="F454" s="62">
        <v>383.71601</v>
      </c>
      <c r="I454" s="62">
        <v>2023</v>
      </c>
      <c r="J454" s="62">
        <v>9</v>
      </c>
      <c r="K454" s="62" t="s">
        <v>15</v>
      </c>
      <c r="L454" s="62" t="s">
        <v>3</v>
      </c>
      <c r="M454" s="62">
        <v>1531.522</v>
      </c>
      <c r="N454" s="62">
        <v>383.71601</v>
      </c>
    </row>
    <row r="455" spans="1:14">
      <c r="A455" s="62">
        <v>2023</v>
      </c>
      <c r="B455" s="62">
        <v>10</v>
      </c>
      <c r="C455" s="62" t="s">
        <v>0</v>
      </c>
      <c r="D455" s="62" t="s">
        <v>3</v>
      </c>
      <c r="E455" s="62">
        <v>1988.7435</v>
      </c>
      <c r="F455" s="62">
        <v>465.042375</v>
      </c>
      <c r="I455" s="62">
        <v>2023</v>
      </c>
      <c r="J455" s="62">
        <v>10</v>
      </c>
      <c r="K455" s="62" t="s">
        <v>15</v>
      </c>
      <c r="L455" s="62" t="s">
        <v>3</v>
      </c>
      <c r="M455" s="62">
        <v>1988.7435</v>
      </c>
      <c r="N455" s="62">
        <v>465.042375</v>
      </c>
    </row>
    <row r="456" spans="1:14">
      <c r="A456" s="62">
        <v>2023</v>
      </c>
      <c r="B456" s="62">
        <v>11</v>
      </c>
      <c r="C456" s="62" t="s">
        <v>0</v>
      </c>
      <c r="D456" s="62" t="s">
        <v>3</v>
      </c>
      <c r="E456" s="62">
        <v>1350.9239</v>
      </c>
      <c r="F456" s="62">
        <v>368.7628575</v>
      </c>
      <c r="I456" s="62">
        <v>2023</v>
      </c>
      <c r="J456" s="62">
        <v>11</v>
      </c>
      <c r="K456" s="62" t="s">
        <v>15</v>
      </c>
      <c r="L456" s="62" t="s">
        <v>3</v>
      </c>
      <c r="M456" s="62">
        <v>1350.9239</v>
      </c>
      <c r="N456" s="62">
        <v>368.7628575</v>
      </c>
    </row>
    <row r="457" spans="1:14">
      <c r="A457" s="62">
        <v>2023</v>
      </c>
      <c r="B457" s="62">
        <v>12</v>
      </c>
      <c r="C457" s="62" t="s">
        <v>0</v>
      </c>
      <c r="D457" s="62" t="s">
        <v>3</v>
      </c>
      <c r="E457" s="62">
        <v>847.5423</v>
      </c>
      <c r="F457" s="62">
        <v>203.4441775</v>
      </c>
      <c r="I457" s="62">
        <v>2023</v>
      </c>
      <c r="J457" s="62">
        <v>12</v>
      </c>
      <c r="K457" s="62" t="s">
        <v>15</v>
      </c>
      <c r="L457" s="62" t="s">
        <v>3</v>
      </c>
      <c r="M457" s="62">
        <v>847.5423</v>
      </c>
      <c r="N457" s="62">
        <v>203.4441775</v>
      </c>
    </row>
    <row r="458" spans="1:14">
      <c r="A458" s="62">
        <v>2024</v>
      </c>
      <c r="B458" s="62">
        <v>1</v>
      </c>
      <c r="C458" s="62" t="s">
        <v>0</v>
      </c>
      <c r="D458" s="62" t="s">
        <v>3</v>
      </c>
      <c r="E458" s="62">
        <v>2433.6238</v>
      </c>
      <c r="F458" s="62">
        <v>582.14413</v>
      </c>
      <c r="I458" s="62">
        <v>2024</v>
      </c>
      <c r="J458" s="62">
        <v>1</v>
      </c>
      <c r="K458" s="62" t="s">
        <v>15</v>
      </c>
      <c r="L458" s="62" t="s">
        <v>3</v>
      </c>
      <c r="M458" s="62">
        <v>2433.6238</v>
      </c>
      <c r="N458" s="62">
        <v>582.14413</v>
      </c>
    </row>
    <row r="459" spans="1:14">
      <c r="A459" s="62">
        <v>2024</v>
      </c>
      <c r="B459" s="62">
        <v>2</v>
      </c>
      <c r="C459" s="62" t="s">
        <v>0</v>
      </c>
      <c r="D459" s="62" t="s">
        <v>3</v>
      </c>
      <c r="E459" s="62">
        <v>5025.1422</v>
      </c>
      <c r="F459" s="62">
        <v>1284.6372025</v>
      </c>
      <c r="I459" s="62">
        <v>2024</v>
      </c>
      <c r="J459" s="62">
        <v>2</v>
      </c>
      <c r="K459" s="62" t="s">
        <v>15</v>
      </c>
      <c r="L459" s="62" t="s">
        <v>3</v>
      </c>
      <c r="M459" s="62">
        <v>5025.1422</v>
      </c>
      <c r="N459" s="62">
        <v>1284.6372025</v>
      </c>
    </row>
    <row r="460" spans="1:14">
      <c r="A460" s="62">
        <v>2024</v>
      </c>
      <c r="B460" s="62">
        <v>3</v>
      </c>
      <c r="C460" s="62" t="s">
        <v>0</v>
      </c>
      <c r="D460" s="62" t="s">
        <v>3</v>
      </c>
      <c r="E460" s="62">
        <v>2051.1556</v>
      </c>
      <c r="F460" s="62">
        <v>458.305625</v>
      </c>
      <c r="I460" s="62">
        <v>2024</v>
      </c>
      <c r="J460" s="62">
        <v>3</v>
      </c>
      <c r="K460" s="62" t="s">
        <v>15</v>
      </c>
      <c r="L460" s="62" t="s">
        <v>3</v>
      </c>
      <c r="M460" s="62">
        <v>2051.1556</v>
      </c>
      <c r="N460" s="62">
        <v>458.305625</v>
      </c>
    </row>
    <row r="461" spans="1:14">
      <c r="A461" s="62">
        <v>2024</v>
      </c>
      <c r="B461" s="62">
        <v>4</v>
      </c>
      <c r="C461" s="62" t="s">
        <v>0</v>
      </c>
      <c r="D461" s="62" t="s">
        <v>3</v>
      </c>
      <c r="E461" s="62">
        <v>1881.5364</v>
      </c>
      <c r="F461" s="62">
        <v>596.426125</v>
      </c>
      <c r="I461" s="62">
        <v>2024</v>
      </c>
      <c r="J461" s="62">
        <v>4</v>
      </c>
      <c r="K461" s="62" t="s">
        <v>15</v>
      </c>
      <c r="L461" s="62" t="s">
        <v>3</v>
      </c>
      <c r="M461" s="62">
        <v>1881.5364</v>
      </c>
      <c r="N461" s="62">
        <v>596.426125</v>
      </c>
    </row>
    <row r="462" spans="1:14">
      <c r="A462" s="62">
        <v>2024</v>
      </c>
      <c r="B462" s="62">
        <v>5</v>
      </c>
      <c r="C462" s="62" t="s">
        <v>0</v>
      </c>
      <c r="D462" s="62" t="s">
        <v>3</v>
      </c>
      <c r="E462" s="62">
        <v>940.6905</v>
      </c>
      <c r="F462" s="62">
        <v>287.22545</v>
      </c>
      <c r="I462" s="62">
        <v>2024</v>
      </c>
      <c r="J462" s="62">
        <v>5</v>
      </c>
      <c r="K462" s="62" t="s">
        <v>15</v>
      </c>
      <c r="L462" s="62" t="s">
        <v>3</v>
      </c>
      <c r="M462" s="62">
        <v>940.6905</v>
      </c>
      <c r="N462" s="62">
        <v>287.22545</v>
      </c>
    </row>
    <row r="463" spans="1:14">
      <c r="A463" s="62">
        <v>2024</v>
      </c>
      <c r="B463" s="62">
        <v>6</v>
      </c>
      <c r="C463" s="62" t="s">
        <v>0</v>
      </c>
      <c r="D463" s="62" t="s">
        <v>3</v>
      </c>
      <c r="E463" s="62">
        <v>1023.714</v>
      </c>
      <c r="F463" s="62">
        <v>341.88475</v>
      </c>
      <c r="I463" s="62">
        <v>2024</v>
      </c>
      <c r="J463" s="62">
        <v>6</v>
      </c>
      <c r="K463" s="62" t="s">
        <v>15</v>
      </c>
      <c r="L463" s="62" t="s">
        <v>3</v>
      </c>
      <c r="M463" s="62">
        <v>1023.714</v>
      </c>
      <c r="N463" s="62">
        <v>341.88475</v>
      </c>
    </row>
    <row r="464" spans="1:14">
      <c r="A464" s="62">
        <v>2024</v>
      </c>
      <c r="B464" s="62">
        <v>7</v>
      </c>
      <c r="C464" s="62" t="s">
        <v>0</v>
      </c>
      <c r="D464" s="62" t="s">
        <v>3</v>
      </c>
      <c r="E464" s="62">
        <v>1472.8685</v>
      </c>
      <c r="F464" s="62">
        <v>419.889175</v>
      </c>
      <c r="I464" s="62">
        <v>2024</v>
      </c>
      <c r="J464" s="62">
        <v>7</v>
      </c>
      <c r="K464" s="62" t="s">
        <v>15</v>
      </c>
      <c r="L464" s="62" t="s">
        <v>3</v>
      </c>
      <c r="M464" s="62">
        <v>1472.8685</v>
      </c>
      <c r="N464" s="62">
        <v>419.889175</v>
      </c>
    </row>
    <row r="465" spans="1:14">
      <c r="A465" s="62">
        <v>2024</v>
      </c>
      <c r="B465" s="62">
        <v>8</v>
      </c>
      <c r="C465" s="62" t="s">
        <v>0</v>
      </c>
      <c r="D465" s="62" t="s">
        <v>3</v>
      </c>
      <c r="E465" s="62">
        <v>1211.9996</v>
      </c>
      <c r="F465" s="62">
        <v>320.0308</v>
      </c>
      <c r="I465" s="62">
        <v>2024</v>
      </c>
      <c r="J465" s="62">
        <v>8</v>
      </c>
      <c r="K465" s="62" t="s">
        <v>15</v>
      </c>
      <c r="L465" s="62" t="s">
        <v>3</v>
      </c>
      <c r="M465" s="62">
        <v>1211.9996</v>
      </c>
      <c r="N465" s="62">
        <v>320.0308</v>
      </c>
    </row>
    <row r="466" spans="1:14">
      <c r="A466" s="62">
        <v>2024</v>
      </c>
      <c r="B466" s="62">
        <v>9</v>
      </c>
      <c r="C466" s="62" t="s">
        <v>0</v>
      </c>
      <c r="D466" s="62" t="s">
        <v>3</v>
      </c>
      <c r="E466" s="62">
        <v>1844.9944</v>
      </c>
      <c r="F466" s="62">
        <v>539.0356825</v>
      </c>
      <c r="I466" s="62">
        <v>2024</v>
      </c>
      <c r="J466" s="62">
        <v>9</v>
      </c>
      <c r="K466" s="62" t="s">
        <v>15</v>
      </c>
      <c r="L466" s="62" t="s">
        <v>3</v>
      </c>
      <c r="M466" s="62">
        <v>1844.9944</v>
      </c>
      <c r="N466" s="62">
        <v>539.0356825</v>
      </c>
    </row>
    <row r="467" spans="1:14">
      <c r="A467" s="62">
        <v>2024</v>
      </c>
      <c r="B467" s="62">
        <v>10</v>
      </c>
      <c r="C467" s="62" t="s">
        <v>0</v>
      </c>
      <c r="D467" s="62" t="s">
        <v>3</v>
      </c>
      <c r="E467" s="62">
        <v>1940.158</v>
      </c>
      <c r="F467" s="62">
        <v>512.81335</v>
      </c>
      <c r="I467" s="62">
        <v>2024</v>
      </c>
      <c r="J467" s="62">
        <v>10</v>
      </c>
      <c r="K467" s="62" t="s">
        <v>15</v>
      </c>
      <c r="L467" s="62" t="s">
        <v>3</v>
      </c>
      <c r="M467" s="62">
        <v>1940.158</v>
      </c>
      <c r="N467" s="62">
        <v>512.81335</v>
      </c>
    </row>
    <row r="468" spans="1:14">
      <c r="A468" s="62">
        <v>2024</v>
      </c>
      <c r="B468" s="62">
        <v>11</v>
      </c>
      <c r="C468" s="62" t="s">
        <v>0</v>
      </c>
      <c r="D468" s="62" t="s">
        <v>3</v>
      </c>
      <c r="E468" s="62">
        <v>1047.007</v>
      </c>
      <c r="F468" s="62">
        <v>236.846775</v>
      </c>
      <c r="I468" s="62">
        <v>2024</v>
      </c>
      <c r="J468" s="62">
        <v>11</v>
      </c>
      <c r="K468" s="62" t="s">
        <v>15</v>
      </c>
      <c r="L468" s="62" t="s">
        <v>3</v>
      </c>
      <c r="M468" s="62">
        <v>1047.007</v>
      </c>
      <c r="N468" s="62">
        <v>236.846775</v>
      </c>
    </row>
    <row r="469" spans="1:14">
      <c r="A469" s="62">
        <v>2024</v>
      </c>
      <c r="B469" s="62">
        <v>12</v>
      </c>
      <c r="C469" s="62" t="s">
        <v>0</v>
      </c>
      <c r="D469" s="62" t="s">
        <v>3</v>
      </c>
      <c r="E469" s="62">
        <v>709.6768</v>
      </c>
      <c r="F469" s="62">
        <v>142.426175</v>
      </c>
      <c r="I469" s="62">
        <v>2024</v>
      </c>
      <c r="J469" s="62">
        <v>12</v>
      </c>
      <c r="K469" s="62" t="s">
        <v>15</v>
      </c>
      <c r="L469" s="62" t="s">
        <v>3</v>
      </c>
      <c r="M469" s="62">
        <v>709.6768</v>
      </c>
      <c r="N469" s="62">
        <v>142.426175</v>
      </c>
    </row>
    <row r="470" spans="1:14">
      <c r="A470" s="62">
        <v>2025</v>
      </c>
      <c r="B470" s="62">
        <v>1</v>
      </c>
      <c r="C470" s="62" t="s">
        <v>0</v>
      </c>
      <c r="D470" s="62" t="s">
        <v>3</v>
      </c>
      <c r="E470" s="62">
        <v>1400.9949</v>
      </c>
      <c r="F470" s="62">
        <v>315.858365</v>
      </c>
      <c r="I470" s="62">
        <v>2025</v>
      </c>
      <c r="J470" s="62">
        <v>1</v>
      </c>
      <c r="K470" s="62" t="s">
        <v>15</v>
      </c>
      <c r="L470" s="62" t="s">
        <v>3</v>
      </c>
      <c r="M470" s="62">
        <v>1400.9949</v>
      </c>
      <c r="N470" s="62">
        <v>315.858365</v>
      </c>
    </row>
    <row r="471" spans="1:14">
      <c r="A471" s="62">
        <v>2025</v>
      </c>
      <c r="B471" s="62">
        <v>2</v>
      </c>
      <c r="C471" s="62" t="s">
        <v>0</v>
      </c>
      <c r="D471" s="62" t="s">
        <v>3</v>
      </c>
      <c r="E471" s="62">
        <v>2023.3805</v>
      </c>
      <c r="F471" s="62">
        <v>393.54646</v>
      </c>
      <c r="I471" s="62">
        <v>2025</v>
      </c>
      <c r="J471" s="62">
        <v>2</v>
      </c>
      <c r="K471" s="62" t="s">
        <v>15</v>
      </c>
      <c r="L471" s="62" t="s">
        <v>3</v>
      </c>
      <c r="M471" s="62">
        <v>2023.3805</v>
      </c>
      <c r="N471" s="62">
        <v>393.54646</v>
      </c>
    </row>
    <row r="472" spans="1:14">
      <c r="A472" s="62">
        <v>2025</v>
      </c>
      <c r="B472" s="62">
        <v>3</v>
      </c>
      <c r="C472" s="62" t="s">
        <v>0</v>
      </c>
      <c r="D472" s="62" t="s">
        <v>3</v>
      </c>
      <c r="E472" s="62">
        <v>2228.4465</v>
      </c>
      <c r="F472" s="62">
        <v>463.1388375</v>
      </c>
      <c r="I472" s="62">
        <v>2025</v>
      </c>
      <c r="J472" s="62">
        <v>3</v>
      </c>
      <c r="K472" s="62" t="s">
        <v>15</v>
      </c>
      <c r="L472" s="62" t="s">
        <v>3</v>
      </c>
      <c r="M472" s="62">
        <v>2228.4465</v>
      </c>
      <c r="N472" s="62">
        <v>463.1388375</v>
      </c>
    </row>
    <row r="473" spans="1:14">
      <c r="A473" s="62">
        <v>2025</v>
      </c>
      <c r="B473" s="62">
        <v>4</v>
      </c>
      <c r="C473" s="62" t="s">
        <v>0</v>
      </c>
      <c r="D473" s="62" t="s">
        <v>3</v>
      </c>
      <c r="E473" s="62">
        <v>2621.2351</v>
      </c>
      <c r="F473" s="62">
        <v>595.0165050000001</v>
      </c>
      <c r="I473" s="62">
        <v>2025</v>
      </c>
      <c r="J473" s="62">
        <v>4</v>
      </c>
      <c r="K473" s="62" t="s">
        <v>15</v>
      </c>
      <c r="L473" s="62" t="s">
        <v>3</v>
      </c>
      <c r="M473" s="62">
        <v>2621.2351</v>
      </c>
      <c r="N473" s="62">
        <v>595.0165050000001</v>
      </c>
    </row>
    <row r="474" spans="1:14">
      <c r="A474" s="62">
        <v>2025</v>
      </c>
      <c r="B474" s="62">
        <v>5</v>
      </c>
      <c r="C474" s="62" t="s">
        <v>0</v>
      </c>
      <c r="D474" s="62" t="s">
        <v>3</v>
      </c>
      <c r="E474" s="62">
        <v>1753.1826</v>
      </c>
      <c r="F474" s="62">
        <v>405.10334</v>
      </c>
      <c r="I474" s="62">
        <v>2025</v>
      </c>
      <c r="J474" s="62">
        <v>5</v>
      </c>
      <c r="K474" s="62" t="s">
        <v>15</v>
      </c>
      <c r="L474" s="62" t="s">
        <v>3</v>
      </c>
      <c r="M474" s="62">
        <v>1753.1826</v>
      </c>
      <c r="N474" s="62">
        <v>405.10334</v>
      </c>
    </row>
    <row r="475" spans="1:14">
      <c r="A475" s="62">
        <v>2025</v>
      </c>
      <c r="B475" s="62">
        <v>6</v>
      </c>
      <c r="C475" s="62" t="s">
        <v>0</v>
      </c>
      <c r="D475" s="62" t="s">
        <v>3</v>
      </c>
      <c r="E475" s="62">
        <v>1169.5851</v>
      </c>
      <c r="F475" s="62">
        <v>270.62923</v>
      </c>
      <c r="I475" s="62">
        <v>2025</v>
      </c>
      <c r="J475" s="62">
        <v>6</v>
      </c>
      <c r="K475" s="62" t="s">
        <v>15</v>
      </c>
      <c r="L475" s="62" t="s">
        <v>3</v>
      </c>
      <c r="M475" s="62">
        <v>1169.5851</v>
      </c>
      <c r="N475" s="62">
        <v>270.62923</v>
      </c>
    </row>
    <row r="476" spans="1:14">
      <c r="A476" s="62">
        <v>2025</v>
      </c>
      <c r="B476" s="62">
        <v>7</v>
      </c>
      <c r="C476" s="62" t="s">
        <v>0</v>
      </c>
      <c r="D476" s="62" t="s">
        <v>3</v>
      </c>
      <c r="E476" s="62">
        <v>939.4538</v>
      </c>
      <c r="F476" s="62">
        <v>208.751435</v>
      </c>
      <c r="I476" s="62">
        <v>2025</v>
      </c>
      <c r="J476" s="62">
        <v>7</v>
      </c>
      <c r="K476" s="62" t="s">
        <v>15</v>
      </c>
      <c r="L476" s="62" t="s">
        <v>3</v>
      </c>
      <c r="M476" s="62">
        <v>939.4538</v>
      </c>
      <c r="N476" s="62">
        <v>208.751435</v>
      </c>
    </row>
    <row r="477" spans="1:14">
      <c r="A477" s="62">
        <v>2025</v>
      </c>
      <c r="B477" s="62">
        <v>8</v>
      </c>
      <c r="C477" s="62" t="s">
        <v>0</v>
      </c>
      <c r="D477" s="62" t="s">
        <v>3</v>
      </c>
      <c r="E477" s="62">
        <v>979.7175</v>
      </c>
      <c r="F477" s="62">
        <v>205.1012625</v>
      </c>
      <c r="I477" s="62">
        <v>2025</v>
      </c>
      <c r="J477" s="62">
        <v>8</v>
      </c>
      <c r="K477" s="62" t="s">
        <v>15</v>
      </c>
      <c r="L477" s="62" t="s">
        <v>3</v>
      </c>
      <c r="M477" s="62">
        <v>979.7175</v>
      </c>
      <c r="N477" s="62">
        <v>205.1012625</v>
      </c>
    </row>
    <row r="478" spans="1:14">
      <c r="A478" s="62">
        <v>2025</v>
      </c>
      <c r="B478" s="62">
        <v>9</v>
      </c>
      <c r="C478" s="62" t="s">
        <v>0</v>
      </c>
      <c r="D478" s="62" t="s">
        <v>3</v>
      </c>
      <c r="E478" s="62">
        <v>1487.0255</v>
      </c>
      <c r="F478" s="62">
        <v>302.69145</v>
      </c>
      <c r="I478" s="62">
        <v>2025</v>
      </c>
      <c r="J478" s="62">
        <v>9</v>
      </c>
      <c r="K478" s="62" t="s">
        <v>15</v>
      </c>
      <c r="L478" s="62" t="s">
        <v>3</v>
      </c>
      <c r="M478" s="62">
        <v>1487.0255</v>
      </c>
      <c r="N478" s="62">
        <v>302.69145</v>
      </c>
    </row>
    <row r="479" spans="1:14">
      <c r="A479" s="62">
        <v>2025</v>
      </c>
      <c r="B479" s="62">
        <v>10</v>
      </c>
      <c r="C479" s="62" t="s">
        <v>0</v>
      </c>
      <c r="D479" s="62" t="s">
        <v>3</v>
      </c>
      <c r="E479" s="62">
        <v>2468.751</v>
      </c>
      <c r="F479" s="62">
        <v>579.19092</v>
      </c>
      <c r="I479" s="62">
        <v>2025</v>
      </c>
      <c r="J479" s="62">
        <v>10</v>
      </c>
      <c r="K479" s="62" t="s">
        <v>15</v>
      </c>
      <c r="L479" s="62" t="s">
        <v>3</v>
      </c>
      <c r="M479" s="62">
        <v>2468.751</v>
      </c>
      <c r="N479" s="62">
        <v>579.19092</v>
      </c>
    </row>
    <row r="480" spans="1:14">
      <c r="A480" s="62">
        <v>2025</v>
      </c>
      <c r="B480" s="62">
        <v>11</v>
      </c>
      <c r="C480" s="62" t="s">
        <v>0</v>
      </c>
      <c r="D480" s="62" t="s">
        <v>3</v>
      </c>
      <c r="E480" s="62">
        <v>1324.048</v>
      </c>
      <c r="F480" s="62">
        <v>328.2312775</v>
      </c>
      <c r="I480" s="62">
        <v>2025</v>
      </c>
      <c r="J480" s="62">
        <v>11</v>
      </c>
      <c r="K480" s="62" t="s">
        <v>15</v>
      </c>
      <c r="L480" s="62" t="s">
        <v>3</v>
      </c>
      <c r="M480" s="62">
        <v>1324.048</v>
      </c>
      <c r="N480" s="62">
        <v>328.2312775</v>
      </c>
    </row>
    <row r="481" spans="1:14">
      <c r="A481" s="62">
        <v>2025</v>
      </c>
      <c r="B481" s="62">
        <v>12</v>
      </c>
      <c r="C481" s="62" t="s">
        <v>0</v>
      </c>
      <c r="D481" s="62" t="s">
        <v>3</v>
      </c>
      <c r="E481" s="62">
        <v>861.7330000000001</v>
      </c>
      <c r="F481" s="62">
        <v>148.9712</v>
      </c>
      <c r="I481" s="62">
        <v>2025</v>
      </c>
      <c r="J481" s="62">
        <v>12</v>
      </c>
      <c r="K481" s="62" t="s">
        <v>15</v>
      </c>
      <c r="L481" s="62" t="s">
        <v>3</v>
      </c>
      <c r="M481" s="62">
        <v>861.7330000000001</v>
      </c>
      <c r="N481" s="62">
        <v>148.9712</v>
      </c>
    </row>
    <row r="482" spans="1:14">
      <c r="A482" s="62">
        <v>2026</v>
      </c>
      <c r="B482" s="62">
        <v>1</v>
      </c>
      <c r="C482" s="62" t="s">
        <v>0</v>
      </c>
      <c r="D482" s="62" t="s">
        <v>3</v>
      </c>
      <c r="E482" s="62">
        <v>786.9865</v>
      </c>
      <c r="F482" s="62">
        <v>203.465225</v>
      </c>
      <c r="I482" s="62">
        <v>2026</v>
      </c>
      <c r="J482" s="62">
        <v>1</v>
      </c>
      <c r="K482" s="62" t="s">
        <v>15</v>
      </c>
      <c r="L482" s="62" t="s">
        <v>3</v>
      </c>
      <c r="M482" s="62">
        <v>786.9865</v>
      </c>
      <c r="N482" s="62">
        <v>203.465225</v>
      </c>
    </row>
    <row r="483" spans="1:14">
      <c r="A483" s="62">
        <v>2026</v>
      </c>
      <c r="B483" s="62">
        <v>2</v>
      </c>
      <c r="C483" s="62" t="s">
        <v>0</v>
      </c>
      <c r="D483" s="62" t="s">
        <v>3</v>
      </c>
      <c r="E483" s="62">
        <v>1792.968</v>
      </c>
      <c r="F483" s="62">
        <v>471.043375</v>
      </c>
      <c r="I483" s="62">
        <v>2026</v>
      </c>
      <c r="J483" s="62">
        <v>2</v>
      </c>
      <c r="K483" s="62" t="s">
        <v>15</v>
      </c>
      <c r="L483" s="62" t="s">
        <v>3</v>
      </c>
      <c r="M483" s="62">
        <v>1792.968</v>
      </c>
      <c r="N483" s="62">
        <v>471.043375</v>
      </c>
    </row>
    <row r="484" spans="1:14">
      <c r="A484" s="62">
        <v>2026</v>
      </c>
      <c r="B484" s="62">
        <v>3</v>
      </c>
      <c r="C484" s="62" t="s">
        <v>0</v>
      </c>
      <c r="D484" s="62" t="s">
        <v>3</v>
      </c>
      <c r="E484" s="62">
        <v>1118.4157</v>
      </c>
      <c r="F484" s="62">
        <v>265.601735</v>
      </c>
      <c r="I484" s="62">
        <v>2026</v>
      </c>
      <c r="J484" s="62">
        <v>3</v>
      </c>
      <c r="K484" s="62" t="s">
        <v>15</v>
      </c>
      <c r="L484" s="62" t="s">
        <v>3</v>
      </c>
      <c r="M484" s="62">
        <v>1118.4157</v>
      </c>
      <c r="N484" s="62">
        <v>265.601735</v>
      </c>
    </row>
    <row r="485" spans="1:14">
      <c r="A485" s="62">
        <v>2026</v>
      </c>
      <c r="B485" s="62">
        <v>4</v>
      </c>
      <c r="C485" s="62" t="s">
        <v>0</v>
      </c>
      <c r="D485" s="62" t="s">
        <v>3</v>
      </c>
      <c r="E485" s="62">
        <v>2043.992</v>
      </c>
      <c r="F485" s="62">
        <v>545.6375</v>
      </c>
      <c r="I485" s="62">
        <v>2026</v>
      </c>
      <c r="J485" s="62">
        <v>4</v>
      </c>
      <c r="K485" s="62" t="s">
        <v>15</v>
      </c>
      <c r="L485" s="62" t="s">
        <v>3</v>
      </c>
      <c r="M485" s="62">
        <v>2043.992</v>
      </c>
      <c r="N485" s="62">
        <v>545.6375</v>
      </c>
    </row>
    <row r="486" spans="1:14">
      <c r="A486" s="62">
        <v>2026</v>
      </c>
      <c r="B486" s="62">
        <v>5</v>
      </c>
      <c r="C486" s="62" t="s">
        <v>0</v>
      </c>
      <c r="D486" s="62" t="s">
        <v>3</v>
      </c>
      <c r="E486" s="62">
        <v>1202.4129</v>
      </c>
      <c r="F486" s="62">
        <v>394.451045</v>
      </c>
      <c r="I486" s="62">
        <v>2026</v>
      </c>
      <c r="J486" s="62">
        <v>5</v>
      </c>
      <c r="K486" s="62" t="s">
        <v>15</v>
      </c>
      <c r="L486" s="62" t="s">
        <v>3</v>
      </c>
      <c r="M486" s="62">
        <v>1202.4129</v>
      </c>
      <c r="N486" s="62">
        <v>394.451045</v>
      </c>
    </row>
    <row r="487" spans="1:14">
      <c r="A487" s="62">
        <v>2026</v>
      </c>
      <c r="B487" s="62">
        <v>6</v>
      </c>
      <c r="C487" s="62" t="s">
        <v>0</v>
      </c>
      <c r="D487" s="62" t="s">
        <v>3</v>
      </c>
      <c r="E487" s="62">
        <v>979.7867</v>
      </c>
      <c r="F487" s="62">
        <v>239.4796725</v>
      </c>
      <c r="I487" s="62">
        <v>2026</v>
      </c>
      <c r="J487" s="62">
        <v>6</v>
      </c>
      <c r="K487" s="62" t="s">
        <v>15</v>
      </c>
      <c r="L487" s="62" t="s">
        <v>3</v>
      </c>
      <c r="M487" s="62">
        <v>979.7867</v>
      </c>
      <c r="N487" s="62">
        <v>239.4796725</v>
      </c>
    </row>
    <row r="488" spans="1:14">
      <c r="A488" s="62">
        <v>2026</v>
      </c>
      <c r="B488" s="62">
        <v>7</v>
      </c>
      <c r="C488" s="62" t="s">
        <v>0</v>
      </c>
      <c r="D488" s="62" t="s">
        <v>3</v>
      </c>
      <c r="E488" s="62">
        <v>141.934</v>
      </c>
      <c r="F488" s="62">
        <v>17.30215</v>
      </c>
      <c r="I488" s="62">
        <v>2026</v>
      </c>
      <c r="J488" s="62">
        <v>7</v>
      </c>
      <c r="K488" s="62" t="s">
        <v>15</v>
      </c>
      <c r="L488" s="62" t="s">
        <v>3</v>
      </c>
      <c r="M488" s="62">
        <v>141.934</v>
      </c>
      <c r="N488" s="62">
        <v>17.30215</v>
      </c>
    </row>
    <row r="489" spans="1:14">
      <c r="A489" s="62">
        <v>2026</v>
      </c>
      <c r="B489" s="62">
        <v>8</v>
      </c>
      <c r="C489" s="62" t="s">
        <v>0</v>
      </c>
      <c r="D489" s="62" t="s">
        <v>3</v>
      </c>
      <c r="E489" s="62">
        <v>47</v>
      </c>
      <c r="F489" s="62">
        <v>0</v>
      </c>
      <c r="I489" s="62">
        <v>2026</v>
      </c>
      <c r="J489" s="62">
        <v>8</v>
      </c>
      <c r="K489" s="62" t="s">
        <v>15</v>
      </c>
      <c r="L489" s="62" t="s">
        <v>3</v>
      </c>
      <c r="M489" s="62">
        <v>47</v>
      </c>
      <c r="N489" s="62">
        <v>0</v>
      </c>
    </row>
    <row r="490" spans="1:14">
      <c r="A490" s="62">
        <v>2026</v>
      </c>
      <c r="B490" s="62">
        <v>9</v>
      </c>
      <c r="C490" s="62" t="s">
        <v>0</v>
      </c>
      <c r="D490" s="62" t="s">
        <v>3</v>
      </c>
      <c r="E490" s="62">
        <v>47</v>
      </c>
      <c r="F490" s="62">
        <v>0</v>
      </c>
      <c r="I490" s="62">
        <v>2026</v>
      </c>
      <c r="J490" s="62">
        <v>9</v>
      </c>
      <c r="K490" s="62" t="s">
        <v>15</v>
      </c>
      <c r="L490" s="62" t="s">
        <v>3</v>
      </c>
      <c r="M490" s="62">
        <v>47</v>
      </c>
      <c r="N490" s="62">
        <v>0</v>
      </c>
    </row>
    <row r="491" spans="1:14">
      <c r="A491" s="62">
        <v>2026</v>
      </c>
      <c r="B491" s="62">
        <v>10</v>
      </c>
      <c r="C491" s="62" t="s">
        <v>0</v>
      </c>
      <c r="D491" s="62" t="s">
        <v>3</v>
      </c>
      <c r="E491" s="62">
        <v>47</v>
      </c>
      <c r="F491" s="62">
        <v>0</v>
      </c>
      <c r="I491" s="62">
        <v>2026</v>
      </c>
      <c r="J491" s="62">
        <v>10</v>
      </c>
      <c r="K491" s="62" t="s">
        <v>15</v>
      </c>
      <c r="L491" s="62" t="s">
        <v>3</v>
      </c>
      <c r="M491" s="62">
        <v>47</v>
      </c>
      <c r="N491" s="62">
        <v>0</v>
      </c>
    </row>
    <row r="492" spans="1:14">
      <c r="A492" s="62">
        <v>2026</v>
      </c>
      <c r="B492" s="62">
        <v>11</v>
      </c>
      <c r="C492" s="62" t="s">
        <v>0</v>
      </c>
      <c r="D492" s="62" t="s">
        <v>3</v>
      </c>
      <c r="E492" s="62">
        <v>42.3</v>
      </c>
      <c r="F492" s="62">
        <v>0</v>
      </c>
      <c r="I492" s="62">
        <v>2026</v>
      </c>
      <c r="J492" s="62">
        <v>11</v>
      </c>
      <c r="K492" s="62" t="s">
        <v>15</v>
      </c>
      <c r="L492" s="62" t="s">
        <v>3</v>
      </c>
      <c r="M492" s="62">
        <v>42.3</v>
      </c>
      <c r="N492" s="62">
        <v>0</v>
      </c>
    </row>
    <row r="493" spans="1:14">
      <c r="A493" s="62">
        <v>2014</v>
      </c>
      <c r="B493" s="62">
        <v>1</v>
      </c>
      <c r="C493" s="62" t="s">
        <v>4</v>
      </c>
      <c r="D493" s="62" t="s">
        <v>1</v>
      </c>
      <c r="E493" s="62">
        <v>368.16</v>
      </c>
      <c r="F493" s="62">
        <v>71.12299999999999</v>
      </c>
      <c r="I493" s="62">
        <v>2014</v>
      </c>
      <c r="J493" s="62">
        <v>1</v>
      </c>
      <c r="K493" s="62" t="s">
        <v>16</v>
      </c>
      <c r="L493" s="62" t="s">
        <v>1</v>
      </c>
      <c r="M493" s="62">
        <v>814.0925</v>
      </c>
      <c r="N493" s="62">
        <v>142.4661875</v>
      </c>
    </row>
    <row r="494" spans="1:14">
      <c r="A494" s="62">
        <v>2014</v>
      </c>
      <c r="B494" s="62">
        <v>2</v>
      </c>
      <c r="C494" s="62" t="s">
        <v>4</v>
      </c>
      <c r="D494" s="62" t="s">
        <v>1</v>
      </c>
      <c r="E494" s="62">
        <v>522.175</v>
      </c>
      <c r="F494" s="62">
        <v>121.63825</v>
      </c>
      <c r="I494" s="62">
        <v>2014</v>
      </c>
      <c r="J494" s="62">
        <v>2</v>
      </c>
      <c r="K494" s="62" t="s">
        <v>16</v>
      </c>
      <c r="L494" s="62" t="s">
        <v>1</v>
      </c>
      <c r="M494" s="62">
        <v>1465.028</v>
      </c>
      <c r="N494" s="62">
        <v>256.3799</v>
      </c>
    </row>
    <row r="495" spans="1:14">
      <c r="A495" s="62">
        <v>2014</v>
      </c>
      <c r="B495" s="62">
        <v>3</v>
      </c>
      <c r="C495" s="62" t="s">
        <v>4</v>
      </c>
      <c r="D495" s="62" t="s">
        <v>1</v>
      </c>
      <c r="E495" s="62">
        <v>462.978</v>
      </c>
      <c r="F495" s="62">
        <v>103.5712</v>
      </c>
      <c r="I495" s="62">
        <v>2014</v>
      </c>
      <c r="J495" s="62">
        <v>3</v>
      </c>
      <c r="K495" s="62" t="s">
        <v>16</v>
      </c>
      <c r="L495" s="62" t="s">
        <v>1</v>
      </c>
      <c r="M495" s="62">
        <v>1713.81</v>
      </c>
      <c r="N495" s="62">
        <v>299.91675</v>
      </c>
    </row>
    <row r="496" spans="1:14">
      <c r="A496" s="62">
        <v>2014</v>
      </c>
      <c r="B496" s="62">
        <v>4</v>
      </c>
      <c r="C496" s="62" t="s">
        <v>4</v>
      </c>
      <c r="D496" s="62" t="s">
        <v>1</v>
      </c>
      <c r="E496" s="62">
        <v>325.794</v>
      </c>
      <c r="F496" s="62">
        <v>60.78525</v>
      </c>
      <c r="I496" s="62">
        <v>2014</v>
      </c>
      <c r="J496" s="62">
        <v>4</v>
      </c>
      <c r="K496" s="62" t="s">
        <v>16</v>
      </c>
      <c r="L496" s="62" t="s">
        <v>1</v>
      </c>
      <c r="M496" s="62">
        <v>1259.8015</v>
      </c>
      <c r="N496" s="62">
        <v>220.4652625</v>
      </c>
    </row>
    <row r="497" spans="1:14">
      <c r="A497" s="62">
        <v>2014</v>
      </c>
      <c r="B497" s="62">
        <v>5</v>
      </c>
      <c r="C497" s="62" t="s">
        <v>4</v>
      </c>
      <c r="D497" s="62" t="s">
        <v>1</v>
      </c>
      <c r="E497" s="62">
        <v>5</v>
      </c>
      <c r="F497" s="62">
        <v>3.25</v>
      </c>
      <c r="I497" s="62">
        <v>2014</v>
      </c>
      <c r="J497" s="62">
        <v>5</v>
      </c>
      <c r="K497" s="62" t="s">
        <v>16</v>
      </c>
      <c r="L497" s="62" t="s">
        <v>1</v>
      </c>
      <c r="M497" s="62">
        <v>1274.167</v>
      </c>
      <c r="N497" s="62">
        <v>222.979225</v>
      </c>
    </row>
    <row r="498" spans="1:14">
      <c r="A498" s="62">
        <v>2014</v>
      </c>
      <c r="B498" s="62">
        <v>6</v>
      </c>
      <c r="C498" s="62" t="s">
        <v>4</v>
      </c>
      <c r="D498" s="62" t="s">
        <v>1</v>
      </c>
      <c r="E498" s="62">
        <v>5.33</v>
      </c>
      <c r="F498" s="62">
        <v>0.93275</v>
      </c>
      <c r="I498" s="62">
        <v>2014</v>
      </c>
      <c r="J498" s="62">
        <v>6</v>
      </c>
      <c r="K498" s="62" t="s">
        <v>16</v>
      </c>
      <c r="L498" s="62" t="s">
        <v>1</v>
      </c>
      <c r="M498" s="62">
        <v>1225.439</v>
      </c>
      <c r="N498" s="62">
        <v>214.451825</v>
      </c>
    </row>
    <row r="499" spans="1:14">
      <c r="A499" s="62">
        <v>2014</v>
      </c>
      <c r="B499" s="62">
        <v>7</v>
      </c>
      <c r="C499" s="62" t="s">
        <v>4</v>
      </c>
      <c r="D499" s="62" t="s">
        <v>1</v>
      </c>
      <c r="E499" s="62">
        <v>23.5</v>
      </c>
      <c r="F499" s="62">
        <v>11</v>
      </c>
      <c r="I499" s="62">
        <v>2014</v>
      </c>
      <c r="J499" s="62">
        <v>7</v>
      </c>
      <c r="K499" s="62" t="s">
        <v>16</v>
      </c>
      <c r="L499" s="62" t="s">
        <v>1</v>
      </c>
      <c r="M499" s="62">
        <v>466.78</v>
      </c>
      <c r="N499" s="62">
        <v>81.6865</v>
      </c>
    </row>
    <row r="500" spans="1:14">
      <c r="A500" s="62">
        <v>2014</v>
      </c>
      <c r="B500" s="62">
        <v>8</v>
      </c>
      <c r="C500" s="62" t="s">
        <v>4</v>
      </c>
      <c r="D500" s="62" t="s">
        <v>1</v>
      </c>
      <c r="E500" s="62">
        <v>47.907</v>
      </c>
      <c r="F500" s="62">
        <v>12.6622</v>
      </c>
      <c r="I500" s="62">
        <v>2014</v>
      </c>
      <c r="J500" s="62">
        <v>8</v>
      </c>
      <c r="K500" s="62" t="s">
        <v>16</v>
      </c>
      <c r="L500" s="62" t="s">
        <v>1</v>
      </c>
      <c r="M500" s="62">
        <v>479.157</v>
      </c>
      <c r="N500" s="62">
        <v>83.852475</v>
      </c>
    </row>
    <row r="501" spans="1:14">
      <c r="A501" s="62">
        <v>2014</v>
      </c>
      <c r="B501" s="62">
        <v>9</v>
      </c>
      <c r="C501" s="62" t="s">
        <v>4</v>
      </c>
      <c r="D501" s="62" t="s">
        <v>1</v>
      </c>
      <c r="E501" s="62">
        <v>26.676</v>
      </c>
      <c r="F501" s="62">
        <v>5.59</v>
      </c>
      <c r="I501" s="62">
        <v>2014</v>
      </c>
      <c r="J501" s="62">
        <v>9</v>
      </c>
      <c r="K501" s="62" t="s">
        <v>16</v>
      </c>
      <c r="L501" s="62" t="s">
        <v>1</v>
      </c>
      <c r="M501" s="62">
        <v>876.705</v>
      </c>
      <c r="N501" s="62">
        <v>153.423375</v>
      </c>
    </row>
    <row r="502" spans="1:14">
      <c r="A502" s="62">
        <v>2014</v>
      </c>
      <c r="B502" s="62">
        <v>10</v>
      </c>
      <c r="C502" s="62" t="s">
        <v>4</v>
      </c>
      <c r="D502" s="62" t="s">
        <v>1</v>
      </c>
      <c r="E502" s="62">
        <v>36.01000000000001</v>
      </c>
      <c r="F502" s="62">
        <v>8.031750000000001</v>
      </c>
      <c r="I502" s="62">
        <v>2014</v>
      </c>
      <c r="J502" s="62">
        <v>10</v>
      </c>
      <c r="K502" s="62" t="s">
        <v>16</v>
      </c>
      <c r="L502" s="62" t="s">
        <v>1</v>
      </c>
      <c r="M502" s="62">
        <v>1247.136</v>
      </c>
      <c r="N502" s="62">
        <v>218.2488</v>
      </c>
    </row>
    <row r="503" spans="1:14">
      <c r="A503" s="62">
        <v>2014</v>
      </c>
      <c r="B503" s="62">
        <v>11</v>
      </c>
      <c r="C503" s="62" t="s">
        <v>4</v>
      </c>
      <c r="D503" s="62" t="s">
        <v>1</v>
      </c>
      <c r="E503" s="62">
        <v>159.1945</v>
      </c>
      <c r="F503" s="62">
        <v>56.756775</v>
      </c>
      <c r="I503" s="62">
        <v>2014</v>
      </c>
      <c r="J503" s="62">
        <v>11</v>
      </c>
      <c r="K503" s="62" t="s">
        <v>16</v>
      </c>
      <c r="L503" s="62" t="s">
        <v>1</v>
      </c>
      <c r="M503" s="62">
        <v>636.8235</v>
      </c>
      <c r="N503" s="62">
        <v>111.4441125</v>
      </c>
    </row>
    <row r="504" spans="1:14">
      <c r="A504" s="62">
        <v>2014</v>
      </c>
      <c r="B504" s="62">
        <v>12</v>
      </c>
      <c r="C504" s="62" t="s">
        <v>4</v>
      </c>
      <c r="D504" s="62" t="s">
        <v>1</v>
      </c>
      <c r="E504" s="62">
        <v>96.8905</v>
      </c>
      <c r="F504" s="62">
        <v>42.5488</v>
      </c>
      <c r="I504" s="62">
        <v>2014</v>
      </c>
      <c r="J504" s="62">
        <v>12</v>
      </c>
      <c r="K504" s="62" t="s">
        <v>16</v>
      </c>
      <c r="L504" s="62" t="s">
        <v>1</v>
      </c>
      <c r="M504" s="62">
        <v>153.145</v>
      </c>
      <c r="N504" s="62">
        <v>26.800375</v>
      </c>
    </row>
    <row r="505" spans="1:14">
      <c r="A505" s="62">
        <v>2015</v>
      </c>
      <c r="B505" s="62">
        <v>1</v>
      </c>
      <c r="C505" s="62" t="s">
        <v>4</v>
      </c>
      <c r="D505" s="62" t="s">
        <v>1</v>
      </c>
      <c r="E505" s="62">
        <v>81.39100000000001</v>
      </c>
      <c r="F505" s="62">
        <v>23.6353</v>
      </c>
      <c r="I505" s="62">
        <v>2015</v>
      </c>
      <c r="J505" s="62">
        <v>1</v>
      </c>
      <c r="K505" s="62" t="s">
        <v>16</v>
      </c>
      <c r="L505" s="62" t="s">
        <v>1</v>
      </c>
      <c r="M505" s="62">
        <v>842.604</v>
      </c>
      <c r="N505" s="62">
        <v>147.4557</v>
      </c>
    </row>
    <row r="506" spans="1:14">
      <c r="A506" s="62">
        <v>2015</v>
      </c>
      <c r="B506" s="62">
        <v>2</v>
      </c>
      <c r="C506" s="62" t="s">
        <v>4</v>
      </c>
      <c r="D506" s="62" t="s">
        <v>1</v>
      </c>
      <c r="E506" s="62">
        <v>336.129</v>
      </c>
      <c r="F506" s="62">
        <v>97.34909999999999</v>
      </c>
      <c r="I506" s="62">
        <v>2015</v>
      </c>
      <c r="J506" s="62">
        <v>2</v>
      </c>
      <c r="K506" s="62" t="s">
        <v>16</v>
      </c>
      <c r="L506" s="62" t="s">
        <v>1</v>
      </c>
      <c r="M506" s="62">
        <v>1244.877</v>
      </c>
      <c r="N506" s="62">
        <v>217.853475</v>
      </c>
    </row>
    <row r="507" spans="1:14">
      <c r="A507" s="62">
        <v>2015</v>
      </c>
      <c r="B507" s="62">
        <v>3</v>
      </c>
      <c r="C507" s="62" t="s">
        <v>4</v>
      </c>
      <c r="D507" s="62" t="s">
        <v>1</v>
      </c>
      <c r="E507" s="62">
        <v>208.83</v>
      </c>
      <c r="F507" s="62">
        <v>74.5915</v>
      </c>
      <c r="I507" s="62">
        <v>2015</v>
      </c>
      <c r="J507" s="62">
        <v>3</v>
      </c>
      <c r="K507" s="62" t="s">
        <v>16</v>
      </c>
      <c r="L507" s="62" t="s">
        <v>1</v>
      </c>
      <c r="M507" s="62">
        <v>1172.035</v>
      </c>
      <c r="N507" s="62">
        <v>205.106125</v>
      </c>
    </row>
    <row r="508" spans="1:14">
      <c r="A508" s="62">
        <v>2015</v>
      </c>
      <c r="B508" s="62">
        <v>4</v>
      </c>
      <c r="C508" s="62" t="s">
        <v>4</v>
      </c>
      <c r="D508" s="62" t="s">
        <v>1</v>
      </c>
      <c r="E508" s="62">
        <v>106.117</v>
      </c>
      <c r="F508" s="62">
        <v>40.18645</v>
      </c>
      <c r="I508" s="62">
        <v>2015</v>
      </c>
      <c r="J508" s="62">
        <v>4</v>
      </c>
      <c r="K508" s="62" t="s">
        <v>16</v>
      </c>
      <c r="L508" s="62" t="s">
        <v>1</v>
      </c>
      <c r="M508" s="62">
        <v>733.249</v>
      </c>
      <c r="N508" s="62">
        <v>128.318575</v>
      </c>
    </row>
    <row r="509" spans="1:14">
      <c r="A509" s="62">
        <v>2015</v>
      </c>
      <c r="B509" s="62">
        <v>5</v>
      </c>
      <c r="C509" s="62" t="s">
        <v>4</v>
      </c>
      <c r="D509" s="62" t="s">
        <v>1</v>
      </c>
      <c r="E509" s="62">
        <v>26</v>
      </c>
      <c r="F509" s="62">
        <v>4.55</v>
      </c>
      <c r="I509" s="62">
        <v>2015</v>
      </c>
      <c r="J509" s="62">
        <v>5</v>
      </c>
      <c r="K509" s="62" t="s">
        <v>16</v>
      </c>
      <c r="L509" s="62" t="s">
        <v>1</v>
      </c>
      <c r="M509" s="62">
        <v>305.446</v>
      </c>
      <c r="N509" s="62">
        <v>53.45305</v>
      </c>
    </row>
    <row r="510" spans="1:14">
      <c r="A510" s="62">
        <v>2015</v>
      </c>
      <c r="B510" s="62">
        <v>7</v>
      </c>
      <c r="C510" s="62" t="s">
        <v>4</v>
      </c>
      <c r="D510" s="62" t="s">
        <v>1</v>
      </c>
      <c r="E510" s="62">
        <v>15.825</v>
      </c>
      <c r="F510" s="62">
        <v>0.8924999999999998</v>
      </c>
      <c r="I510" s="62">
        <v>2015</v>
      </c>
      <c r="J510" s="62">
        <v>6</v>
      </c>
      <c r="K510" s="62" t="s">
        <v>16</v>
      </c>
      <c r="L510" s="62" t="s">
        <v>1</v>
      </c>
      <c r="M510" s="62">
        <v>380.1272</v>
      </c>
      <c r="N510" s="62">
        <v>66.52225999999999</v>
      </c>
    </row>
    <row r="511" spans="1:14">
      <c r="A511" s="62">
        <v>2015</v>
      </c>
      <c r="B511" s="62">
        <v>8</v>
      </c>
      <c r="C511" s="62" t="s">
        <v>4</v>
      </c>
      <c r="D511" s="62" t="s">
        <v>1</v>
      </c>
      <c r="E511" s="62">
        <v>71.41499999999999</v>
      </c>
      <c r="F511" s="62">
        <v>17.7125</v>
      </c>
      <c r="I511" s="62">
        <v>2015</v>
      </c>
      <c r="J511" s="62">
        <v>7</v>
      </c>
      <c r="K511" s="62" t="s">
        <v>16</v>
      </c>
      <c r="L511" s="62" t="s">
        <v>1</v>
      </c>
      <c r="M511" s="62">
        <v>314.8246</v>
      </c>
      <c r="N511" s="62">
        <v>55.094305</v>
      </c>
    </row>
    <row r="512" spans="1:14">
      <c r="A512" s="62">
        <v>2015</v>
      </c>
      <c r="B512" s="62">
        <v>9</v>
      </c>
      <c r="C512" s="62" t="s">
        <v>4</v>
      </c>
      <c r="D512" s="62" t="s">
        <v>1</v>
      </c>
      <c r="E512" s="62">
        <v>355.368</v>
      </c>
      <c r="F512" s="62">
        <v>90.4798</v>
      </c>
      <c r="I512" s="62">
        <v>2015</v>
      </c>
      <c r="J512" s="62">
        <v>8</v>
      </c>
      <c r="K512" s="62" t="s">
        <v>16</v>
      </c>
      <c r="L512" s="62" t="s">
        <v>1</v>
      </c>
      <c r="M512" s="62">
        <v>580.7619999999999</v>
      </c>
      <c r="N512" s="62">
        <v>101.63335</v>
      </c>
    </row>
    <row r="513" spans="1:14">
      <c r="A513" s="62">
        <v>2015</v>
      </c>
      <c r="B513" s="62">
        <v>10</v>
      </c>
      <c r="C513" s="62" t="s">
        <v>4</v>
      </c>
      <c r="D513" s="62" t="s">
        <v>1</v>
      </c>
      <c r="E513" s="62">
        <v>77.56</v>
      </c>
      <c r="F513" s="62">
        <v>27.59175</v>
      </c>
      <c r="I513" s="62">
        <v>2015</v>
      </c>
      <c r="J513" s="62">
        <v>9</v>
      </c>
      <c r="K513" s="62" t="s">
        <v>16</v>
      </c>
      <c r="L513" s="62" t="s">
        <v>1</v>
      </c>
      <c r="M513" s="62">
        <v>1166.9611</v>
      </c>
      <c r="N513" s="62">
        <v>204.2181925</v>
      </c>
    </row>
    <row r="514" spans="1:14">
      <c r="A514" s="62">
        <v>2015</v>
      </c>
      <c r="B514" s="62">
        <v>11</v>
      </c>
      <c r="C514" s="62" t="s">
        <v>4</v>
      </c>
      <c r="D514" s="62" t="s">
        <v>1</v>
      </c>
      <c r="E514" s="62">
        <v>40.26</v>
      </c>
      <c r="F514" s="62">
        <v>7.475000000000001</v>
      </c>
      <c r="I514" s="62">
        <v>2015</v>
      </c>
      <c r="J514" s="62">
        <v>10</v>
      </c>
      <c r="K514" s="62" t="s">
        <v>16</v>
      </c>
      <c r="L514" s="62" t="s">
        <v>1</v>
      </c>
      <c r="M514" s="62">
        <v>1570.3314</v>
      </c>
      <c r="N514" s="62">
        <v>274.807995</v>
      </c>
    </row>
    <row r="515" spans="1:14">
      <c r="A515" s="62">
        <v>2015</v>
      </c>
      <c r="B515" s="62">
        <v>12</v>
      </c>
      <c r="C515" s="62" t="s">
        <v>4</v>
      </c>
      <c r="D515" s="62" t="s">
        <v>1</v>
      </c>
      <c r="E515" s="62">
        <v>123.965</v>
      </c>
      <c r="F515" s="62">
        <v>41.73525</v>
      </c>
      <c r="I515" s="62">
        <v>2015</v>
      </c>
      <c r="J515" s="62">
        <v>11</v>
      </c>
      <c r="K515" s="62" t="s">
        <v>16</v>
      </c>
      <c r="L515" s="62" t="s">
        <v>1</v>
      </c>
      <c r="M515" s="62">
        <v>699.545</v>
      </c>
      <c r="N515" s="62">
        <v>122.420375</v>
      </c>
    </row>
    <row r="516" spans="1:14">
      <c r="A516" s="62">
        <v>2016</v>
      </c>
      <c r="B516" s="62">
        <v>1</v>
      </c>
      <c r="C516" s="62" t="s">
        <v>4</v>
      </c>
      <c r="D516" s="62" t="s">
        <v>1</v>
      </c>
      <c r="E516" s="62">
        <v>167.256</v>
      </c>
      <c r="F516" s="62">
        <v>36.1139</v>
      </c>
      <c r="I516" s="62">
        <v>2015</v>
      </c>
      <c r="J516" s="62">
        <v>12</v>
      </c>
      <c r="K516" s="62" t="s">
        <v>16</v>
      </c>
      <c r="L516" s="62" t="s">
        <v>1</v>
      </c>
      <c r="M516" s="62">
        <v>637.705</v>
      </c>
      <c r="N516" s="62">
        <v>111.598375</v>
      </c>
    </row>
    <row r="517" spans="1:14">
      <c r="A517" s="62">
        <v>2016</v>
      </c>
      <c r="B517" s="62">
        <v>2</v>
      </c>
      <c r="C517" s="62" t="s">
        <v>4</v>
      </c>
      <c r="D517" s="62" t="s">
        <v>1</v>
      </c>
      <c r="E517" s="62">
        <v>191.36</v>
      </c>
      <c r="F517" s="62">
        <v>27.672</v>
      </c>
      <c r="I517" s="62">
        <v>2016</v>
      </c>
      <c r="J517" s="62">
        <v>1</v>
      </c>
      <c r="K517" s="62" t="s">
        <v>16</v>
      </c>
      <c r="L517" s="62" t="s">
        <v>1</v>
      </c>
      <c r="M517" s="62">
        <v>935.329</v>
      </c>
      <c r="N517" s="62">
        <v>163.682575</v>
      </c>
    </row>
    <row r="518" spans="1:14">
      <c r="A518" s="62">
        <v>2016</v>
      </c>
      <c r="B518" s="62">
        <v>3</v>
      </c>
      <c r="C518" s="62" t="s">
        <v>4</v>
      </c>
      <c r="D518" s="62" t="s">
        <v>1</v>
      </c>
      <c r="E518" s="62">
        <v>175.69</v>
      </c>
      <c r="F518" s="62">
        <v>28.73075</v>
      </c>
      <c r="I518" s="62">
        <v>2016</v>
      </c>
      <c r="J518" s="62">
        <v>2</v>
      </c>
      <c r="K518" s="62" t="s">
        <v>16</v>
      </c>
      <c r="L518" s="62" t="s">
        <v>1</v>
      </c>
      <c r="M518" s="62">
        <v>844.4713</v>
      </c>
      <c r="N518" s="62">
        <v>147.7824775</v>
      </c>
    </row>
    <row r="519" spans="1:14">
      <c r="A519" s="62">
        <v>2016</v>
      </c>
      <c r="B519" s="62">
        <v>4</v>
      </c>
      <c r="C519" s="62" t="s">
        <v>4</v>
      </c>
      <c r="D519" s="62" t="s">
        <v>1</v>
      </c>
      <c r="E519" s="62">
        <v>76.4845</v>
      </c>
      <c r="F519" s="62">
        <v>24.0956</v>
      </c>
      <c r="I519" s="62">
        <v>2016</v>
      </c>
      <c r="J519" s="62">
        <v>3</v>
      </c>
      <c r="K519" s="62" t="s">
        <v>16</v>
      </c>
      <c r="L519" s="62" t="s">
        <v>1</v>
      </c>
      <c r="M519" s="62">
        <v>877.98</v>
      </c>
      <c r="N519" s="62">
        <v>153.6465</v>
      </c>
    </row>
    <row r="520" spans="1:14">
      <c r="A520" s="62">
        <v>2016</v>
      </c>
      <c r="B520" s="62">
        <v>5</v>
      </c>
      <c r="C520" s="62" t="s">
        <v>4</v>
      </c>
      <c r="D520" s="62" t="s">
        <v>1</v>
      </c>
      <c r="E520" s="62">
        <v>36.6385</v>
      </c>
      <c r="F520" s="62">
        <v>18.7239</v>
      </c>
      <c r="I520" s="62">
        <v>2016</v>
      </c>
      <c r="J520" s="62">
        <v>4</v>
      </c>
      <c r="K520" s="62" t="s">
        <v>16</v>
      </c>
      <c r="L520" s="62" t="s">
        <v>1</v>
      </c>
      <c r="M520" s="62">
        <v>1102.757</v>
      </c>
      <c r="N520" s="62">
        <v>192.982475</v>
      </c>
    </row>
    <row r="521" spans="1:14">
      <c r="A521" s="62">
        <v>2016</v>
      </c>
      <c r="B521" s="62">
        <v>6</v>
      </c>
      <c r="C521" s="62" t="s">
        <v>4</v>
      </c>
      <c r="D521" s="62" t="s">
        <v>1</v>
      </c>
      <c r="E521" s="62">
        <v>16.714</v>
      </c>
      <c r="F521" s="62">
        <v>10.8485</v>
      </c>
      <c r="I521" s="62">
        <v>2016</v>
      </c>
      <c r="J521" s="62">
        <v>5</v>
      </c>
      <c r="K521" s="62" t="s">
        <v>16</v>
      </c>
      <c r="L521" s="62" t="s">
        <v>1</v>
      </c>
      <c r="M521" s="62">
        <v>838.0671</v>
      </c>
      <c r="N521" s="62">
        <v>146.6617425</v>
      </c>
    </row>
    <row r="522" spans="1:14">
      <c r="A522" s="62">
        <v>2016</v>
      </c>
      <c r="B522" s="62">
        <v>7</v>
      </c>
      <c r="C522" s="62" t="s">
        <v>4</v>
      </c>
      <c r="D522" s="62" t="s">
        <v>1</v>
      </c>
      <c r="E522" s="62">
        <v>29.56</v>
      </c>
      <c r="F522" s="62">
        <v>13.6795</v>
      </c>
      <c r="I522" s="62">
        <v>2016</v>
      </c>
      <c r="J522" s="62">
        <v>6</v>
      </c>
      <c r="K522" s="62" t="s">
        <v>16</v>
      </c>
      <c r="L522" s="62" t="s">
        <v>1</v>
      </c>
      <c r="M522" s="62">
        <v>528.792</v>
      </c>
      <c r="N522" s="62">
        <v>92.5386</v>
      </c>
    </row>
    <row r="523" spans="1:14">
      <c r="A523" s="62">
        <v>2016</v>
      </c>
      <c r="B523" s="62">
        <v>8</v>
      </c>
      <c r="C523" s="62" t="s">
        <v>4</v>
      </c>
      <c r="D523" s="62" t="s">
        <v>1</v>
      </c>
      <c r="E523" s="62">
        <v>25.11</v>
      </c>
      <c r="F523" s="62">
        <v>17.11325</v>
      </c>
      <c r="I523" s="62">
        <v>2016</v>
      </c>
      <c r="J523" s="62">
        <v>7</v>
      </c>
      <c r="K523" s="62" t="s">
        <v>16</v>
      </c>
      <c r="L523" s="62" t="s">
        <v>1</v>
      </c>
      <c r="M523" s="62">
        <v>353.393</v>
      </c>
      <c r="N523" s="62">
        <v>61.843775</v>
      </c>
    </row>
    <row r="524" spans="1:14">
      <c r="A524" s="62">
        <v>2016</v>
      </c>
      <c r="B524" s="62">
        <v>9</v>
      </c>
      <c r="C524" s="62" t="s">
        <v>4</v>
      </c>
      <c r="D524" s="62" t="s">
        <v>1</v>
      </c>
      <c r="E524" s="62">
        <v>80.81999999999999</v>
      </c>
      <c r="F524" s="62">
        <v>17.9</v>
      </c>
      <c r="I524" s="62">
        <v>2016</v>
      </c>
      <c r="J524" s="62">
        <v>8</v>
      </c>
      <c r="K524" s="62" t="s">
        <v>16</v>
      </c>
      <c r="L524" s="62" t="s">
        <v>1</v>
      </c>
      <c r="M524" s="62">
        <v>269.095</v>
      </c>
      <c r="N524" s="62">
        <v>47.091625</v>
      </c>
    </row>
    <row r="525" spans="1:14">
      <c r="A525" s="62">
        <v>2016</v>
      </c>
      <c r="B525" s="62">
        <v>10</v>
      </c>
      <c r="C525" s="62" t="s">
        <v>4</v>
      </c>
      <c r="D525" s="62" t="s">
        <v>1</v>
      </c>
      <c r="E525" s="62">
        <v>171.21</v>
      </c>
      <c r="F525" s="62">
        <v>63.4295</v>
      </c>
      <c r="I525" s="62">
        <v>2016</v>
      </c>
      <c r="J525" s="62">
        <v>9</v>
      </c>
      <c r="K525" s="62" t="s">
        <v>16</v>
      </c>
      <c r="L525" s="62" t="s">
        <v>1</v>
      </c>
      <c r="M525" s="62">
        <v>629.4475</v>
      </c>
      <c r="N525" s="62">
        <v>110.1533125</v>
      </c>
    </row>
    <row r="526" spans="1:14">
      <c r="A526" s="62">
        <v>2016</v>
      </c>
      <c r="B526" s="62">
        <v>11</v>
      </c>
      <c r="C526" s="62" t="s">
        <v>4</v>
      </c>
      <c r="D526" s="62" t="s">
        <v>1</v>
      </c>
      <c r="E526" s="62">
        <v>64.59999999999999</v>
      </c>
      <c r="F526" s="62">
        <v>20.175</v>
      </c>
      <c r="I526" s="62">
        <v>2016</v>
      </c>
      <c r="J526" s="62">
        <v>10</v>
      </c>
      <c r="K526" s="62" t="s">
        <v>16</v>
      </c>
      <c r="L526" s="62" t="s">
        <v>1</v>
      </c>
      <c r="M526" s="62">
        <v>1254.075</v>
      </c>
      <c r="N526" s="62">
        <v>219.463125</v>
      </c>
    </row>
    <row r="527" spans="1:14">
      <c r="A527" s="62">
        <v>2016</v>
      </c>
      <c r="B527" s="62">
        <v>12</v>
      </c>
      <c r="C527" s="62" t="s">
        <v>4</v>
      </c>
      <c r="D527" s="62" t="s">
        <v>1</v>
      </c>
      <c r="E527" s="62">
        <v>100.19</v>
      </c>
      <c r="F527" s="62">
        <v>30.9325</v>
      </c>
      <c r="I527" s="62">
        <v>2016</v>
      </c>
      <c r="J527" s="62">
        <v>11</v>
      </c>
      <c r="K527" s="62" t="s">
        <v>16</v>
      </c>
      <c r="L527" s="62" t="s">
        <v>1</v>
      </c>
      <c r="M527" s="62">
        <v>702.158</v>
      </c>
      <c r="N527" s="62">
        <v>122.87765</v>
      </c>
    </row>
    <row r="528" spans="1:14">
      <c r="A528" s="62">
        <v>2017</v>
      </c>
      <c r="B528" s="62">
        <v>1</v>
      </c>
      <c r="C528" s="62" t="s">
        <v>4</v>
      </c>
      <c r="D528" s="62" t="s">
        <v>1</v>
      </c>
      <c r="E528" s="62">
        <v>137.555</v>
      </c>
      <c r="F528" s="62">
        <v>45.636</v>
      </c>
      <c r="I528" s="62">
        <v>2016</v>
      </c>
      <c r="J528" s="62">
        <v>12</v>
      </c>
      <c r="K528" s="62" t="s">
        <v>16</v>
      </c>
      <c r="L528" s="62" t="s">
        <v>1</v>
      </c>
      <c r="M528" s="62">
        <v>295.124</v>
      </c>
      <c r="N528" s="62">
        <v>51.6467</v>
      </c>
    </row>
    <row r="529" spans="1:14">
      <c r="A529" s="62">
        <v>2017</v>
      </c>
      <c r="B529" s="62">
        <v>2</v>
      </c>
      <c r="C529" s="62" t="s">
        <v>4</v>
      </c>
      <c r="D529" s="62" t="s">
        <v>1</v>
      </c>
      <c r="E529" s="62">
        <v>419.905</v>
      </c>
      <c r="F529" s="62">
        <v>75.20724999999999</v>
      </c>
      <c r="I529" s="62">
        <v>2017</v>
      </c>
      <c r="J529" s="62">
        <v>1</v>
      </c>
      <c r="K529" s="62" t="s">
        <v>16</v>
      </c>
      <c r="L529" s="62" t="s">
        <v>1</v>
      </c>
      <c r="M529" s="62">
        <v>764.92</v>
      </c>
      <c r="N529" s="62">
        <v>133.861</v>
      </c>
    </row>
    <row r="530" spans="1:14">
      <c r="A530" s="62">
        <v>2017</v>
      </c>
      <c r="B530" s="62">
        <v>3</v>
      </c>
      <c r="C530" s="62" t="s">
        <v>4</v>
      </c>
      <c r="D530" s="62" t="s">
        <v>1</v>
      </c>
      <c r="E530" s="62">
        <v>517.12</v>
      </c>
      <c r="F530" s="62">
        <v>120.142</v>
      </c>
      <c r="I530" s="62">
        <v>2017</v>
      </c>
      <c r="J530" s="62">
        <v>2</v>
      </c>
      <c r="K530" s="62" t="s">
        <v>16</v>
      </c>
      <c r="L530" s="62" t="s">
        <v>1</v>
      </c>
      <c r="M530" s="62">
        <v>1514.807</v>
      </c>
      <c r="N530" s="62">
        <v>265.091225</v>
      </c>
    </row>
    <row r="531" spans="1:14">
      <c r="A531" s="62">
        <v>2017</v>
      </c>
      <c r="B531" s="62">
        <v>4</v>
      </c>
      <c r="C531" s="62" t="s">
        <v>4</v>
      </c>
      <c r="D531" s="62" t="s">
        <v>1</v>
      </c>
      <c r="E531" s="62">
        <v>213.63</v>
      </c>
      <c r="F531" s="62">
        <v>67.73575</v>
      </c>
      <c r="I531" s="62">
        <v>2017</v>
      </c>
      <c r="J531" s="62">
        <v>3</v>
      </c>
      <c r="K531" s="62" t="s">
        <v>16</v>
      </c>
      <c r="L531" s="62" t="s">
        <v>1</v>
      </c>
      <c r="M531" s="62">
        <v>1478.1</v>
      </c>
      <c r="N531" s="62">
        <v>258.6675</v>
      </c>
    </row>
    <row r="532" spans="1:14">
      <c r="A532" s="62">
        <v>2017</v>
      </c>
      <c r="B532" s="62">
        <v>5</v>
      </c>
      <c r="C532" s="62" t="s">
        <v>4</v>
      </c>
      <c r="D532" s="62" t="s">
        <v>1</v>
      </c>
      <c r="E532" s="62">
        <v>25.91</v>
      </c>
      <c r="F532" s="62">
        <v>7.81875</v>
      </c>
      <c r="I532" s="62">
        <v>2017</v>
      </c>
      <c r="J532" s="62">
        <v>4</v>
      </c>
      <c r="K532" s="62" t="s">
        <v>16</v>
      </c>
      <c r="L532" s="62" t="s">
        <v>1</v>
      </c>
      <c r="M532" s="62">
        <v>694.6375</v>
      </c>
      <c r="N532" s="62">
        <v>121.5615625</v>
      </c>
    </row>
    <row r="533" spans="1:14">
      <c r="A533" s="62">
        <v>2017</v>
      </c>
      <c r="B533" s="62">
        <v>6</v>
      </c>
      <c r="C533" s="62" t="s">
        <v>4</v>
      </c>
      <c r="D533" s="62" t="s">
        <v>1</v>
      </c>
      <c r="E533" s="62">
        <v>16.2</v>
      </c>
      <c r="F533" s="62">
        <v>0</v>
      </c>
      <c r="I533" s="62">
        <v>2017</v>
      </c>
      <c r="J533" s="62">
        <v>5</v>
      </c>
      <c r="K533" s="62" t="s">
        <v>16</v>
      </c>
      <c r="L533" s="62" t="s">
        <v>1</v>
      </c>
      <c r="M533" s="62">
        <v>550.1625</v>
      </c>
      <c r="N533" s="62">
        <v>96.2784375</v>
      </c>
    </row>
    <row r="534" spans="1:14">
      <c r="A534" s="62">
        <v>2017</v>
      </c>
      <c r="B534" s="62">
        <v>7</v>
      </c>
      <c r="C534" s="62" t="s">
        <v>4</v>
      </c>
      <c r="D534" s="62" t="s">
        <v>1</v>
      </c>
      <c r="E534" s="62">
        <v>7.011</v>
      </c>
      <c r="F534" s="62">
        <v>5.95935</v>
      </c>
      <c r="I534" s="62">
        <v>2017</v>
      </c>
      <c r="J534" s="62">
        <v>6</v>
      </c>
      <c r="K534" s="62" t="s">
        <v>16</v>
      </c>
      <c r="L534" s="62" t="s">
        <v>1</v>
      </c>
      <c r="M534" s="62">
        <v>356.31</v>
      </c>
      <c r="N534" s="62">
        <v>62.35425</v>
      </c>
    </row>
    <row r="535" spans="1:14">
      <c r="A535" s="62">
        <v>2017</v>
      </c>
      <c r="B535" s="62">
        <v>8</v>
      </c>
      <c r="C535" s="62" t="s">
        <v>4</v>
      </c>
      <c r="D535" s="62" t="s">
        <v>1</v>
      </c>
      <c r="E535" s="62">
        <v>47.775</v>
      </c>
      <c r="F535" s="62">
        <v>8.789375</v>
      </c>
      <c r="I535" s="62">
        <v>2017</v>
      </c>
      <c r="J535" s="62">
        <v>7</v>
      </c>
      <c r="K535" s="62" t="s">
        <v>16</v>
      </c>
      <c r="L535" s="62" t="s">
        <v>1</v>
      </c>
      <c r="M535" s="62">
        <v>160.9175</v>
      </c>
      <c r="N535" s="62">
        <v>28.1605625</v>
      </c>
    </row>
    <row r="536" spans="1:14">
      <c r="A536" s="62">
        <v>2017</v>
      </c>
      <c r="B536" s="62">
        <v>9</v>
      </c>
      <c r="C536" s="62" t="s">
        <v>4</v>
      </c>
      <c r="D536" s="62" t="s">
        <v>1</v>
      </c>
      <c r="E536" s="62">
        <v>143.87</v>
      </c>
      <c r="F536" s="62">
        <v>26.15725</v>
      </c>
      <c r="I536" s="62">
        <v>2017</v>
      </c>
      <c r="J536" s="62">
        <v>8</v>
      </c>
      <c r="K536" s="62" t="s">
        <v>16</v>
      </c>
      <c r="L536" s="62" t="s">
        <v>1</v>
      </c>
      <c r="M536" s="62">
        <v>690.003</v>
      </c>
      <c r="N536" s="62">
        <v>120.750525</v>
      </c>
    </row>
    <row r="537" spans="1:14">
      <c r="A537" s="62">
        <v>2017</v>
      </c>
      <c r="B537" s="62">
        <v>10</v>
      </c>
      <c r="C537" s="62" t="s">
        <v>4</v>
      </c>
      <c r="D537" s="62" t="s">
        <v>1</v>
      </c>
      <c r="E537" s="62">
        <v>25.79</v>
      </c>
      <c r="F537" s="62">
        <v>18.7425</v>
      </c>
      <c r="I537" s="62">
        <v>2017</v>
      </c>
      <c r="J537" s="62">
        <v>9</v>
      </c>
      <c r="K537" s="62" t="s">
        <v>16</v>
      </c>
      <c r="L537" s="62" t="s">
        <v>1</v>
      </c>
      <c r="M537" s="62">
        <v>2137.817</v>
      </c>
      <c r="N537" s="62">
        <v>374.117975</v>
      </c>
    </row>
    <row r="538" spans="1:14">
      <c r="A538" s="62">
        <v>2017</v>
      </c>
      <c r="B538" s="62">
        <v>11</v>
      </c>
      <c r="C538" s="62" t="s">
        <v>4</v>
      </c>
      <c r="D538" s="62" t="s">
        <v>1</v>
      </c>
      <c r="E538" s="62">
        <v>17</v>
      </c>
      <c r="F538" s="62">
        <v>2.975</v>
      </c>
      <c r="I538" s="62">
        <v>2017</v>
      </c>
      <c r="J538" s="62">
        <v>10</v>
      </c>
      <c r="K538" s="62" t="s">
        <v>16</v>
      </c>
      <c r="L538" s="62" t="s">
        <v>1</v>
      </c>
      <c r="M538" s="62">
        <v>1509.475</v>
      </c>
      <c r="N538" s="62">
        <v>264.158125</v>
      </c>
    </row>
    <row r="539" spans="1:14">
      <c r="A539" s="62">
        <v>2017</v>
      </c>
      <c r="B539" s="62">
        <v>12</v>
      </c>
      <c r="C539" s="62" t="s">
        <v>4</v>
      </c>
      <c r="D539" s="62" t="s">
        <v>1</v>
      </c>
      <c r="E539" s="62">
        <v>82.66</v>
      </c>
      <c r="F539" s="62">
        <v>11.963</v>
      </c>
      <c r="I539" s="62">
        <v>2017</v>
      </c>
      <c r="J539" s="62">
        <v>11</v>
      </c>
      <c r="K539" s="62" t="s">
        <v>16</v>
      </c>
      <c r="L539" s="62" t="s">
        <v>1</v>
      </c>
      <c r="M539" s="62">
        <v>970.0650000000001</v>
      </c>
      <c r="N539" s="62">
        <v>169.761375</v>
      </c>
    </row>
    <row r="540" spans="1:14">
      <c r="A540" s="62">
        <v>2018</v>
      </c>
      <c r="B540" s="62">
        <v>1</v>
      </c>
      <c r="C540" s="62" t="s">
        <v>4</v>
      </c>
      <c r="D540" s="62" t="s">
        <v>1</v>
      </c>
      <c r="E540" s="62">
        <v>39.06</v>
      </c>
      <c r="F540" s="62">
        <v>15.351</v>
      </c>
      <c r="I540" s="62">
        <v>2017</v>
      </c>
      <c r="J540" s="62">
        <v>12</v>
      </c>
      <c r="K540" s="62" t="s">
        <v>16</v>
      </c>
      <c r="L540" s="62" t="s">
        <v>1</v>
      </c>
      <c r="M540" s="62">
        <v>280.3515</v>
      </c>
      <c r="N540" s="62">
        <v>49.0615125</v>
      </c>
    </row>
    <row r="541" spans="1:14">
      <c r="A541" s="62">
        <v>2018</v>
      </c>
      <c r="B541" s="62">
        <v>2</v>
      </c>
      <c r="C541" s="62" t="s">
        <v>4</v>
      </c>
      <c r="D541" s="62" t="s">
        <v>1</v>
      </c>
      <c r="E541" s="62">
        <v>366.13</v>
      </c>
      <c r="F541" s="62">
        <v>116.182</v>
      </c>
      <c r="I541" s="62">
        <v>2018</v>
      </c>
      <c r="J541" s="62">
        <v>1</v>
      </c>
      <c r="K541" s="62" t="s">
        <v>16</v>
      </c>
      <c r="L541" s="62" t="s">
        <v>1</v>
      </c>
      <c r="M541" s="62">
        <v>585.1545</v>
      </c>
      <c r="N541" s="62">
        <v>102.4020375</v>
      </c>
    </row>
    <row r="542" spans="1:14">
      <c r="A542" s="62">
        <v>2018</v>
      </c>
      <c r="B542" s="62">
        <v>3</v>
      </c>
      <c r="C542" s="62" t="s">
        <v>4</v>
      </c>
      <c r="D542" s="62" t="s">
        <v>1</v>
      </c>
      <c r="E542" s="62">
        <v>565.3240000000001</v>
      </c>
      <c r="F542" s="62">
        <v>154.651</v>
      </c>
      <c r="I542" s="62">
        <v>2018</v>
      </c>
      <c r="J542" s="62">
        <v>2</v>
      </c>
      <c r="K542" s="62" t="s">
        <v>16</v>
      </c>
      <c r="L542" s="62" t="s">
        <v>1</v>
      </c>
      <c r="M542" s="62">
        <v>1405.892</v>
      </c>
      <c r="N542" s="62">
        <v>246.0311</v>
      </c>
    </row>
    <row r="543" spans="1:14">
      <c r="A543" s="62">
        <v>2018</v>
      </c>
      <c r="B543" s="62">
        <v>4</v>
      </c>
      <c r="C543" s="62" t="s">
        <v>4</v>
      </c>
      <c r="D543" s="62" t="s">
        <v>1</v>
      </c>
      <c r="E543" s="62">
        <v>79.494</v>
      </c>
      <c r="F543" s="62">
        <v>18.2305</v>
      </c>
      <c r="I543" s="62">
        <v>2018</v>
      </c>
      <c r="J543" s="62">
        <v>3</v>
      </c>
      <c r="K543" s="62" t="s">
        <v>16</v>
      </c>
      <c r="L543" s="62" t="s">
        <v>1</v>
      </c>
      <c r="M543" s="62">
        <v>1023.5475</v>
      </c>
      <c r="N543" s="62">
        <v>179.1208125</v>
      </c>
    </row>
    <row r="544" spans="1:14">
      <c r="A544" s="62">
        <v>2018</v>
      </c>
      <c r="B544" s="62">
        <v>5</v>
      </c>
      <c r="C544" s="62" t="s">
        <v>4</v>
      </c>
      <c r="D544" s="62" t="s">
        <v>1</v>
      </c>
      <c r="E544" s="62">
        <v>122.8238</v>
      </c>
      <c r="F544" s="62">
        <v>36.397725</v>
      </c>
      <c r="I544" s="62">
        <v>2018</v>
      </c>
      <c r="J544" s="62">
        <v>4</v>
      </c>
      <c r="K544" s="62" t="s">
        <v>16</v>
      </c>
      <c r="L544" s="62" t="s">
        <v>1</v>
      </c>
      <c r="M544" s="62">
        <v>1119.5935</v>
      </c>
      <c r="N544" s="62">
        <v>195.9288625</v>
      </c>
    </row>
    <row r="545" spans="1:14">
      <c r="A545" s="62">
        <v>2018</v>
      </c>
      <c r="B545" s="62">
        <v>6</v>
      </c>
      <c r="C545" s="62" t="s">
        <v>4</v>
      </c>
      <c r="D545" s="62" t="s">
        <v>1</v>
      </c>
      <c r="E545" s="62">
        <v>8.15</v>
      </c>
      <c r="F545" s="62">
        <v>4.513750000000001</v>
      </c>
      <c r="I545" s="62">
        <v>2018</v>
      </c>
      <c r="J545" s="62">
        <v>5</v>
      </c>
      <c r="K545" s="62" t="s">
        <v>16</v>
      </c>
      <c r="L545" s="62" t="s">
        <v>1</v>
      </c>
      <c r="M545" s="62">
        <v>981.0694999999999</v>
      </c>
      <c r="N545" s="62">
        <v>171.6871625</v>
      </c>
    </row>
    <row r="546" spans="1:14">
      <c r="A546" s="62">
        <v>2018</v>
      </c>
      <c r="B546" s="62">
        <v>7</v>
      </c>
      <c r="C546" s="62" t="s">
        <v>4</v>
      </c>
      <c r="D546" s="62" t="s">
        <v>1</v>
      </c>
      <c r="E546" s="62">
        <v>57.2236</v>
      </c>
      <c r="F546" s="62">
        <v>16.3693</v>
      </c>
      <c r="I546" s="62">
        <v>2018</v>
      </c>
      <c r="J546" s="62">
        <v>6</v>
      </c>
      <c r="K546" s="62" t="s">
        <v>16</v>
      </c>
      <c r="L546" s="62" t="s">
        <v>1</v>
      </c>
      <c r="M546" s="62">
        <v>202.592</v>
      </c>
      <c r="N546" s="62">
        <v>35.45359999999999</v>
      </c>
    </row>
    <row r="547" spans="1:14">
      <c r="A547" s="62">
        <v>2018</v>
      </c>
      <c r="B547" s="62">
        <v>8</v>
      </c>
      <c r="C547" s="62" t="s">
        <v>4</v>
      </c>
      <c r="D547" s="62" t="s">
        <v>1</v>
      </c>
      <c r="E547" s="62">
        <v>154.47</v>
      </c>
      <c r="F547" s="62">
        <v>52.02275</v>
      </c>
      <c r="I547" s="62">
        <v>2018</v>
      </c>
      <c r="J547" s="62">
        <v>7</v>
      </c>
      <c r="K547" s="62" t="s">
        <v>16</v>
      </c>
      <c r="L547" s="62" t="s">
        <v>1</v>
      </c>
      <c r="M547" s="62">
        <v>516.639</v>
      </c>
      <c r="N547" s="62">
        <v>90.41182499999999</v>
      </c>
    </row>
    <row r="548" spans="1:14">
      <c r="A548" s="62">
        <v>2018</v>
      </c>
      <c r="B548" s="62">
        <v>9</v>
      </c>
      <c r="C548" s="62" t="s">
        <v>4</v>
      </c>
      <c r="D548" s="62" t="s">
        <v>1</v>
      </c>
      <c r="E548" s="62">
        <v>409.0475</v>
      </c>
      <c r="F548" s="62">
        <v>121.5478225</v>
      </c>
      <c r="I548" s="62">
        <v>2018</v>
      </c>
      <c r="J548" s="62">
        <v>8</v>
      </c>
      <c r="K548" s="62" t="s">
        <v>16</v>
      </c>
      <c r="L548" s="62" t="s">
        <v>1</v>
      </c>
      <c r="M548" s="62">
        <v>492.49</v>
      </c>
      <c r="N548" s="62">
        <v>86.18575</v>
      </c>
    </row>
    <row r="549" spans="1:14">
      <c r="A549" s="62">
        <v>2018</v>
      </c>
      <c r="B549" s="62">
        <v>10</v>
      </c>
      <c r="C549" s="62" t="s">
        <v>4</v>
      </c>
      <c r="D549" s="62" t="s">
        <v>1</v>
      </c>
      <c r="E549" s="62">
        <v>636.6900000000001</v>
      </c>
      <c r="F549" s="62">
        <v>133.09825</v>
      </c>
      <c r="I549" s="62">
        <v>2018</v>
      </c>
      <c r="J549" s="62">
        <v>9</v>
      </c>
      <c r="K549" s="62" t="s">
        <v>16</v>
      </c>
      <c r="L549" s="62" t="s">
        <v>1</v>
      </c>
      <c r="M549" s="62">
        <v>902.95</v>
      </c>
      <c r="N549" s="62">
        <v>158.01625</v>
      </c>
    </row>
    <row r="550" spans="1:14">
      <c r="A550" s="62">
        <v>2018</v>
      </c>
      <c r="B550" s="62">
        <v>11</v>
      </c>
      <c r="C550" s="62" t="s">
        <v>4</v>
      </c>
      <c r="D550" s="62" t="s">
        <v>1</v>
      </c>
      <c r="E550" s="62">
        <v>387.747</v>
      </c>
      <c r="F550" s="62">
        <v>105.89325</v>
      </c>
      <c r="I550" s="62">
        <v>2018</v>
      </c>
      <c r="J550" s="62">
        <v>10</v>
      </c>
      <c r="K550" s="62" t="s">
        <v>16</v>
      </c>
      <c r="L550" s="62" t="s">
        <v>1</v>
      </c>
      <c r="M550" s="62">
        <v>1770.9164</v>
      </c>
      <c r="N550" s="62">
        <v>309.91037</v>
      </c>
    </row>
    <row r="551" spans="1:14">
      <c r="A551" s="62">
        <v>2018</v>
      </c>
      <c r="B551" s="62">
        <v>12</v>
      </c>
      <c r="C551" s="62" t="s">
        <v>4</v>
      </c>
      <c r="D551" s="62" t="s">
        <v>1</v>
      </c>
      <c r="E551" s="62">
        <v>67.217</v>
      </c>
      <c r="F551" s="62">
        <v>40.3267</v>
      </c>
      <c r="I551" s="62">
        <v>2018</v>
      </c>
      <c r="J551" s="62">
        <v>11</v>
      </c>
      <c r="K551" s="62" t="s">
        <v>16</v>
      </c>
      <c r="L551" s="62" t="s">
        <v>1</v>
      </c>
      <c r="M551" s="62">
        <v>695.3920000000001</v>
      </c>
      <c r="N551" s="62">
        <v>121.6936</v>
      </c>
    </row>
    <row r="552" spans="1:14">
      <c r="A552" s="62">
        <v>2019</v>
      </c>
      <c r="B552" s="62">
        <v>1</v>
      </c>
      <c r="C552" s="62" t="s">
        <v>4</v>
      </c>
      <c r="D552" s="62" t="s">
        <v>1</v>
      </c>
      <c r="E552" s="62">
        <v>219.9</v>
      </c>
      <c r="F552" s="62">
        <v>49.7323</v>
      </c>
      <c r="I552" s="62">
        <v>2018</v>
      </c>
      <c r="J552" s="62">
        <v>12</v>
      </c>
      <c r="K552" s="62" t="s">
        <v>16</v>
      </c>
      <c r="L552" s="62" t="s">
        <v>1</v>
      </c>
      <c r="M552" s="62">
        <v>191.898</v>
      </c>
      <c r="N552" s="62">
        <v>33.58215</v>
      </c>
    </row>
    <row r="553" spans="1:14">
      <c r="A553" s="62">
        <v>2019</v>
      </c>
      <c r="B553" s="62">
        <v>2</v>
      </c>
      <c r="C553" s="62" t="s">
        <v>4</v>
      </c>
      <c r="D553" s="62" t="s">
        <v>1</v>
      </c>
      <c r="E553" s="62">
        <v>661.0504</v>
      </c>
      <c r="F553" s="62">
        <v>168.66768</v>
      </c>
      <c r="I553" s="62">
        <v>2019</v>
      </c>
      <c r="J553" s="62">
        <v>1</v>
      </c>
      <c r="K553" s="62" t="s">
        <v>16</v>
      </c>
      <c r="L553" s="62" t="s">
        <v>1</v>
      </c>
      <c r="M553" s="62">
        <v>888.274</v>
      </c>
      <c r="N553" s="62">
        <v>155.44795</v>
      </c>
    </row>
    <row r="554" spans="1:14">
      <c r="A554" s="62">
        <v>2019</v>
      </c>
      <c r="B554" s="62">
        <v>3</v>
      </c>
      <c r="C554" s="62" t="s">
        <v>4</v>
      </c>
      <c r="D554" s="62" t="s">
        <v>1</v>
      </c>
      <c r="E554" s="62">
        <v>329.253</v>
      </c>
      <c r="F554" s="62">
        <v>105.297325</v>
      </c>
      <c r="I554" s="62">
        <v>2019</v>
      </c>
      <c r="J554" s="62">
        <v>2</v>
      </c>
      <c r="K554" s="62" t="s">
        <v>16</v>
      </c>
      <c r="L554" s="62" t="s">
        <v>1</v>
      </c>
      <c r="M554" s="62">
        <v>1821.6495</v>
      </c>
      <c r="N554" s="62">
        <v>318.7886625</v>
      </c>
    </row>
    <row r="555" spans="1:14">
      <c r="A555" s="62">
        <v>2019</v>
      </c>
      <c r="B555" s="62">
        <v>4</v>
      </c>
      <c r="C555" s="62" t="s">
        <v>4</v>
      </c>
      <c r="D555" s="62" t="s">
        <v>1</v>
      </c>
      <c r="E555" s="62">
        <v>177.8825</v>
      </c>
      <c r="F555" s="62">
        <v>50.912075</v>
      </c>
      <c r="I555" s="62">
        <v>2019</v>
      </c>
      <c r="J555" s="62">
        <v>3</v>
      </c>
      <c r="K555" s="62" t="s">
        <v>16</v>
      </c>
      <c r="L555" s="62" t="s">
        <v>1</v>
      </c>
      <c r="M555" s="62">
        <v>1501.4273</v>
      </c>
      <c r="N555" s="62">
        <v>262.7497775</v>
      </c>
    </row>
    <row r="556" spans="1:14">
      <c r="A556" s="62">
        <v>2019</v>
      </c>
      <c r="B556" s="62">
        <v>5</v>
      </c>
      <c r="C556" s="62" t="s">
        <v>4</v>
      </c>
      <c r="D556" s="62" t="s">
        <v>1</v>
      </c>
      <c r="E556" s="62">
        <v>67.13</v>
      </c>
      <c r="F556" s="62">
        <v>12.8215</v>
      </c>
      <c r="I556" s="62">
        <v>2019</v>
      </c>
      <c r="J556" s="62">
        <v>4</v>
      </c>
      <c r="K556" s="62" t="s">
        <v>16</v>
      </c>
      <c r="L556" s="62" t="s">
        <v>1</v>
      </c>
      <c r="M556" s="62">
        <v>1079.53</v>
      </c>
      <c r="N556" s="62">
        <v>188.91775</v>
      </c>
    </row>
    <row r="557" spans="1:14">
      <c r="A557" s="62">
        <v>2019</v>
      </c>
      <c r="B557" s="62">
        <v>6</v>
      </c>
      <c r="C557" s="62" t="s">
        <v>4</v>
      </c>
      <c r="D557" s="62" t="s">
        <v>1</v>
      </c>
      <c r="E557" s="62">
        <v>395.805</v>
      </c>
      <c r="F557" s="62">
        <v>101.654</v>
      </c>
      <c r="I557" s="62">
        <v>2019</v>
      </c>
      <c r="J557" s="62">
        <v>5</v>
      </c>
      <c r="K557" s="62" t="s">
        <v>16</v>
      </c>
      <c r="L557" s="62" t="s">
        <v>1</v>
      </c>
      <c r="M557" s="62">
        <v>874.202</v>
      </c>
      <c r="N557" s="62">
        <v>152.98535</v>
      </c>
    </row>
    <row r="558" spans="1:14">
      <c r="A558" s="62">
        <v>2019</v>
      </c>
      <c r="B558" s="62">
        <v>7</v>
      </c>
      <c r="C558" s="62" t="s">
        <v>4</v>
      </c>
      <c r="D558" s="62" t="s">
        <v>1</v>
      </c>
      <c r="E558" s="62">
        <v>349.8</v>
      </c>
      <c r="F558" s="62">
        <v>97.70375</v>
      </c>
      <c r="I558" s="62">
        <v>2019</v>
      </c>
      <c r="J558" s="62">
        <v>6</v>
      </c>
      <c r="K558" s="62" t="s">
        <v>16</v>
      </c>
      <c r="L558" s="62" t="s">
        <v>1</v>
      </c>
      <c r="M558" s="62">
        <v>574.515</v>
      </c>
      <c r="N558" s="62">
        <v>100.540125</v>
      </c>
    </row>
    <row r="559" spans="1:14">
      <c r="A559" s="62">
        <v>2019</v>
      </c>
      <c r="B559" s="62">
        <v>8</v>
      </c>
      <c r="C559" s="62" t="s">
        <v>4</v>
      </c>
      <c r="D559" s="62" t="s">
        <v>1</v>
      </c>
      <c r="E559" s="62">
        <v>300.392</v>
      </c>
      <c r="F559" s="62">
        <v>97.0866</v>
      </c>
      <c r="I559" s="62">
        <v>2019</v>
      </c>
      <c r="J559" s="62">
        <v>7</v>
      </c>
      <c r="K559" s="62" t="s">
        <v>16</v>
      </c>
      <c r="L559" s="62" t="s">
        <v>1</v>
      </c>
      <c r="M559" s="62">
        <v>491.8609</v>
      </c>
      <c r="N559" s="62">
        <v>86.07565749999999</v>
      </c>
    </row>
    <row r="560" spans="1:14">
      <c r="A560" s="62">
        <v>2019</v>
      </c>
      <c r="B560" s="62">
        <v>9</v>
      </c>
      <c r="C560" s="62" t="s">
        <v>4</v>
      </c>
      <c r="D560" s="62" t="s">
        <v>1</v>
      </c>
      <c r="E560" s="62">
        <v>301.03</v>
      </c>
      <c r="F560" s="62">
        <v>95.73325</v>
      </c>
      <c r="I560" s="62">
        <v>2019</v>
      </c>
      <c r="J560" s="62">
        <v>8</v>
      </c>
      <c r="K560" s="62" t="s">
        <v>16</v>
      </c>
      <c r="L560" s="62" t="s">
        <v>1</v>
      </c>
      <c r="M560" s="62">
        <v>538.5739</v>
      </c>
      <c r="N560" s="62">
        <v>94.25043249999999</v>
      </c>
    </row>
    <row r="561" spans="1:14">
      <c r="A561" s="62">
        <v>2019</v>
      </c>
      <c r="B561" s="62">
        <v>10</v>
      </c>
      <c r="C561" s="62" t="s">
        <v>4</v>
      </c>
      <c r="D561" s="62" t="s">
        <v>1</v>
      </c>
      <c r="E561" s="62">
        <v>503.16</v>
      </c>
      <c r="F561" s="62">
        <v>143.682</v>
      </c>
      <c r="I561" s="62">
        <v>2019</v>
      </c>
      <c r="J561" s="62">
        <v>9</v>
      </c>
      <c r="K561" s="62" t="s">
        <v>16</v>
      </c>
      <c r="L561" s="62" t="s">
        <v>1</v>
      </c>
      <c r="M561" s="62">
        <v>1480.363</v>
      </c>
      <c r="N561" s="62">
        <v>259.063525</v>
      </c>
    </row>
    <row r="562" spans="1:14">
      <c r="A562" s="62">
        <v>2019</v>
      </c>
      <c r="B562" s="62">
        <v>11</v>
      </c>
      <c r="C562" s="62" t="s">
        <v>4</v>
      </c>
      <c r="D562" s="62" t="s">
        <v>1</v>
      </c>
      <c r="E562" s="62">
        <v>319.59</v>
      </c>
      <c r="F562" s="62">
        <v>96.116</v>
      </c>
      <c r="I562" s="62">
        <v>2019</v>
      </c>
      <c r="J562" s="62">
        <v>10</v>
      </c>
      <c r="K562" s="62" t="s">
        <v>16</v>
      </c>
      <c r="L562" s="62" t="s">
        <v>1</v>
      </c>
      <c r="M562" s="62">
        <v>1924.876</v>
      </c>
      <c r="N562" s="62">
        <v>336.8533</v>
      </c>
    </row>
    <row r="563" spans="1:14">
      <c r="A563" s="62">
        <v>2019</v>
      </c>
      <c r="B563" s="62">
        <v>12</v>
      </c>
      <c r="C563" s="62" t="s">
        <v>4</v>
      </c>
      <c r="D563" s="62" t="s">
        <v>1</v>
      </c>
      <c r="E563" s="62">
        <v>314.77</v>
      </c>
      <c r="F563" s="62">
        <v>94.8</v>
      </c>
      <c r="I563" s="62">
        <v>2019</v>
      </c>
      <c r="J563" s="62">
        <v>11</v>
      </c>
      <c r="K563" s="62" t="s">
        <v>16</v>
      </c>
      <c r="L563" s="62" t="s">
        <v>1</v>
      </c>
      <c r="M563" s="62">
        <v>1342.23</v>
      </c>
      <c r="N563" s="62">
        <v>234.89025</v>
      </c>
    </row>
    <row r="564" spans="1:14">
      <c r="A564" s="62">
        <v>2020</v>
      </c>
      <c r="B564" s="62">
        <v>1</v>
      </c>
      <c r="C564" s="62" t="s">
        <v>4</v>
      </c>
      <c r="D564" s="62" t="s">
        <v>1</v>
      </c>
      <c r="E564" s="62">
        <v>290.98</v>
      </c>
      <c r="F564" s="62">
        <v>91.29649999999999</v>
      </c>
      <c r="I564" s="62">
        <v>2019</v>
      </c>
      <c r="J564" s="62">
        <v>12</v>
      </c>
      <c r="K564" s="62" t="s">
        <v>16</v>
      </c>
      <c r="L564" s="62" t="s">
        <v>1</v>
      </c>
      <c r="M564" s="62">
        <v>551.6912</v>
      </c>
      <c r="N564" s="62">
        <v>96.54595999999999</v>
      </c>
    </row>
    <row r="565" spans="1:14">
      <c r="A565" s="62">
        <v>2020</v>
      </c>
      <c r="B565" s="62">
        <v>2</v>
      </c>
      <c r="C565" s="62" t="s">
        <v>4</v>
      </c>
      <c r="D565" s="62" t="s">
        <v>1</v>
      </c>
      <c r="E565" s="62">
        <v>504.95</v>
      </c>
      <c r="F565" s="62">
        <v>183.70385</v>
      </c>
      <c r="I565" s="62">
        <v>2020</v>
      </c>
      <c r="J565" s="62">
        <v>1</v>
      </c>
      <c r="K565" s="62" t="s">
        <v>16</v>
      </c>
      <c r="L565" s="62" t="s">
        <v>1</v>
      </c>
      <c r="M565" s="62">
        <v>969.65</v>
      </c>
      <c r="N565" s="62">
        <v>169.68875</v>
      </c>
    </row>
    <row r="566" spans="1:14">
      <c r="A566" s="62">
        <v>2020</v>
      </c>
      <c r="B566" s="62">
        <v>3</v>
      </c>
      <c r="C566" s="62" t="s">
        <v>4</v>
      </c>
      <c r="D566" s="62" t="s">
        <v>1</v>
      </c>
      <c r="E566" s="62">
        <v>617.8194999999999</v>
      </c>
      <c r="F566" s="62">
        <v>184.8652225</v>
      </c>
      <c r="I566" s="62">
        <v>2020</v>
      </c>
      <c r="J566" s="62">
        <v>2</v>
      </c>
      <c r="K566" s="62" t="s">
        <v>16</v>
      </c>
      <c r="L566" s="62" t="s">
        <v>1</v>
      </c>
      <c r="M566" s="62">
        <v>1285.956</v>
      </c>
      <c r="N566" s="62">
        <v>225.0423</v>
      </c>
    </row>
    <row r="567" spans="1:14">
      <c r="A567" s="62">
        <v>2020</v>
      </c>
      <c r="B567" s="62">
        <v>4</v>
      </c>
      <c r="C567" s="62" t="s">
        <v>4</v>
      </c>
      <c r="D567" s="62" t="s">
        <v>1</v>
      </c>
      <c r="E567" s="62">
        <v>1131.036</v>
      </c>
      <c r="F567" s="62">
        <v>316.20885</v>
      </c>
      <c r="I567" s="62">
        <v>2020</v>
      </c>
      <c r="J567" s="62">
        <v>3</v>
      </c>
      <c r="K567" s="62" t="s">
        <v>16</v>
      </c>
      <c r="L567" s="62" t="s">
        <v>1</v>
      </c>
      <c r="M567" s="62">
        <v>1836.2249</v>
      </c>
      <c r="N567" s="62">
        <v>321.3393575</v>
      </c>
    </row>
    <row r="568" spans="1:14">
      <c r="A568" s="62">
        <v>2020</v>
      </c>
      <c r="B568" s="62">
        <v>5</v>
      </c>
      <c r="C568" s="62" t="s">
        <v>4</v>
      </c>
      <c r="D568" s="62" t="s">
        <v>1</v>
      </c>
      <c r="E568" s="62">
        <v>1091.234</v>
      </c>
      <c r="F568" s="62">
        <v>306.94155</v>
      </c>
      <c r="I568" s="62">
        <v>2020</v>
      </c>
      <c r="J568" s="62">
        <v>4</v>
      </c>
      <c r="K568" s="62" t="s">
        <v>16</v>
      </c>
      <c r="L568" s="62" t="s">
        <v>1</v>
      </c>
      <c r="M568" s="62">
        <v>4930.4634</v>
      </c>
      <c r="N568" s="62">
        <v>862.831095</v>
      </c>
    </row>
    <row r="569" spans="1:14">
      <c r="A569" s="62">
        <v>2020</v>
      </c>
      <c r="B569" s="62">
        <v>6</v>
      </c>
      <c r="C569" s="62" t="s">
        <v>4</v>
      </c>
      <c r="D569" s="62" t="s">
        <v>1</v>
      </c>
      <c r="E569" s="62">
        <v>1086.945</v>
      </c>
      <c r="F569" s="62">
        <v>309.67825</v>
      </c>
      <c r="I569" s="62">
        <v>2020</v>
      </c>
      <c r="J569" s="62">
        <v>5</v>
      </c>
      <c r="K569" s="62" t="s">
        <v>16</v>
      </c>
      <c r="L569" s="62" t="s">
        <v>1</v>
      </c>
      <c r="M569" s="62">
        <v>5062.5562</v>
      </c>
      <c r="N569" s="62">
        <v>885.947335</v>
      </c>
    </row>
    <row r="570" spans="1:14">
      <c r="A570" s="62">
        <v>2020</v>
      </c>
      <c r="B570" s="62">
        <v>7</v>
      </c>
      <c r="C570" s="62" t="s">
        <v>4</v>
      </c>
      <c r="D570" s="62" t="s">
        <v>1</v>
      </c>
      <c r="E570" s="62">
        <v>1141.977</v>
      </c>
      <c r="F570" s="62">
        <v>308.507875</v>
      </c>
      <c r="I570" s="62">
        <v>2020</v>
      </c>
      <c r="J570" s="62">
        <v>6</v>
      </c>
      <c r="K570" s="62" t="s">
        <v>16</v>
      </c>
      <c r="L570" s="62" t="s">
        <v>1</v>
      </c>
      <c r="M570" s="62">
        <v>4733.735</v>
      </c>
      <c r="N570" s="62">
        <v>828.4036249999999</v>
      </c>
    </row>
    <row r="571" spans="1:14">
      <c r="A571" s="62">
        <v>2020</v>
      </c>
      <c r="B571" s="62">
        <v>8</v>
      </c>
      <c r="C571" s="62" t="s">
        <v>4</v>
      </c>
      <c r="D571" s="62" t="s">
        <v>1</v>
      </c>
      <c r="E571" s="62">
        <v>697.163</v>
      </c>
      <c r="F571" s="62">
        <v>153.7880625</v>
      </c>
      <c r="I571" s="62">
        <v>2020</v>
      </c>
      <c r="J571" s="62">
        <v>7</v>
      </c>
      <c r="K571" s="62" t="s">
        <v>16</v>
      </c>
      <c r="L571" s="62" t="s">
        <v>1</v>
      </c>
      <c r="M571" s="62">
        <v>4616.648</v>
      </c>
      <c r="N571" s="62">
        <v>807.9133999999999</v>
      </c>
    </row>
    <row r="572" spans="1:14">
      <c r="A572" s="62">
        <v>2020</v>
      </c>
      <c r="B572" s="62">
        <v>9</v>
      </c>
      <c r="C572" s="62" t="s">
        <v>4</v>
      </c>
      <c r="D572" s="62" t="s">
        <v>1</v>
      </c>
      <c r="E572" s="62">
        <v>773.6972</v>
      </c>
      <c r="F572" s="62">
        <v>159.62241</v>
      </c>
      <c r="I572" s="62">
        <v>2020</v>
      </c>
      <c r="J572" s="62">
        <v>8</v>
      </c>
      <c r="K572" s="62" t="s">
        <v>16</v>
      </c>
      <c r="L572" s="62" t="s">
        <v>1</v>
      </c>
      <c r="M572" s="62">
        <v>4540.8615</v>
      </c>
      <c r="N572" s="62">
        <v>794.6507624999999</v>
      </c>
    </row>
    <row r="573" spans="1:14">
      <c r="A573" s="62">
        <v>2020</v>
      </c>
      <c r="B573" s="62">
        <v>10</v>
      </c>
      <c r="C573" s="62" t="s">
        <v>4</v>
      </c>
      <c r="D573" s="62" t="s">
        <v>1</v>
      </c>
      <c r="E573" s="62">
        <v>747.99</v>
      </c>
      <c r="F573" s="62">
        <v>152.29405</v>
      </c>
      <c r="I573" s="62">
        <v>2020</v>
      </c>
      <c r="J573" s="62">
        <v>9</v>
      </c>
      <c r="K573" s="62" t="s">
        <v>16</v>
      </c>
      <c r="L573" s="62" t="s">
        <v>1</v>
      </c>
      <c r="M573" s="62">
        <v>5097.81</v>
      </c>
      <c r="N573" s="62">
        <v>892.1167499999999</v>
      </c>
    </row>
    <row r="574" spans="1:14">
      <c r="A574" s="62">
        <v>2020</v>
      </c>
      <c r="B574" s="62">
        <v>11</v>
      </c>
      <c r="C574" s="62" t="s">
        <v>4</v>
      </c>
      <c r="D574" s="62" t="s">
        <v>1</v>
      </c>
      <c r="E574" s="62">
        <v>576.38</v>
      </c>
      <c r="F574" s="62">
        <v>118.40425</v>
      </c>
      <c r="I574" s="62">
        <v>2020</v>
      </c>
      <c r="J574" s="62">
        <v>10</v>
      </c>
      <c r="K574" s="62" t="s">
        <v>16</v>
      </c>
      <c r="L574" s="62" t="s">
        <v>1</v>
      </c>
      <c r="M574" s="62">
        <v>4906.1328</v>
      </c>
      <c r="N574" s="62">
        <v>858.5732399999999</v>
      </c>
    </row>
    <row r="575" spans="1:14">
      <c r="A575" s="62">
        <v>2020</v>
      </c>
      <c r="B575" s="62">
        <v>12</v>
      </c>
      <c r="C575" s="62" t="s">
        <v>4</v>
      </c>
      <c r="D575" s="62" t="s">
        <v>1</v>
      </c>
      <c r="E575" s="62">
        <v>591.58</v>
      </c>
      <c r="F575" s="62">
        <v>132.956125</v>
      </c>
      <c r="I575" s="62">
        <v>2020</v>
      </c>
      <c r="J575" s="62">
        <v>11</v>
      </c>
      <c r="K575" s="62" t="s">
        <v>16</v>
      </c>
      <c r="L575" s="62" t="s">
        <v>1</v>
      </c>
      <c r="M575" s="62">
        <v>4283.7555</v>
      </c>
      <c r="N575" s="62">
        <v>749.6572125</v>
      </c>
    </row>
    <row r="576" spans="1:14">
      <c r="A576" s="62">
        <v>2021</v>
      </c>
      <c r="B576" s="62">
        <v>1</v>
      </c>
      <c r="C576" s="62" t="s">
        <v>4</v>
      </c>
      <c r="D576" s="62" t="s">
        <v>1</v>
      </c>
      <c r="E576" s="62">
        <v>592.38</v>
      </c>
      <c r="F576" s="62">
        <v>136.66675</v>
      </c>
      <c r="I576" s="62">
        <v>2020</v>
      </c>
      <c r="J576" s="62">
        <v>12</v>
      </c>
      <c r="K576" s="62" t="s">
        <v>16</v>
      </c>
      <c r="L576" s="62" t="s">
        <v>1</v>
      </c>
      <c r="M576" s="62">
        <v>4248.6835</v>
      </c>
      <c r="N576" s="62">
        <v>743.5196125</v>
      </c>
    </row>
    <row r="577" spans="1:14">
      <c r="A577" s="62">
        <v>2021</v>
      </c>
      <c r="B577" s="62">
        <v>2</v>
      </c>
      <c r="C577" s="62" t="s">
        <v>4</v>
      </c>
      <c r="D577" s="62" t="s">
        <v>1</v>
      </c>
      <c r="E577" s="62">
        <v>621.0598</v>
      </c>
      <c r="F577" s="62">
        <v>143.747375</v>
      </c>
      <c r="I577" s="62">
        <v>2021</v>
      </c>
      <c r="J577" s="62">
        <v>1</v>
      </c>
      <c r="K577" s="62" t="s">
        <v>16</v>
      </c>
      <c r="L577" s="62" t="s">
        <v>1</v>
      </c>
      <c r="M577" s="62">
        <v>4249.003</v>
      </c>
      <c r="N577" s="62">
        <v>743.575525</v>
      </c>
    </row>
    <row r="578" spans="1:14">
      <c r="A578" s="62">
        <v>2021</v>
      </c>
      <c r="B578" s="62">
        <v>3</v>
      </c>
      <c r="C578" s="62" t="s">
        <v>4</v>
      </c>
      <c r="D578" s="62" t="s">
        <v>1</v>
      </c>
      <c r="E578" s="62">
        <v>539.6717</v>
      </c>
      <c r="F578" s="62">
        <v>123.4984</v>
      </c>
      <c r="I578" s="62">
        <v>2021</v>
      </c>
      <c r="J578" s="62">
        <v>2</v>
      </c>
      <c r="K578" s="62" t="s">
        <v>16</v>
      </c>
      <c r="L578" s="62" t="s">
        <v>1</v>
      </c>
      <c r="M578" s="62">
        <v>6272.6802</v>
      </c>
      <c r="N578" s="62">
        <v>1097.719035</v>
      </c>
    </row>
    <row r="579" spans="1:14">
      <c r="A579" s="62">
        <v>2021</v>
      </c>
      <c r="B579" s="62">
        <v>4</v>
      </c>
      <c r="C579" s="62" t="s">
        <v>4</v>
      </c>
      <c r="D579" s="62" t="s">
        <v>1</v>
      </c>
      <c r="E579" s="62">
        <v>451.194</v>
      </c>
      <c r="F579" s="62">
        <v>101.71025</v>
      </c>
      <c r="I579" s="62">
        <v>2021</v>
      </c>
      <c r="J579" s="62">
        <v>3</v>
      </c>
      <c r="K579" s="62" t="s">
        <v>16</v>
      </c>
      <c r="L579" s="62" t="s">
        <v>1</v>
      </c>
      <c r="M579" s="62">
        <v>4273.5522</v>
      </c>
      <c r="N579" s="62">
        <v>747.871635</v>
      </c>
    </row>
    <row r="580" spans="1:14">
      <c r="A580" s="62">
        <v>2021</v>
      </c>
      <c r="B580" s="62">
        <v>5</v>
      </c>
      <c r="C580" s="62" t="s">
        <v>4</v>
      </c>
      <c r="D580" s="62" t="s">
        <v>1</v>
      </c>
      <c r="E580" s="62">
        <v>279.068</v>
      </c>
      <c r="F580" s="62">
        <v>81.91305</v>
      </c>
      <c r="I580" s="62">
        <v>2021</v>
      </c>
      <c r="J580" s="62">
        <v>4</v>
      </c>
      <c r="K580" s="62" t="s">
        <v>16</v>
      </c>
      <c r="L580" s="62" t="s">
        <v>1</v>
      </c>
      <c r="M580" s="62">
        <v>2523.599</v>
      </c>
      <c r="N580" s="62">
        <v>441.629825</v>
      </c>
    </row>
    <row r="581" spans="1:14">
      <c r="A581" s="62">
        <v>2021</v>
      </c>
      <c r="B581" s="62">
        <v>6</v>
      </c>
      <c r="C581" s="62" t="s">
        <v>4</v>
      </c>
      <c r="D581" s="62" t="s">
        <v>1</v>
      </c>
      <c r="E581" s="62">
        <v>246.5642</v>
      </c>
      <c r="F581" s="62">
        <v>68.0297875</v>
      </c>
      <c r="I581" s="62">
        <v>2021</v>
      </c>
      <c r="J581" s="62">
        <v>5</v>
      </c>
      <c r="K581" s="62" t="s">
        <v>16</v>
      </c>
      <c r="L581" s="62" t="s">
        <v>1</v>
      </c>
      <c r="M581" s="62">
        <v>1496.6992</v>
      </c>
      <c r="N581" s="62">
        <v>261.92236</v>
      </c>
    </row>
    <row r="582" spans="1:14">
      <c r="A582" s="62">
        <v>2021</v>
      </c>
      <c r="B582" s="62">
        <v>7</v>
      </c>
      <c r="C582" s="62" t="s">
        <v>4</v>
      </c>
      <c r="D582" s="62" t="s">
        <v>1</v>
      </c>
      <c r="E582" s="62">
        <v>159.1516</v>
      </c>
      <c r="F582" s="62">
        <v>51.106835</v>
      </c>
      <c r="I582" s="62">
        <v>2021</v>
      </c>
      <c r="J582" s="62">
        <v>6</v>
      </c>
      <c r="K582" s="62" t="s">
        <v>16</v>
      </c>
      <c r="L582" s="62" t="s">
        <v>1</v>
      </c>
      <c r="M582" s="62">
        <v>1243.223</v>
      </c>
      <c r="N582" s="62">
        <v>217.564025</v>
      </c>
    </row>
    <row r="583" spans="1:14">
      <c r="A583" s="62">
        <v>2021</v>
      </c>
      <c r="B583" s="62">
        <v>8</v>
      </c>
      <c r="C583" s="62" t="s">
        <v>4</v>
      </c>
      <c r="D583" s="62" t="s">
        <v>1</v>
      </c>
      <c r="E583" s="62">
        <v>140.35</v>
      </c>
      <c r="F583" s="62">
        <v>46.072</v>
      </c>
      <c r="I583" s="62">
        <v>2021</v>
      </c>
      <c r="J583" s="62">
        <v>7</v>
      </c>
      <c r="K583" s="62" t="s">
        <v>16</v>
      </c>
      <c r="L583" s="62" t="s">
        <v>1</v>
      </c>
      <c r="M583" s="62">
        <v>1248.0145</v>
      </c>
      <c r="N583" s="62">
        <v>218.4025375</v>
      </c>
    </row>
    <row r="584" spans="1:14">
      <c r="A584" s="62">
        <v>2021</v>
      </c>
      <c r="B584" s="62">
        <v>9</v>
      </c>
      <c r="C584" s="62" t="s">
        <v>4</v>
      </c>
      <c r="D584" s="62" t="s">
        <v>1</v>
      </c>
      <c r="E584" s="62">
        <v>137.39</v>
      </c>
      <c r="F584" s="62">
        <v>45.64325</v>
      </c>
      <c r="I584" s="62">
        <v>2021</v>
      </c>
      <c r="J584" s="62">
        <v>8</v>
      </c>
      <c r="K584" s="62" t="s">
        <v>16</v>
      </c>
      <c r="L584" s="62" t="s">
        <v>1</v>
      </c>
      <c r="M584" s="62">
        <v>1200.2772</v>
      </c>
      <c r="N584" s="62">
        <v>210.04851</v>
      </c>
    </row>
    <row r="585" spans="1:14">
      <c r="A585" s="62">
        <v>2021</v>
      </c>
      <c r="B585" s="62">
        <v>10</v>
      </c>
      <c r="C585" s="62" t="s">
        <v>4</v>
      </c>
      <c r="D585" s="62" t="s">
        <v>1</v>
      </c>
      <c r="E585" s="62">
        <v>372.25</v>
      </c>
      <c r="F585" s="62">
        <v>86.74374999999999</v>
      </c>
      <c r="I585" s="62">
        <v>2021</v>
      </c>
      <c r="J585" s="62">
        <v>9</v>
      </c>
      <c r="K585" s="62" t="s">
        <v>16</v>
      </c>
      <c r="L585" s="62" t="s">
        <v>1</v>
      </c>
      <c r="M585" s="62">
        <v>2318.247</v>
      </c>
      <c r="N585" s="62">
        <v>405.693225</v>
      </c>
    </row>
    <row r="586" spans="1:14">
      <c r="A586" s="62">
        <v>2021</v>
      </c>
      <c r="B586" s="62">
        <v>11</v>
      </c>
      <c r="C586" s="62" t="s">
        <v>4</v>
      </c>
      <c r="D586" s="62" t="s">
        <v>1</v>
      </c>
      <c r="E586" s="62">
        <v>146.83</v>
      </c>
      <c r="F586" s="62">
        <v>48.166</v>
      </c>
      <c r="I586" s="62">
        <v>2021</v>
      </c>
      <c r="J586" s="62">
        <v>10</v>
      </c>
      <c r="K586" s="62" t="s">
        <v>16</v>
      </c>
      <c r="L586" s="62" t="s">
        <v>1</v>
      </c>
      <c r="M586" s="62">
        <v>2308.0225</v>
      </c>
      <c r="N586" s="62">
        <v>403.9039375</v>
      </c>
    </row>
    <row r="587" spans="1:14">
      <c r="A587" s="62">
        <v>2021</v>
      </c>
      <c r="B587" s="62">
        <v>12</v>
      </c>
      <c r="C587" s="62" t="s">
        <v>4</v>
      </c>
      <c r="D587" s="62" t="s">
        <v>1</v>
      </c>
      <c r="E587" s="62">
        <v>119.56</v>
      </c>
      <c r="F587" s="62">
        <v>42.523</v>
      </c>
      <c r="I587" s="62">
        <v>2021</v>
      </c>
      <c r="J587" s="62">
        <v>11</v>
      </c>
      <c r="K587" s="62" t="s">
        <v>16</v>
      </c>
      <c r="L587" s="62" t="s">
        <v>1</v>
      </c>
      <c r="M587" s="62">
        <v>1459.666</v>
      </c>
      <c r="N587" s="62">
        <v>255.44155</v>
      </c>
    </row>
    <row r="588" spans="1:14">
      <c r="A588" s="62">
        <v>2022</v>
      </c>
      <c r="B588" s="62">
        <v>1</v>
      </c>
      <c r="C588" s="62" t="s">
        <v>4</v>
      </c>
      <c r="D588" s="62" t="s">
        <v>1</v>
      </c>
      <c r="E588" s="62">
        <v>122.5</v>
      </c>
      <c r="F588" s="62">
        <v>45.175</v>
      </c>
      <c r="I588" s="62">
        <v>2021</v>
      </c>
      <c r="J588" s="62">
        <v>12</v>
      </c>
      <c r="K588" s="62" t="s">
        <v>16</v>
      </c>
      <c r="L588" s="62" t="s">
        <v>1</v>
      </c>
      <c r="M588" s="62">
        <v>1016.0274</v>
      </c>
      <c r="N588" s="62">
        <v>177.804795</v>
      </c>
    </row>
    <row r="589" spans="1:14">
      <c r="A589" s="62">
        <v>2022</v>
      </c>
      <c r="B589" s="62">
        <v>2</v>
      </c>
      <c r="C589" s="62" t="s">
        <v>4</v>
      </c>
      <c r="D589" s="62" t="s">
        <v>1</v>
      </c>
      <c r="E589" s="62">
        <v>198.46</v>
      </c>
      <c r="F589" s="62">
        <v>66.99299999999999</v>
      </c>
      <c r="I589" s="62">
        <v>2022</v>
      </c>
      <c r="J589" s="62">
        <v>1</v>
      </c>
      <c r="K589" s="62" t="s">
        <v>16</v>
      </c>
      <c r="L589" s="62" t="s">
        <v>1</v>
      </c>
      <c r="M589" s="62">
        <v>1084</v>
      </c>
      <c r="N589" s="62">
        <v>189.7</v>
      </c>
    </row>
    <row r="590" spans="1:14">
      <c r="A590" s="62">
        <v>2022</v>
      </c>
      <c r="B590" s="62">
        <v>3</v>
      </c>
      <c r="C590" s="62" t="s">
        <v>4</v>
      </c>
      <c r="D590" s="62" t="s">
        <v>1</v>
      </c>
      <c r="E590" s="62">
        <v>389.352</v>
      </c>
      <c r="F590" s="62">
        <v>108.52875</v>
      </c>
      <c r="I590" s="62">
        <v>2022</v>
      </c>
      <c r="J590" s="62">
        <v>2</v>
      </c>
      <c r="K590" s="62" t="s">
        <v>16</v>
      </c>
      <c r="L590" s="62" t="s">
        <v>1</v>
      </c>
      <c r="M590" s="62">
        <v>1209.042</v>
      </c>
      <c r="N590" s="62">
        <v>211.58235</v>
      </c>
    </row>
    <row r="591" spans="1:14">
      <c r="A591" s="62">
        <v>2022</v>
      </c>
      <c r="B591" s="62">
        <v>4</v>
      </c>
      <c r="C591" s="62" t="s">
        <v>4</v>
      </c>
      <c r="D591" s="62" t="s">
        <v>1</v>
      </c>
      <c r="E591" s="62">
        <v>247.587</v>
      </c>
      <c r="F591" s="62">
        <v>58.92555</v>
      </c>
      <c r="I591" s="62">
        <v>2022</v>
      </c>
      <c r="J591" s="62">
        <v>3</v>
      </c>
      <c r="K591" s="62" t="s">
        <v>16</v>
      </c>
      <c r="L591" s="62" t="s">
        <v>1</v>
      </c>
      <c r="M591" s="62">
        <v>1258.187</v>
      </c>
      <c r="N591" s="62">
        <v>220.182725</v>
      </c>
    </row>
    <row r="592" spans="1:14">
      <c r="A592" s="62">
        <v>2022</v>
      </c>
      <c r="B592" s="62">
        <v>5</v>
      </c>
      <c r="C592" s="62" t="s">
        <v>4</v>
      </c>
      <c r="D592" s="62" t="s">
        <v>1</v>
      </c>
      <c r="E592" s="62">
        <v>93.425</v>
      </c>
      <c r="F592" s="62">
        <v>15.05</v>
      </c>
      <c r="I592" s="62">
        <v>2022</v>
      </c>
      <c r="J592" s="62">
        <v>4</v>
      </c>
      <c r="K592" s="62" t="s">
        <v>16</v>
      </c>
      <c r="L592" s="62" t="s">
        <v>1</v>
      </c>
      <c r="M592" s="62">
        <v>1598.54</v>
      </c>
      <c r="N592" s="62">
        <v>279.7445</v>
      </c>
    </row>
    <row r="593" spans="1:14">
      <c r="A593" s="62">
        <v>2022</v>
      </c>
      <c r="B593" s="62">
        <v>6</v>
      </c>
      <c r="C593" s="62" t="s">
        <v>4</v>
      </c>
      <c r="D593" s="62" t="s">
        <v>1</v>
      </c>
      <c r="E593" s="62">
        <v>97.7</v>
      </c>
      <c r="F593" s="62">
        <v>15.05</v>
      </c>
      <c r="I593" s="62">
        <v>2022</v>
      </c>
      <c r="J593" s="62">
        <v>5</v>
      </c>
      <c r="K593" s="62" t="s">
        <v>16</v>
      </c>
      <c r="L593" s="62" t="s">
        <v>1</v>
      </c>
      <c r="M593" s="62">
        <v>1619.298</v>
      </c>
      <c r="N593" s="62">
        <v>283.37715</v>
      </c>
    </row>
    <row r="594" spans="1:14">
      <c r="A594" s="62">
        <v>2022</v>
      </c>
      <c r="B594" s="62">
        <v>7</v>
      </c>
      <c r="C594" s="62" t="s">
        <v>4</v>
      </c>
      <c r="D594" s="62" t="s">
        <v>1</v>
      </c>
      <c r="E594" s="62">
        <v>86</v>
      </c>
      <c r="F594" s="62">
        <v>15.05</v>
      </c>
      <c r="I594" s="62">
        <v>2022</v>
      </c>
      <c r="J594" s="62">
        <v>6</v>
      </c>
      <c r="K594" s="62" t="s">
        <v>16</v>
      </c>
      <c r="L594" s="62" t="s">
        <v>1</v>
      </c>
      <c r="M594" s="62">
        <v>1064.91</v>
      </c>
      <c r="N594" s="62">
        <v>186.35925</v>
      </c>
    </row>
    <row r="595" spans="1:14">
      <c r="A595" s="62">
        <v>2022</v>
      </c>
      <c r="B595" s="62">
        <v>8</v>
      </c>
      <c r="C595" s="62" t="s">
        <v>4</v>
      </c>
      <c r="D595" s="62" t="s">
        <v>1</v>
      </c>
      <c r="E595" s="62">
        <v>44.72</v>
      </c>
      <c r="F595" s="62">
        <v>7.826000000000001</v>
      </c>
      <c r="I595" s="62">
        <v>2022</v>
      </c>
      <c r="J595" s="62">
        <v>7</v>
      </c>
      <c r="K595" s="62" t="s">
        <v>16</v>
      </c>
      <c r="L595" s="62" t="s">
        <v>1</v>
      </c>
      <c r="M595" s="62">
        <v>1092.845</v>
      </c>
      <c r="N595" s="62">
        <v>191.247875</v>
      </c>
    </row>
    <row r="596" spans="1:14">
      <c r="A596" s="62">
        <v>2022</v>
      </c>
      <c r="B596" s="62">
        <v>9</v>
      </c>
      <c r="C596" s="62" t="s">
        <v>4</v>
      </c>
      <c r="D596" s="62" t="s">
        <v>1</v>
      </c>
      <c r="E596" s="62">
        <v>181.1011</v>
      </c>
      <c r="F596" s="62">
        <v>23.6899425</v>
      </c>
      <c r="I596" s="62">
        <v>2022</v>
      </c>
      <c r="J596" s="62">
        <v>8</v>
      </c>
      <c r="K596" s="62" t="s">
        <v>16</v>
      </c>
      <c r="L596" s="62" t="s">
        <v>1</v>
      </c>
      <c r="M596" s="62">
        <v>993.21</v>
      </c>
      <c r="N596" s="62">
        <v>173.81175</v>
      </c>
    </row>
    <row r="597" spans="1:14">
      <c r="A597" s="62">
        <v>2022</v>
      </c>
      <c r="B597" s="62">
        <v>10</v>
      </c>
      <c r="C597" s="62" t="s">
        <v>4</v>
      </c>
      <c r="D597" s="62" t="s">
        <v>1</v>
      </c>
      <c r="E597" s="62">
        <v>74.5865</v>
      </c>
      <c r="F597" s="62">
        <v>15.9038875</v>
      </c>
      <c r="I597" s="62">
        <v>2022</v>
      </c>
      <c r="J597" s="62">
        <v>9</v>
      </c>
      <c r="K597" s="62" t="s">
        <v>16</v>
      </c>
      <c r="L597" s="62" t="s">
        <v>1</v>
      </c>
      <c r="M597" s="62">
        <v>1210.964</v>
      </c>
      <c r="N597" s="62">
        <v>211.9187</v>
      </c>
    </row>
    <row r="598" spans="1:14">
      <c r="A598" s="62">
        <v>2022</v>
      </c>
      <c r="B598" s="62">
        <v>11</v>
      </c>
      <c r="C598" s="62" t="s">
        <v>4</v>
      </c>
      <c r="D598" s="62" t="s">
        <v>1</v>
      </c>
      <c r="E598" s="62">
        <v>12.89</v>
      </c>
      <c r="F598" s="62">
        <v>5.23925</v>
      </c>
      <c r="I598" s="62">
        <v>2022</v>
      </c>
      <c r="J598" s="62">
        <v>10</v>
      </c>
      <c r="K598" s="62" t="s">
        <v>16</v>
      </c>
      <c r="L598" s="62" t="s">
        <v>1</v>
      </c>
      <c r="M598" s="62">
        <v>1884.71</v>
      </c>
      <c r="N598" s="62">
        <v>329.82425</v>
      </c>
    </row>
    <row r="599" spans="1:14">
      <c r="A599" s="62">
        <v>2022</v>
      </c>
      <c r="B599" s="62">
        <v>12</v>
      </c>
      <c r="C599" s="62" t="s">
        <v>4</v>
      </c>
      <c r="D599" s="62" t="s">
        <v>1</v>
      </c>
      <c r="E599" s="62">
        <v>6.8</v>
      </c>
      <c r="F599" s="62">
        <v>4.42</v>
      </c>
      <c r="I599" s="62">
        <v>2022</v>
      </c>
      <c r="J599" s="62">
        <v>11</v>
      </c>
      <c r="K599" s="62" t="s">
        <v>16</v>
      </c>
      <c r="L599" s="62" t="s">
        <v>1</v>
      </c>
      <c r="M599" s="62">
        <v>874.36</v>
      </c>
      <c r="N599" s="62">
        <v>153.013</v>
      </c>
    </row>
    <row r="600" spans="1:14">
      <c r="A600" s="62">
        <v>2023</v>
      </c>
      <c r="B600" s="62">
        <v>1</v>
      </c>
      <c r="C600" s="62" t="s">
        <v>4</v>
      </c>
      <c r="D600" s="62" t="s">
        <v>1</v>
      </c>
      <c r="E600" s="62">
        <v>126.05</v>
      </c>
      <c r="F600" s="62">
        <v>11.0705</v>
      </c>
      <c r="I600" s="62">
        <v>2022</v>
      </c>
      <c r="J600" s="62">
        <v>12</v>
      </c>
      <c r="K600" s="62" t="s">
        <v>16</v>
      </c>
      <c r="L600" s="62" t="s">
        <v>1</v>
      </c>
      <c r="M600" s="62">
        <v>1430.6535</v>
      </c>
      <c r="N600" s="62">
        <v>250.3643625</v>
      </c>
    </row>
    <row r="601" spans="1:14">
      <c r="A601" s="62">
        <v>2023</v>
      </c>
      <c r="B601" s="62">
        <v>2</v>
      </c>
      <c r="C601" s="62" t="s">
        <v>4</v>
      </c>
      <c r="D601" s="62" t="s">
        <v>1</v>
      </c>
      <c r="E601" s="62">
        <v>440</v>
      </c>
      <c r="F601" s="62">
        <v>120.075</v>
      </c>
      <c r="I601" s="62">
        <v>2023</v>
      </c>
      <c r="J601" s="62">
        <v>1</v>
      </c>
      <c r="K601" s="62" t="s">
        <v>16</v>
      </c>
      <c r="L601" s="62" t="s">
        <v>1</v>
      </c>
      <c r="M601" s="62">
        <v>1819.345</v>
      </c>
      <c r="N601" s="62">
        <v>318.385375</v>
      </c>
    </row>
    <row r="602" spans="1:14">
      <c r="A602" s="62">
        <v>2023</v>
      </c>
      <c r="B602" s="62">
        <v>3</v>
      </c>
      <c r="C602" s="62" t="s">
        <v>4</v>
      </c>
      <c r="D602" s="62" t="s">
        <v>1</v>
      </c>
      <c r="E602" s="62">
        <v>473.92</v>
      </c>
      <c r="F602" s="62">
        <v>121.9145</v>
      </c>
      <c r="I602" s="62">
        <v>2023</v>
      </c>
      <c r="J602" s="62">
        <v>2</v>
      </c>
      <c r="K602" s="62" t="s">
        <v>16</v>
      </c>
      <c r="L602" s="62" t="s">
        <v>1</v>
      </c>
      <c r="M602" s="62">
        <v>2258.015</v>
      </c>
      <c r="N602" s="62">
        <v>395.1526249999999</v>
      </c>
    </row>
    <row r="603" spans="1:14">
      <c r="A603" s="62">
        <v>2023</v>
      </c>
      <c r="B603" s="62">
        <v>4</v>
      </c>
      <c r="C603" s="62" t="s">
        <v>4</v>
      </c>
      <c r="D603" s="62" t="s">
        <v>1</v>
      </c>
      <c r="E603" s="62">
        <v>110.08</v>
      </c>
      <c r="F603" s="62">
        <v>17.083875</v>
      </c>
      <c r="I603" s="62">
        <v>2023</v>
      </c>
      <c r="J603" s="62">
        <v>3</v>
      </c>
      <c r="K603" s="62" t="s">
        <v>16</v>
      </c>
      <c r="L603" s="62" t="s">
        <v>1</v>
      </c>
      <c r="M603" s="62">
        <v>2139.402</v>
      </c>
      <c r="N603" s="62">
        <v>374.39535</v>
      </c>
    </row>
    <row r="604" spans="1:14">
      <c r="A604" s="62">
        <v>2023</v>
      </c>
      <c r="B604" s="62">
        <v>5</v>
      </c>
      <c r="C604" s="62" t="s">
        <v>4</v>
      </c>
      <c r="D604" s="62" t="s">
        <v>1</v>
      </c>
      <c r="E604" s="62">
        <v>46.16</v>
      </c>
      <c r="F604" s="62">
        <v>7.747</v>
      </c>
      <c r="I604" s="62">
        <v>2023</v>
      </c>
      <c r="J604" s="62">
        <v>4</v>
      </c>
      <c r="K604" s="62" t="s">
        <v>16</v>
      </c>
      <c r="L604" s="62" t="s">
        <v>1</v>
      </c>
      <c r="M604" s="62">
        <v>1806.215</v>
      </c>
      <c r="N604" s="62">
        <v>316.087625</v>
      </c>
    </row>
    <row r="605" spans="1:14">
      <c r="A605" s="62">
        <v>2023</v>
      </c>
      <c r="B605" s="62">
        <v>6</v>
      </c>
      <c r="C605" s="62" t="s">
        <v>4</v>
      </c>
      <c r="D605" s="62" t="s">
        <v>1</v>
      </c>
      <c r="E605" s="62">
        <v>316.8375</v>
      </c>
      <c r="F605" s="62">
        <v>92.4030625</v>
      </c>
      <c r="I605" s="62">
        <v>2023</v>
      </c>
      <c r="J605" s="62">
        <v>5</v>
      </c>
      <c r="K605" s="62" t="s">
        <v>16</v>
      </c>
      <c r="L605" s="62" t="s">
        <v>1</v>
      </c>
      <c r="M605" s="62">
        <v>1061.1038</v>
      </c>
      <c r="N605" s="62">
        <v>185.693165</v>
      </c>
    </row>
    <row r="606" spans="1:14">
      <c r="A606" s="62">
        <v>2023</v>
      </c>
      <c r="B606" s="62">
        <v>7</v>
      </c>
      <c r="C606" s="62" t="s">
        <v>4</v>
      </c>
      <c r="D606" s="62" t="s">
        <v>1</v>
      </c>
      <c r="E606" s="62">
        <v>283.35</v>
      </c>
      <c r="F606" s="62">
        <v>83.90725</v>
      </c>
      <c r="I606" s="62">
        <v>2023</v>
      </c>
      <c r="J606" s="62">
        <v>6</v>
      </c>
      <c r="K606" s="62" t="s">
        <v>16</v>
      </c>
      <c r="L606" s="62" t="s">
        <v>1</v>
      </c>
      <c r="M606" s="62">
        <v>741.9544999999999</v>
      </c>
      <c r="N606" s="62">
        <v>129.8420375</v>
      </c>
    </row>
    <row r="607" spans="1:14">
      <c r="A607" s="62">
        <v>2023</v>
      </c>
      <c r="B607" s="62">
        <v>8</v>
      </c>
      <c r="C607" s="62" t="s">
        <v>4</v>
      </c>
      <c r="D607" s="62" t="s">
        <v>1</v>
      </c>
      <c r="E607" s="62">
        <v>2.6</v>
      </c>
      <c r="F607" s="62">
        <v>0.455</v>
      </c>
      <c r="I607" s="62">
        <v>2023</v>
      </c>
      <c r="J607" s="62">
        <v>7</v>
      </c>
      <c r="K607" s="62" t="s">
        <v>16</v>
      </c>
      <c r="L607" s="62" t="s">
        <v>1</v>
      </c>
      <c r="M607" s="62">
        <v>510.65</v>
      </c>
      <c r="N607" s="62">
        <v>89.36375</v>
      </c>
    </row>
    <row r="608" spans="1:14">
      <c r="A608" s="62">
        <v>2023</v>
      </c>
      <c r="B608" s="62">
        <v>9</v>
      </c>
      <c r="C608" s="62" t="s">
        <v>4</v>
      </c>
      <c r="D608" s="62" t="s">
        <v>1</v>
      </c>
      <c r="E608" s="62">
        <v>391.5052</v>
      </c>
      <c r="F608" s="62">
        <v>76.72601</v>
      </c>
      <c r="I608" s="62">
        <v>2023</v>
      </c>
      <c r="J608" s="62">
        <v>8</v>
      </c>
      <c r="K608" s="62" t="s">
        <v>16</v>
      </c>
      <c r="L608" s="62" t="s">
        <v>1</v>
      </c>
      <c r="M608" s="62">
        <v>510.13</v>
      </c>
      <c r="N608" s="62">
        <v>89.27275</v>
      </c>
    </row>
    <row r="609" spans="1:14">
      <c r="A609" s="62">
        <v>2023</v>
      </c>
      <c r="B609" s="62">
        <v>10</v>
      </c>
      <c r="C609" s="62" t="s">
        <v>4</v>
      </c>
      <c r="D609" s="62" t="s">
        <v>1</v>
      </c>
      <c r="E609" s="62">
        <v>695.6900000000001</v>
      </c>
      <c r="F609" s="62">
        <v>146.04825</v>
      </c>
      <c r="I609" s="62">
        <v>2023</v>
      </c>
      <c r="J609" s="62">
        <v>9</v>
      </c>
      <c r="K609" s="62" t="s">
        <v>16</v>
      </c>
      <c r="L609" s="62" t="s">
        <v>1</v>
      </c>
      <c r="M609" s="62">
        <v>1114.53</v>
      </c>
      <c r="N609" s="62">
        <v>195.04275</v>
      </c>
    </row>
    <row r="610" spans="1:14">
      <c r="A610" s="62">
        <v>2023</v>
      </c>
      <c r="B610" s="62">
        <v>11</v>
      </c>
      <c r="C610" s="62" t="s">
        <v>4</v>
      </c>
      <c r="D610" s="62" t="s">
        <v>1</v>
      </c>
      <c r="E610" s="62">
        <v>256.507</v>
      </c>
      <c r="F610" s="62">
        <v>63.353475</v>
      </c>
      <c r="I610" s="62">
        <v>2023</v>
      </c>
      <c r="J610" s="62">
        <v>10</v>
      </c>
      <c r="K610" s="62" t="s">
        <v>16</v>
      </c>
      <c r="L610" s="62" t="s">
        <v>1</v>
      </c>
      <c r="M610" s="62">
        <v>2123.6085</v>
      </c>
      <c r="N610" s="62">
        <v>371.6314875</v>
      </c>
    </row>
    <row r="611" spans="1:14">
      <c r="A611" s="62">
        <v>2023</v>
      </c>
      <c r="B611" s="62">
        <v>12</v>
      </c>
      <c r="C611" s="62" t="s">
        <v>4</v>
      </c>
      <c r="D611" s="62" t="s">
        <v>1</v>
      </c>
      <c r="E611" s="62">
        <v>30.79</v>
      </c>
      <c r="F611" s="62">
        <v>5.388249999999999</v>
      </c>
      <c r="I611" s="62">
        <v>2023</v>
      </c>
      <c r="J611" s="62">
        <v>11</v>
      </c>
      <c r="K611" s="62" t="s">
        <v>16</v>
      </c>
      <c r="L611" s="62" t="s">
        <v>1</v>
      </c>
      <c r="M611" s="62">
        <v>935.0600000000001</v>
      </c>
      <c r="N611" s="62">
        <v>163.6355</v>
      </c>
    </row>
    <row r="612" spans="1:14">
      <c r="A612" s="62">
        <v>2024</v>
      </c>
      <c r="B612" s="62">
        <v>1</v>
      </c>
      <c r="C612" s="62" t="s">
        <v>4</v>
      </c>
      <c r="D612" s="62" t="s">
        <v>1</v>
      </c>
      <c r="E612" s="62">
        <v>99.0698</v>
      </c>
      <c r="F612" s="62">
        <v>21.751465</v>
      </c>
      <c r="I612" s="62">
        <v>2023</v>
      </c>
      <c r="J612" s="62">
        <v>12</v>
      </c>
      <c r="K612" s="62" t="s">
        <v>16</v>
      </c>
      <c r="L612" s="62" t="s">
        <v>1</v>
      </c>
      <c r="M612" s="62">
        <v>256.08</v>
      </c>
      <c r="N612" s="62">
        <v>44.814</v>
      </c>
    </row>
    <row r="613" spans="1:14">
      <c r="A613" s="62">
        <v>2024</v>
      </c>
      <c r="B613" s="62">
        <v>2</v>
      </c>
      <c r="C613" s="62" t="s">
        <v>4</v>
      </c>
      <c r="D613" s="62" t="s">
        <v>1</v>
      </c>
      <c r="E613" s="62">
        <v>62.445</v>
      </c>
      <c r="F613" s="62">
        <v>38.6275</v>
      </c>
      <c r="I613" s="62">
        <v>2024</v>
      </c>
      <c r="J613" s="62">
        <v>1</v>
      </c>
      <c r="K613" s="62" t="s">
        <v>16</v>
      </c>
      <c r="L613" s="62" t="s">
        <v>1</v>
      </c>
      <c r="M613" s="62">
        <v>1583.392</v>
      </c>
      <c r="N613" s="62">
        <v>277.0936</v>
      </c>
    </row>
    <row r="614" spans="1:14">
      <c r="A614" s="62">
        <v>2024</v>
      </c>
      <c r="B614" s="62">
        <v>3</v>
      </c>
      <c r="C614" s="62" t="s">
        <v>4</v>
      </c>
      <c r="D614" s="62" t="s">
        <v>1</v>
      </c>
      <c r="E614" s="62">
        <v>236.6964</v>
      </c>
      <c r="F614" s="62">
        <v>78.96907999999999</v>
      </c>
      <c r="I614" s="62">
        <v>2024</v>
      </c>
      <c r="J614" s="62">
        <v>2</v>
      </c>
      <c r="K614" s="62" t="s">
        <v>16</v>
      </c>
      <c r="L614" s="62" t="s">
        <v>1</v>
      </c>
      <c r="M614" s="62">
        <v>2482.0348</v>
      </c>
      <c r="N614" s="62">
        <v>434.35609</v>
      </c>
    </row>
    <row r="615" spans="1:14">
      <c r="A615" s="62">
        <v>2024</v>
      </c>
      <c r="B615" s="62">
        <v>4</v>
      </c>
      <c r="C615" s="62" t="s">
        <v>4</v>
      </c>
      <c r="D615" s="62" t="s">
        <v>1</v>
      </c>
      <c r="E615" s="62">
        <v>214.8537</v>
      </c>
      <c r="F615" s="62">
        <v>68.88909</v>
      </c>
      <c r="I615" s="62">
        <v>2024</v>
      </c>
      <c r="J615" s="62">
        <v>3</v>
      </c>
      <c r="K615" s="62" t="s">
        <v>16</v>
      </c>
      <c r="L615" s="62" t="s">
        <v>1</v>
      </c>
      <c r="M615" s="62">
        <v>1319.1946</v>
      </c>
      <c r="N615" s="62">
        <v>230.859055</v>
      </c>
    </row>
    <row r="616" spans="1:14">
      <c r="A616" s="62">
        <v>2024</v>
      </c>
      <c r="B616" s="62">
        <v>5</v>
      </c>
      <c r="C616" s="62" t="s">
        <v>4</v>
      </c>
      <c r="D616" s="62" t="s">
        <v>1</v>
      </c>
      <c r="E616" s="62">
        <v>23.4</v>
      </c>
      <c r="F616" s="62">
        <v>0</v>
      </c>
      <c r="I616" s="62">
        <v>2024</v>
      </c>
      <c r="J616" s="62">
        <v>4</v>
      </c>
      <c r="K616" s="62" t="s">
        <v>16</v>
      </c>
      <c r="L616" s="62" t="s">
        <v>1</v>
      </c>
      <c r="M616" s="62">
        <v>1498.7505</v>
      </c>
      <c r="N616" s="62">
        <v>262.2813375</v>
      </c>
    </row>
    <row r="617" spans="1:14">
      <c r="A617" s="62">
        <v>2024</v>
      </c>
      <c r="B617" s="62">
        <v>6</v>
      </c>
      <c r="C617" s="62" t="s">
        <v>4</v>
      </c>
      <c r="D617" s="62" t="s">
        <v>1</v>
      </c>
      <c r="E617" s="62">
        <v>1.82</v>
      </c>
      <c r="F617" s="62">
        <v>0.3185</v>
      </c>
      <c r="I617" s="62">
        <v>2024</v>
      </c>
      <c r="J617" s="62">
        <v>5</v>
      </c>
      <c r="K617" s="62" t="s">
        <v>16</v>
      </c>
      <c r="L617" s="62" t="s">
        <v>1</v>
      </c>
      <c r="M617" s="62">
        <v>501.391</v>
      </c>
      <c r="N617" s="62">
        <v>87.743425</v>
      </c>
    </row>
    <row r="618" spans="1:14">
      <c r="A618" s="62">
        <v>2024</v>
      </c>
      <c r="B618" s="62">
        <v>7</v>
      </c>
      <c r="C618" s="62" t="s">
        <v>4</v>
      </c>
      <c r="D618" s="62" t="s">
        <v>1</v>
      </c>
      <c r="E618" s="62">
        <v>75.05</v>
      </c>
      <c r="F618" s="62">
        <v>37.02625</v>
      </c>
      <c r="I618" s="62">
        <v>2024</v>
      </c>
      <c r="J618" s="62">
        <v>6</v>
      </c>
      <c r="K618" s="62" t="s">
        <v>16</v>
      </c>
      <c r="L618" s="62" t="s">
        <v>1</v>
      </c>
      <c r="M618" s="62">
        <v>455.03</v>
      </c>
      <c r="N618" s="62">
        <v>79.63024999999999</v>
      </c>
    </row>
    <row r="619" spans="1:14">
      <c r="A619" s="62">
        <v>2024</v>
      </c>
      <c r="B619" s="62">
        <v>8</v>
      </c>
      <c r="C619" s="62" t="s">
        <v>4</v>
      </c>
      <c r="D619" s="62" t="s">
        <v>1</v>
      </c>
      <c r="E619" s="62">
        <v>10.9</v>
      </c>
      <c r="F619" s="62">
        <v>7.085</v>
      </c>
      <c r="I619" s="62">
        <v>2024</v>
      </c>
      <c r="J619" s="62">
        <v>7</v>
      </c>
      <c r="K619" s="62" t="s">
        <v>16</v>
      </c>
      <c r="L619" s="62" t="s">
        <v>1</v>
      </c>
      <c r="M619" s="62">
        <v>646.8299999999999</v>
      </c>
      <c r="N619" s="62">
        <v>113.19525</v>
      </c>
    </row>
    <row r="620" spans="1:14">
      <c r="A620" s="62">
        <v>2024</v>
      </c>
      <c r="B620" s="62">
        <v>9</v>
      </c>
      <c r="C620" s="62" t="s">
        <v>4</v>
      </c>
      <c r="D620" s="62" t="s">
        <v>1</v>
      </c>
      <c r="E620" s="62">
        <v>87.26389999999999</v>
      </c>
      <c r="F620" s="62">
        <v>43.2379325</v>
      </c>
      <c r="I620" s="62">
        <v>2024</v>
      </c>
      <c r="J620" s="62">
        <v>8</v>
      </c>
      <c r="K620" s="62" t="s">
        <v>16</v>
      </c>
      <c r="L620" s="62" t="s">
        <v>1</v>
      </c>
      <c r="M620" s="62">
        <v>550.098</v>
      </c>
      <c r="N620" s="62">
        <v>96.26715</v>
      </c>
    </row>
    <row r="621" spans="1:14">
      <c r="A621" s="62">
        <v>2024</v>
      </c>
      <c r="B621" s="62">
        <v>10</v>
      </c>
      <c r="C621" s="62" t="s">
        <v>4</v>
      </c>
      <c r="D621" s="62" t="s">
        <v>1</v>
      </c>
      <c r="E621" s="62">
        <v>154.0685</v>
      </c>
      <c r="F621" s="62">
        <v>39.1157375</v>
      </c>
      <c r="I621" s="62">
        <v>2024</v>
      </c>
      <c r="J621" s="62">
        <v>9</v>
      </c>
      <c r="K621" s="62" t="s">
        <v>16</v>
      </c>
      <c r="L621" s="62" t="s">
        <v>1</v>
      </c>
      <c r="M621" s="62">
        <v>1090.8784</v>
      </c>
      <c r="N621" s="62">
        <v>190.90372</v>
      </c>
    </row>
    <row r="622" spans="1:14">
      <c r="A622" s="62">
        <v>2024</v>
      </c>
      <c r="B622" s="62">
        <v>11</v>
      </c>
      <c r="C622" s="62" t="s">
        <v>4</v>
      </c>
      <c r="D622" s="62" t="s">
        <v>1</v>
      </c>
      <c r="E622" s="62">
        <v>159.3301</v>
      </c>
      <c r="F622" s="62">
        <v>30.16599249999999</v>
      </c>
      <c r="I622" s="62">
        <v>2024</v>
      </c>
      <c r="J622" s="62">
        <v>10</v>
      </c>
      <c r="K622" s="62" t="s">
        <v>16</v>
      </c>
      <c r="L622" s="62" t="s">
        <v>1</v>
      </c>
      <c r="M622" s="62">
        <v>1122.32</v>
      </c>
      <c r="N622" s="62">
        <v>196.406</v>
      </c>
    </row>
    <row r="623" spans="1:14">
      <c r="A623" s="62">
        <v>2024</v>
      </c>
      <c r="B623" s="62">
        <v>12</v>
      </c>
      <c r="C623" s="62" t="s">
        <v>4</v>
      </c>
      <c r="D623" s="62" t="s">
        <v>1</v>
      </c>
      <c r="E623" s="62">
        <v>197.87</v>
      </c>
      <c r="F623" s="62">
        <v>33.74975</v>
      </c>
      <c r="I623" s="62">
        <v>2024</v>
      </c>
      <c r="J623" s="62">
        <v>11</v>
      </c>
      <c r="K623" s="62" t="s">
        <v>16</v>
      </c>
      <c r="L623" s="62" t="s">
        <v>1</v>
      </c>
      <c r="M623" s="62">
        <v>715.6</v>
      </c>
      <c r="N623" s="62">
        <v>125.23</v>
      </c>
    </row>
    <row r="624" spans="1:14">
      <c r="A624" s="62">
        <v>2025</v>
      </c>
      <c r="B624" s="62">
        <v>1</v>
      </c>
      <c r="C624" s="62" t="s">
        <v>4</v>
      </c>
      <c r="D624" s="62" t="s">
        <v>1</v>
      </c>
      <c r="E624" s="62">
        <v>240.51</v>
      </c>
      <c r="F624" s="62">
        <v>35.9865</v>
      </c>
      <c r="I624" s="62">
        <v>2024</v>
      </c>
      <c r="J624" s="62">
        <v>12</v>
      </c>
      <c r="K624" s="62" t="s">
        <v>16</v>
      </c>
      <c r="L624" s="62" t="s">
        <v>1</v>
      </c>
      <c r="M624" s="62">
        <v>288.8526</v>
      </c>
      <c r="N624" s="62">
        <v>50.54920499999999</v>
      </c>
    </row>
    <row r="625" spans="1:14">
      <c r="A625" s="62">
        <v>2025</v>
      </c>
      <c r="B625" s="62">
        <v>2</v>
      </c>
      <c r="C625" s="62" t="s">
        <v>4</v>
      </c>
      <c r="D625" s="62" t="s">
        <v>1</v>
      </c>
      <c r="E625" s="62">
        <v>486.744</v>
      </c>
      <c r="F625" s="62">
        <v>83.13825</v>
      </c>
      <c r="I625" s="62">
        <v>2025</v>
      </c>
      <c r="J625" s="62">
        <v>1</v>
      </c>
      <c r="K625" s="62" t="s">
        <v>16</v>
      </c>
      <c r="L625" s="62" t="s">
        <v>1</v>
      </c>
      <c r="M625" s="62">
        <v>1256.145</v>
      </c>
      <c r="N625" s="62">
        <v>219.825375</v>
      </c>
    </row>
    <row r="626" spans="1:14">
      <c r="A626" s="62">
        <v>2025</v>
      </c>
      <c r="B626" s="62">
        <v>3</v>
      </c>
      <c r="C626" s="62" t="s">
        <v>4</v>
      </c>
      <c r="D626" s="62" t="s">
        <v>1</v>
      </c>
      <c r="E626" s="62">
        <v>667.28</v>
      </c>
      <c r="F626" s="62">
        <v>116.391125</v>
      </c>
      <c r="I626" s="62">
        <v>2025</v>
      </c>
      <c r="J626" s="62">
        <v>2</v>
      </c>
      <c r="K626" s="62" t="s">
        <v>16</v>
      </c>
      <c r="L626" s="62" t="s">
        <v>1</v>
      </c>
      <c r="M626" s="62">
        <v>1649.407</v>
      </c>
      <c r="N626" s="62">
        <v>288.646225</v>
      </c>
    </row>
    <row r="627" spans="1:14">
      <c r="A627" s="62">
        <v>2025</v>
      </c>
      <c r="B627" s="62">
        <v>4</v>
      </c>
      <c r="C627" s="62" t="s">
        <v>4</v>
      </c>
      <c r="D627" s="62" t="s">
        <v>1</v>
      </c>
      <c r="E627" s="62">
        <v>363.0836</v>
      </c>
      <c r="F627" s="62">
        <v>63.84788</v>
      </c>
      <c r="I627" s="62">
        <v>2025</v>
      </c>
      <c r="J627" s="62">
        <v>3</v>
      </c>
      <c r="K627" s="62" t="s">
        <v>16</v>
      </c>
      <c r="L627" s="62" t="s">
        <v>1</v>
      </c>
      <c r="M627" s="62">
        <v>1615.548</v>
      </c>
      <c r="N627" s="62">
        <v>282.7209</v>
      </c>
    </row>
    <row r="628" spans="1:14">
      <c r="A628" s="62">
        <v>2025</v>
      </c>
      <c r="B628" s="62">
        <v>5</v>
      </c>
      <c r="C628" s="62" t="s">
        <v>4</v>
      </c>
      <c r="D628" s="62" t="s">
        <v>1</v>
      </c>
      <c r="E628" s="62">
        <v>265.68</v>
      </c>
      <c r="F628" s="62">
        <v>54.594</v>
      </c>
      <c r="I628" s="62">
        <v>2025</v>
      </c>
      <c r="J628" s="62">
        <v>4</v>
      </c>
      <c r="K628" s="62" t="s">
        <v>16</v>
      </c>
      <c r="L628" s="62" t="s">
        <v>1</v>
      </c>
      <c r="M628" s="62">
        <v>1794.7061</v>
      </c>
      <c r="N628" s="62">
        <v>314.0735675</v>
      </c>
    </row>
    <row r="629" spans="1:14">
      <c r="A629" s="62">
        <v>2025</v>
      </c>
      <c r="B629" s="62">
        <v>6</v>
      </c>
      <c r="C629" s="62" t="s">
        <v>4</v>
      </c>
      <c r="D629" s="62" t="s">
        <v>1</v>
      </c>
      <c r="E629" s="62">
        <v>191.7042</v>
      </c>
      <c r="F629" s="62">
        <v>32.60833</v>
      </c>
      <c r="I629" s="62">
        <v>2025</v>
      </c>
      <c r="J629" s="62">
        <v>5</v>
      </c>
      <c r="K629" s="62" t="s">
        <v>16</v>
      </c>
      <c r="L629" s="62" t="s">
        <v>1</v>
      </c>
      <c r="M629" s="62">
        <v>956.3466</v>
      </c>
      <c r="N629" s="62">
        <v>167.360655</v>
      </c>
    </row>
    <row r="630" spans="1:14">
      <c r="A630" s="62">
        <v>2025</v>
      </c>
      <c r="B630" s="62">
        <v>7</v>
      </c>
      <c r="C630" s="62" t="s">
        <v>4</v>
      </c>
      <c r="D630" s="62" t="s">
        <v>1</v>
      </c>
      <c r="E630" s="62">
        <v>175.9952</v>
      </c>
      <c r="F630" s="62">
        <v>44.348425</v>
      </c>
      <c r="I630" s="62">
        <v>2025</v>
      </c>
      <c r="J630" s="62">
        <v>6</v>
      </c>
      <c r="K630" s="62" t="s">
        <v>16</v>
      </c>
      <c r="L630" s="62" t="s">
        <v>1</v>
      </c>
      <c r="M630" s="62">
        <v>488.1771</v>
      </c>
      <c r="N630" s="62">
        <v>85.43099249999999</v>
      </c>
    </row>
    <row r="631" spans="1:14">
      <c r="A631" s="62">
        <v>2025</v>
      </c>
      <c r="B631" s="62">
        <v>8</v>
      </c>
      <c r="C631" s="62" t="s">
        <v>4</v>
      </c>
      <c r="D631" s="62" t="s">
        <v>1</v>
      </c>
      <c r="E631" s="62">
        <v>4.58</v>
      </c>
      <c r="F631" s="62">
        <v>1.39</v>
      </c>
      <c r="I631" s="62">
        <v>2025</v>
      </c>
      <c r="J631" s="62">
        <v>7</v>
      </c>
      <c r="K631" s="62" t="s">
        <v>16</v>
      </c>
      <c r="L631" s="62" t="s">
        <v>1</v>
      </c>
      <c r="M631" s="62">
        <v>349.903</v>
      </c>
      <c r="N631" s="62">
        <v>61.233025</v>
      </c>
    </row>
    <row r="632" spans="1:14">
      <c r="A632" s="62">
        <v>2025</v>
      </c>
      <c r="B632" s="62">
        <v>9</v>
      </c>
      <c r="C632" s="62" t="s">
        <v>4</v>
      </c>
      <c r="D632" s="62" t="s">
        <v>1</v>
      </c>
      <c r="E632" s="62">
        <v>7.8</v>
      </c>
      <c r="F632" s="62">
        <v>1.365</v>
      </c>
      <c r="I632" s="62">
        <v>2025</v>
      </c>
      <c r="J632" s="62">
        <v>8</v>
      </c>
      <c r="K632" s="62" t="s">
        <v>16</v>
      </c>
      <c r="L632" s="62" t="s">
        <v>1</v>
      </c>
      <c r="M632" s="62">
        <v>393.8658</v>
      </c>
      <c r="N632" s="62">
        <v>68.92651499999999</v>
      </c>
    </row>
    <row r="633" spans="1:14">
      <c r="A633" s="62">
        <v>2025</v>
      </c>
      <c r="B633" s="62">
        <v>10</v>
      </c>
      <c r="C633" s="62" t="s">
        <v>4</v>
      </c>
      <c r="D633" s="62" t="s">
        <v>1</v>
      </c>
      <c r="E633" s="62">
        <v>10.24</v>
      </c>
      <c r="F633" s="62">
        <v>6.4</v>
      </c>
      <c r="I633" s="62">
        <v>2025</v>
      </c>
      <c r="J633" s="62">
        <v>9</v>
      </c>
      <c r="K633" s="62" t="s">
        <v>16</v>
      </c>
      <c r="L633" s="62" t="s">
        <v>1</v>
      </c>
      <c r="M633" s="62">
        <v>1152.71</v>
      </c>
      <c r="N633" s="62">
        <v>201.72425</v>
      </c>
    </row>
    <row r="634" spans="1:14">
      <c r="A634" s="62">
        <v>2025</v>
      </c>
      <c r="B634" s="62">
        <v>11</v>
      </c>
      <c r="C634" s="62" t="s">
        <v>4</v>
      </c>
      <c r="D634" s="62" t="s">
        <v>1</v>
      </c>
      <c r="E634" s="62">
        <v>2.04</v>
      </c>
      <c r="F634" s="62">
        <v>1.326</v>
      </c>
      <c r="I634" s="62">
        <v>2025</v>
      </c>
      <c r="J634" s="62">
        <v>10</v>
      </c>
      <c r="K634" s="62" t="s">
        <v>16</v>
      </c>
      <c r="L634" s="62" t="s">
        <v>1</v>
      </c>
      <c r="M634" s="62">
        <v>1967.125</v>
      </c>
      <c r="N634" s="62">
        <v>344.246875</v>
      </c>
    </row>
    <row r="635" spans="1:14">
      <c r="A635" s="62">
        <v>2026</v>
      </c>
      <c r="B635" s="62">
        <v>1</v>
      </c>
      <c r="C635" s="62" t="s">
        <v>4</v>
      </c>
      <c r="D635" s="62" t="s">
        <v>1</v>
      </c>
      <c r="E635" s="62">
        <v>32.8</v>
      </c>
      <c r="F635" s="62">
        <v>9.308</v>
      </c>
      <c r="I635" s="62">
        <v>2025</v>
      </c>
      <c r="J635" s="62">
        <v>11</v>
      </c>
      <c r="K635" s="62" t="s">
        <v>16</v>
      </c>
      <c r="L635" s="62" t="s">
        <v>1</v>
      </c>
      <c r="M635" s="62">
        <v>1015.7056</v>
      </c>
      <c r="N635" s="62">
        <v>177.74848</v>
      </c>
    </row>
    <row r="636" spans="1:14">
      <c r="A636" s="62">
        <v>2026</v>
      </c>
      <c r="B636" s="62">
        <v>2</v>
      </c>
      <c r="C636" s="62" t="s">
        <v>4</v>
      </c>
      <c r="D636" s="62" t="s">
        <v>1</v>
      </c>
      <c r="E636" s="62">
        <v>37.14</v>
      </c>
      <c r="F636" s="62">
        <v>4.3925</v>
      </c>
      <c r="I636" s="62">
        <v>2025</v>
      </c>
      <c r="J636" s="62">
        <v>12</v>
      </c>
      <c r="K636" s="62" t="s">
        <v>16</v>
      </c>
      <c r="L636" s="62" t="s">
        <v>1</v>
      </c>
      <c r="M636" s="62">
        <v>313.306</v>
      </c>
      <c r="N636" s="62">
        <v>54.82854999999999</v>
      </c>
    </row>
    <row r="637" spans="1:14">
      <c r="A637" s="62">
        <v>2026</v>
      </c>
      <c r="B637" s="62">
        <v>3</v>
      </c>
      <c r="C637" s="62" t="s">
        <v>4</v>
      </c>
      <c r="D637" s="62" t="s">
        <v>1</v>
      </c>
      <c r="E637" s="62">
        <v>51.028</v>
      </c>
      <c r="F637" s="62">
        <v>9.54505</v>
      </c>
      <c r="I637" s="62">
        <v>2026</v>
      </c>
      <c r="J637" s="62">
        <v>1</v>
      </c>
      <c r="K637" s="62" t="s">
        <v>16</v>
      </c>
      <c r="L637" s="62" t="s">
        <v>1</v>
      </c>
      <c r="M637" s="62">
        <v>539.1</v>
      </c>
      <c r="N637" s="62">
        <v>94.34249999999999</v>
      </c>
    </row>
    <row r="638" spans="1:14">
      <c r="A638" s="62">
        <v>2026</v>
      </c>
      <c r="B638" s="62">
        <v>4</v>
      </c>
      <c r="C638" s="62" t="s">
        <v>4</v>
      </c>
      <c r="D638" s="62" t="s">
        <v>1</v>
      </c>
      <c r="E638" s="62">
        <v>5.98</v>
      </c>
      <c r="F638" s="62">
        <v>1.87</v>
      </c>
      <c r="I638" s="62">
        <v>2026</v>
      </c>
      <c r="J638" s="62">
        <v>2</v>
      </c>
      <c r="K638" s="62" t="s">
        <v>16</v>
      </c>
      <c r="L638" s="62" t="s">
        <v>1</v>
      </c>
      <c r="M638" s="62">
        <v>1261.345</v>
      </c>
      <c r="N638" s="62">
        <v>220.735375</v>
      </c>
    </row>
    <row r="639" spans="1:14">
      <c r="A639" s="62">
        <v>2026</v>
      </c>
      <c r="B639" s="62">
        <v>5</v>
      </c>
      <c r="C639" s="62" t="s">
        <v>4</v>
      </c>
      <c r="D639" s="62" t="s">
        <v>1</v>
      </c>
      <c r="E639" s="62">
        <v>21.2</v>
      </c>
      <c r="F639" s="62">
        <v>5.395</v>
      </c>
      <c r="I639" s="62">
        <v>2026</v>
      </c>
      <c r="J639" s="62">
        <v>3</v>
      </c>
      <c r="K639" s="62" t="s">
        <v>16</v>
      </c>
      <c r="L639" s="62" t="s">
        <v>1</v>
      </c>
      <c r="M639" s="62">
        <v>997.521</v>
      </c>
      <c r="N639" s="62">
        <v>174.566175</v>
      </c>
    </row>
    <row r="640" spans="1:14">
      <c r="A640" s="62">
        <v>2026</v>
      </c>
      <c r="B640" s="62">
        <v>6</v>
      </c>
      <c r="C640" s="62" t="s">
        <v>4</v>
      </c>
      <c r="D640" s="62" t="s">
        <v>1</v>
      </c>
      <c r="E640" s="62">
        <v>224.3867</v>
      </c>
      <c r="F640" s="62">
        <v>41.9411725</v>
      </c>
      <c r="I640" s="62">
        <v>2026</v>
      </c>
      <c r="J640" s="62">
        <v>4</v>
      </c>
      <c r="K640" s="62" t="s">
        <v>16</v>
      </c>
      <c r="L640" s="62" t="s">
        <v>1</v>
      </c>
      <c r="M640" s="62">
        <v>1412.475</v>
      </c>
      <c r="N640" s="62">
        <v>247.183125</v>
      </c>
    </row>
    <row r="641" spans="1:14">
      <c r="A641" s="62">
        <v>2026</v>
      </c>
      <c r="B641" s="62">
        <v>7</v>
      </c>
      <c r="C641" s="62" t="s">
        <v>4</v>
      </c>
      <c r="D641" s="62" t="s">
        <v>1</v>
      </c>
      <c r="E641" s="62">
        <v>0.704</v>
      </c>
      <c r="F641" s="62">
        <v>0.5983999999999999</v>
      </c>
      <c r="I641" s="62">
        <v>2026</v>
      </c>
      <c r="J641" s="62">
        <v>5</v>
      </c>
      <c r="K641" s="62" t="s">
        <v>16</v>
      </c>
      <c r="L641" s="62" t="s">
        <v>1</v>
      </c>
      <c r="M641" s="62">
        <v>841.202</v>
      </c>
      <c r="N641" s="62">
        <v>147.21035</v>
      </c>
    </row>
    <row r="642" spans="1:14">
      <c r="A642" s="62">
        <v>2026</v>
      </c>
      <c r="B642" s="62">
        <v>9</v>
      </c>
      <c r="C642" s="62" t="s">
        <v>4</v>
      </c>
      <c r="D642" s="62" t="s">
        <v>1</v>
      </c>
      <c r="E642" s="62">
        <v>71.8939</v>
      </c>
      <c r="F642" s="62">
        <v>12.5814325</v>
      </c>
      <c r="I642" s="62">
        <v>2026</v>
      </c>
      <c r="J642" s="62">
        <v>6</v>
      </c>
      <c r="K642" s="62" t="s">
        <v>16</v>
      </c>
      <c r="L642" s="62" t="s">
        <v>1</v>
      </c>
      <c r="M642" s="62">
        <v>392.14</v>
      </c>
      <c r="N642" s="62">
        <v>68.6245</v>
      </c>
    </row>
    <row r="643" spans="1:14">
      <c r="A643" s="62">
        <v>2026</v>
      </c>
      <c r="B643" s="62">
        <v>10</v>
      </c>
      <c r="C643" s="62" t="s">
        <v>4</v>
      </c>
      <c r="D643" s="62" t="s">
        <v>1</v>
      </c>
      <c r="E643" s="62">
        <v>82.5856</v>
      </c>
      <c r="F643" s="62">
        <v>14.45248</v>
      </c>
      <c r="I643" s="62">
        <v>2026</v>
      </c>
      <c r="J643" s="62">
        <v>7</v>
      </c>
      <c r="K643" s="62" t="s">
        <v>16</v>
      </c>
      <c r="L643" s="62" t="s">
        <v>1</v>
      </c>
      <c r="M643" s="62">
        <v>171.292</v>
      </c>
      <c r="N643" s="62">
        <v>29.9761</v>
      </c>
    </row>
    <row r="644" spans="1:14">
      <c r="A644" s="62">
        <v>2027</v>
      </c>
      <c r="B644" s="62">
        <v>3</v>
      </c>
      <c r="C644" s="62" t="s">
        <v>4</v>
      </c>
      <c r="D644" s="62" t="s">
        <v>1</v>
      </c>
      <c r="E644" s="62">
        <v>236.8488</v>
      </c>
      <c r="F644" s="62">
        <v>45.78375</v>
      </c>
      <c r="I644" s="62">
        <v>2026</v>
      </c>
      <c r="J644" s="62">
        <v>8</v>
      </c>
      <c r="K644" s="62" t="s">
        <v>16</v>
      </c>
      <c r="L644" s="62" t="s">
        <v>1</v>
      </c>
      <c r="M644" s="62">
        <v>32.4</v>
      </c>
      <c r="N644" s="62">
        <v>5.669999999999999</v>
      </c>
    </row>
    <row r="645" spans="1:14">
      <c r="A645" s="62">
        <v>2027</v>
      </c>
      <c r="B645" s="62">
        <v>4</v>
      </c>
      <c r="C645" s="62" t="s">
        <v>4</v>
      </c>
      <c r="D645" s="62" t="s">
        <v>1</v>
      </c>
      <c r="E645" s="62">
        <v>108.2632</v>
      </c>
      <c r="F645" s="62">
        <v>21.08875</v>
      </c>
      <c r="I645" s="62">
        <v>2026</v>
      </c>
      <c r="J645" s="62">
        <v>9</v>
      </c>
      <c r="K645" s="62" t="s">
        <v>16</v>
      </c>
      <c r="L645" s="62" t="s">
        <v>1</v>
      </c>
      <c r="M645" s="62">
        <v>448.14</v>
      </c>
      <c r="N645" s="62">
        <v>78.42449999999999</v>
      </c>
    </row>
    <row r="646" spans="1:14">
      <c r="A646" s="62">
        <v>2027</v>
      </c>
      <c r="B646" s="62">
        <v>9</v>
      </c>
      <c r="C646" s="62" t="s">
        <v>4</v>
      </c>
      <c r="D646" s="62" t="s">
        <v>1</v>
      </c>
      <c r="E646" s="62">
        <v>38.7069</v>
      </c>
      <c r="F646" s="62">
        <v>4.7637075</v>
      </c>
      <c r="I646" s="62">
        <v>2026</v>
      </c>
      <c r="J646" s="62">
        <v>10</v>
      </c>
      <c r="K646" s="62" t="s">
        <v>16</v>
      </c>
      <c r="L646" s="62" t="s">
        <v>1</v>
      </c>
      <c r="M646" s="62">
        <v>661.633</v>
      </c>
      <c r="N646" s="62">
        <v>115.785775</v>
      </c>
    </row>
    <row r="647" spans="1:14">
      <c r="A647" s="62">
        <v>2027</v>
      </c>
      <c r="B647" s="62">
        <v>10</v>
      </c>
      <c r="C647" s="62" t="s">
        <v>4</v>
      </c>
      <c r="D647" s="62" t="s">
        <v>1</v>
      </c>
      <c r="E647" s="62">
        <v>5.5959</v>
      </c>
      <c r="F647" s="62">
        <v>0.9792824999999999</v>
      </c>
      <c r="I647" s="62">
        <v>2026</v>
      </c>
      <c r="J647" s="62">
        <v>11</v>
      </c>
      <c r="K647" s="62" t="s">
        <v>16</v>
      </c>
      <c r="L647" s="62" t="s">
        <v>1</v>
      </c>
      <c r="M647" s="62">
        <v>214.3</v>
      </c>
      <c r="N647" s="62">
        <v>37.5025</v>
      </c>
    </row>
    <row r="648" spans="1:14">
      <c r="A648" s="62">
        <v>2014</v>
      </c>
      <c r="B648" s="62">
        <v>1</v>
      </c>
      <c r="C648" s="62" t="s">
        <v>4</v>
      </c>
      <c r="D648" s="62" t="s">
        <v>2</v>
      </c>
      <c r="E648" s="62">
        <v>177.3</v>
      </c>
      <c r="F648" s="62">
        <v>30.068</v>
      </c>
      <c r="I648" s="62">
        <v>2027</v>
      </c>
      <c r="J648" s="62">
        <v>1</v>
      </c>
      <c r="K648" s="62" t="s">
        <v>16</v>
      </c>
      <c r="L648" s="62" t="s">
        <v>1</v>
      </c>
      <c r="M648" s="62">
        <v>440.475</v>
      </c>
      <c r="N648" s="62">
        <v>77.083125</v>
      </c>
    </row>
    <row r="649" spans="1:14">
      <c r="A649" s="62">
        <v>2014</v>
      </c>
      <c r="B649" s="62">
        <v>2</v>
      </c>
      <c r="C649" s="62" t="s">
        <v>4</v>
      </c>
      <c r="D649" s="62" t="s">
        <v>2</v>
      </c>
      <c r="E649" s="62">
        <v>497.02</v>
      </c>
      <c r="F649" s="62">
        <v>121.63825</v>
      </c>
      <c r="I649" s="62">
        <v>2027</v>
      </c>
      <c r="J649" s="62">
        <v>2</v>
      </c>
      <c r="K649" s="62" t="s">
        <v>16</v>
      </c>
      <c r="L649" s="62" t="s">
        <v>1</v>
      </c>
      <c r="M649" s="62">
        <v>702.438</v>
      </c>
      <c r="N649" s="62">
        <v>122.92665</v>
      </c>
    </row>
    <row r="650" spans="1:14">
      <c r="A650" s="62">
        <v>2014</v>
      </c>
      <c r="B650" s="62">
        <v>3</v>
      </c>
      <c r="C650" s="62" t="s">
        <v>4</v>
      </c>
      <c r="D650" s="62" t="s">
        <v>2</v>
      </c>
      <c r="E650" s="62">
        <v>439.926</v>
      </c>
      <c r="F650" s="62">
        <v>102.33625</v>
      </c>
      <c r="I650" s="62">
        <v>2027</v>
      </c>
      <c r="J650" s="62">
        <v>3</v>
      </c>
      <c r="K650" s="62" t="s">
        <v>16</v>
      </c>
      <c r="L650" s="62" t="s">
        <v>1</v>
      </c>
      <c r="M650" s="62">
        <v>1062.14</v>
      </c>
      <c r="N650" s="62">
        <v>185.8745</v>
      </c>
    </row>
    <row r="651" spans="1:14">
      <c r="A651" s="62">
        <v>2014</v>
      </c>
      <c r="B651" s="62">
        <v>4</v>
      </c>
      <c r="C651" s="62" t="s">
        <v>4</v>
      </c>
      <c r="D651" s="62" t="s">
        <v>2</v>
      </c>
      <c r="E651" s="62">
        <v>325.794</v>
      </c>
      <c r="F651" s="62">
        <v>60.78525</v>
      </c>
      <c r="I651" s="62">
        <v>2027</v>
      </c>
      <c r="J651" s="62">
        <v>4</v>
      </c>
      <c r="K651" s="62" t="s">
        <v>16</v>
      </c>
      <c r="L651" s="62" t="s">
        <v>1</v>
      </c>
      <c r="M651" s="62">
        <v>663.255</v>
      </c>
      <c r="N651" s="62">
        <v>116.069625</v>
      </c>
    </row>
    <row r="652" spans="1:14">
      <c r="A652" s="62">
        <v>2014</v>
      </c>
      <c r="B652" s="62">
        <v>10</v>
      </c>
      <c r="C652" s="62" t="s">
        <v>4</v>
      </c>
      <c r="D652" s="62" t="s">
        <v>2</v>
      </c>
      <c r="E652" s="62">
        <v>36.01000000000001</v>
      </c>
      <c r="F652" s="62">
        <v>8.031750000000001</v>
      </c>
      <c r="I652" s="62">
        <v>2027</v>
      </c>
      <c r="J652" s="62">
        <v>5</v>
      </c>
      <c r="K652" s="62" t="s">
        <v>16</v>
      </c>
      <c r="L652" s="62" t="s">
        <v>1</v>
      </c>
      <c r="M652" s="62">
        <v>320.192</v>
      </c>
      <c r="N652" s="62">
        <v>56.03359999999999</v>
      </c>
    </row>
    <row r="653" spans="1:14">
      <c r="A653" s="62">
        <v>2014</v>
      </c>
      <c r="B653" s="62">
        <v>11</v>
      </c>
      <c r="C653" s="62" t="s">
        <v>4</v>
      </c>
      <c r="D653" s="62" t="s">
        <v>2</v>
      </c>
      <c r="E653" s="62">
        <v>139.378</v>
      </c>
      <c r="F653" s="62">
        <v>41.76405</v>
      </c>
      <c r="I653" s="62">
        <v>2027</v>
      </c>
      <c r="J653" s="62">
        <v>6</v>
      </c>
      <c r="K653" s="62" t="s">
        <v>16</v>
      </c>
      <c r="L653" s="62" t="s">
        <v>1</v>
      </c>
      <c r="M653" s="62">
        <v>96</v>
      </c>
      <c r="N653" s="62">
        <v>16.8</v>
      </c>
    </row>
    <row r="654" spans="1:14">
      <c r="A654" s="62">
        <v>2014</v>
      </c>
      <c r="B654" s="62">
        <v>12</v>
      </c>
      <c r="C654" s="62" t="s">
        <v>4</v>
      </c>
      <c r="D654" s="62" t="s">
        <v>2</v>
      </c>
      <c r="E654" s="62">
        <v>68.84049999999999</v>
      </c>
      <c r="F654" s="62">
        <v>24.3163</v>
      </c>
      <c r="I654" s="62">
        <v>2027</v>
      </c>
      <c r="J654" s="62">
        <v>7</v>
      </c>
      <c r="K654" s="62" t="s">
        <v>16</v>
      </c>
      <c r="L654" s="62" t="s">
        <v>1</v>
      </c>
      <c r="M654" s="62">
        <v>96</v>
      </c>
      <c r="N654" s="62">
        <v>16.8</v>
      </c>
    </row>
    <row r="655" spans="1:14">
      <c r="A655" s="62">
        <v>2015</v>
      </c>
      <c r="B655" s="62">
        <v>1</v>
      </c>
      <c r="C655" s="62" t="s">
        <v>4</v>
      </c>
      <c r="D655" s="62" t="s">
        <v>2</v>
      </c>
      <c r="E655" s="62">
        <v>26.591</v>
      </c>
      <c r="F655" s="62">
        <v>0.8528</v>
      </c>
      <c r="I655" s="62">
        <v>2027</v>
      </c>
      <c r="J655" s="62">
        <v>8</v>
      </c>
      <c r="K655" s="62" t="s">
        <v>16</v>
      </c>
      <c r="L655" s="62" t="s">
        <v>1</v>
      </c>
      <c r="M655" s="62">
        <v>27.84</v>
      </c>
      <c r="N655" s="62">
        <v>4.872</v>
      </c>
    </row>
    <row r="656" spans="1:14">
      <c r="A656" s="62">
        <v>2015</v>
      </c>
      <c r="B656" s="62">
        <v>2</v>
      </c>
      <c r="C656" s="62" t="s">
        <v>4</v>
      </c>
      <c r="D656" s="62" t="s">
        <v>2</v>
      </c>
      <c r="E656" s="62">
        <v>202.585</v>
      </c>
      <c r="F656" s="62">
        <v>67.307625</v>
      </c>
      <c r="I656" s="62">
        <v>2027</v>
      </c>
      <c r="J656" s="62">
        <v>9</v>
      </c>
      <c r="K656" s="62" t="s">
        <v>16</v>
      </c>
      <c r="L656" s="62" t="s">
        <v>1</v>
      </c>
      <c r="M656" s="62">
        <v>1619.335</v>
      </c>
      <c r="N656" s="62">
        <v>283.383625</v>
      </c>
    </row>
    <row r="657" spans="1:14">
      <c r="A657" s="62">
        <v>2015</v>
      </c>
      <c r="B657" s="62">
        <v>3</v>
      </c>
      <c r="C657" s="62" t="s">
        <v>4</v>
      </c>
      <c r="D657" s="62" t="s">
        <v>2</v>
      </c>
      <c r="E657" s="62">
        <v>165.33</v>
      </c>
      <c r="F657" s="62">
        <v>46.3165</v>
      </c>
      <c r="I657" s="62">
        <v>2027</v>
      </c>
      <c r="J657" s="62">
        <v>10</v>
      </c>
      <c r="K657" s="62" t="s">
        <v>16</v>
      </c>
      <c r="L657" s="62" t="s">
        <v>1</v>
      </c>
      <c r="M657" s="62">
        <v>1744.215</v>
      </c>
      <c r="N657" s="62">
        <v>305.237625</v>
      </c>
    </row>
    <row r="658" spans="1:14">
      <c r="A658" s="62">
        <v>2015</v>
      </c>
      <c r="B658" s="62">
        <v>4</v>
      </c>
      <c r="C658" s="62" t="s">
        <v>4</v>
      </c>
      <c r="D658" s="62" t="s">
        <v>2</v>
      </c>
      <c r="E658" s="62">
        <v>60.03</v>
      </c>
      <c r="F658" s="62">
        <v>12.6545</v>
      </c>
      <c r="I658" s="62">
        <v>2027</v>
      </c>
      <c r="J658" s="62">
        <v>11</v>
      </c>
      <c r="K658" s="62" t="s">
        <v>16</v>
      </c>
      <c r="L658" s="62" t="s">
        <v>1</v>
      </c>
      <c r="M658" s="62">
        <v>283.9</v>
      </c>
      <c r="N658" s="62">
        <v>49.6825</v>
      </c>
    </row>
    <row r="659" spans="1:14">
      <c r="A659" s="62">
        <v>2015</v>
      </c>
      <c r="B659" s="62">
        <v>7</v>
      </c>
      <c r="C659" s="62" t="s">
        <v>4</v>
      </c>
      <c r="D659" s="62" t="s">
        <v>2</v>
      </c>
      <c r="E659" s="62">
        <v>8.970000000000001</v>
      </c>
      <c r="F659" s="62">
        <v>0</v>
      </c>
      <c r="I659" s="62">
        <v>2014</v>
      </c>
      <c r="J659" s="62">
        <v>1</v>
      </c>
      <c r="K659" s="62" t="s">
        <v>16</v>
      </c>
      <c r="L659" s="62" t="s">
        <v>2</v>
      </c>
      <c r="M659" s="62">
        <v>438.2865</v>
      </c>
      <c r="N659" s="62">
        <v>76.7001375</v>
      </c>
    </row>
    <row r="660" spans="1:14">
      <c r="A660" s="62">
        <v>2015</v>
      </c>
      <c r="B660" s="62">
        <v>8</v>
      </c>
      <c r="C660" s="62" t="s">
        <v>4</v>
      </c>
      <c r="D660" s="62" t="s">
        <v>2</v>
      </c>
      <c r="E660" s="62">
        <v>14.95</v>
      </c>
      <c r="F660" s="62">
        <v>0</v>
      </c>
      <c r="I660" s="62">
        <v>2014</v>
      </c>
      <c r="J660" s="62">
        <v>2</v>
      </c>
      <c r="K660" s="62" t="s">
        <v>16</v>
      </c>
      <c r="L660" s="62" t="s">
        <v>2</v>
      </c>
      <c r="M660" s="62">
        <v>1276.639</v>
      </c>
      <c r="N660" s="62">
        <v>223.411825</v>
      </c>
    </row>
    <row r="661" spans="1:14">
      <c r="A661" s="62">
        <v>2015</v>
      </c>
      <c r="B661" s="62">
        <v>9</v>
      </c>
      <c r="C661" s="62" t="s">
        <v>4</v>
      </c>
      <c r="D661" s="62" t="s">
        <v>2</v>
      </c>
      <c r="E661" s="62">
        <v>229.763</v>
      </c>
      <c r="F661" s="62">
        <v>43.3708</v>
      </c>
      <c r="I661" s="62">
        <v>2014</v>
      </c>
      <c r="J661" s="62">
        <v>3</v>
      </c>
      <c r="K661" s="62" t="s">
        <v>16</v>
      </c>
      <c r="L661" s="62" t="s">
        <v>2</v>
      </c>
      <c r="M661" s="62">
        <v>1373.1</v>
      </c>
      <c r="N661" s="62">
        <v>240.2925</v>
      </c>
    </row>
    <row r="662" spans="1:14">
      <c r="A662" s="62">
        <v>2015</v>
      </c>
      <c r="B662" s="62">
        <v>10</v>
      </c>
      <c r="C662" s="62" t="s">
        <v>4</v>
      </c>
      <c r="D662" s="62" t="s">
        <v>2</v>
      </c>
      <c r="E662" s="62">
        <v>71.5</v>
      </c>
      <c r="F662" s="62">
        <v>25.10625</v>
      </c>
      <c r="I662" s="62">
        <v>2014</v>
      </c>
      <c r="J662" s="62">
        <v>4</v>
      </c>
      <c r="K662" s="62" t="s">
        <v>16</v>
      </c>
      <c r="L662" s="62" t="s">
        <v>2</v>
      </c>
      <c r="M662" s="62">
        <v>929.6950000000001</v>
      </c>
      <c r="N662" s="62">
        <v>162.696625</v>
      </c>
    </row>
    <row r="663" spans="1:14">
      <c r="A663" s="62">
        <v>2015</v>
      </c>
      <c r="B663" s="62">
        <v>11</v>
      </c>
      <c r="C663" s="62" t="s">
        <v>4</v>
      </c>
      <c r="D663" s="62" t="s">
        <v>2</v>
      </c>
      <c r="E663" s="62">
        <v>40.26</v>
      </c>
      <c r="F663" s="62">
        <v>7.475000000000001</v>
      </c>
      <c r="I663" s="62">
        <v>2014</v>
      </c>
      <c r="J663" s="62">
        <v>5</v>
      </c>
      <c r="K663" s="62" t="s">
        <v>16</v>
      </c>
      <c r="L663" s="62" t="s">
        <v>2</v>
      </c>
      <c r="M663" s="62">
        <v>1106.845</v>
      </c>
      <c r="N663" s="62">
        <v>193.697875</v>
      </c>
    </row>
    <row r="664" spans="1:14">
      <c r="A664" s="62">
        <v>2015</v>
      </c>
      <c r="B664" s="62">
        <v>12</v>
      </c>
      <c r="C664" s="62" t="s">
        <v>4</v>
      </c>
      <c r="D664" s="62" t="s">
        <v>2</v>
      </c>
      <c r="E664" s="62">
        <v>122.675</v>
      </c>
      <c r="F664" s="62">
        <v>40.63875</v>
      </c>
      <c r="I664" s="62">
        <v>2014</v>
      </c>
      <c r="J664" s="62">
        <v>6</v>
      </c>
      <c r="K664" s="62" t="s">
        <v>16</v>
      </c>
      <c r="L664" s="62" t="s">
        <v>2</v>
      </c>
      <c r="M664" s="62">
        <v>714.914</v>
      </c>
      <c r="N664" s="62">
        <v>125.10995</v>
      </c>
    </row>
    <row r="665" spans="1:14">
      <c r="A665" s="62">
        <v>2016</v>
      </c>
      <c r="B665" s="62">
        <v>1</v>
      </c>
      <c r="C665" s="62" t="s">
        <v>4</v>
      </c>
      <c r="D665" s="62" t="s">
        <v>2</v>
      </c>
      <c r="E665" s="62">
        <v>9.24</v>
      </c>
      <c r="F665" s="62">
        <v>0</v>
      </c>
      <c r="I665" s="62">
        <v>2014</v>
      </c>
      <c r="J665" s="62">
        <v>7</v>
      </c>
      <c r="K665" s="62" t="s">
        <v>16</v>
      </c>
      <c r="L665" s="62" t="s">
        <v>2</v>
      </c>
      <c r="M665" s="62">
        <v>91.95099999999999</v>
      </c>
      <c r="N665" s="62">
        <v>16.091425</v>
      </c>
    </row>
    <row r="666" spans="1:14">
      <c r="A666" s="62">
        <v>2016</v>
      </c>
      <c r="B666" s="62">
        <v>2</v>
      </c>
      <c r="C666" s="62" t="s">
        <v>4</v>
      </c>
      <c r="D666" s="62" t="s">
        <v>2</v>
      </c>
      <c r="E666" s="62">
        <v>120.93</v>
      </c>
      <c r="F666" s="62">
        <v>10.708</v>
      </c>
      <c r="I666" s="62">
        <v>2014</v>
      </c>
      <c r="J666" s="62">
        <v>8</v>
      </c>
      <c r="K666" s="62" t="s">
        <v>16</v>
      </c>
      <c r="L666" s="62" t="s">
        <v>2</v>
      </c>
      <c r="M666" s="62">
        <v>57.87</v>
      </c>
      <c r="N666" s="62">
        <v>10.12725</v>
      </c>
    </row>
    <row r="667" spans="1:14">
      <c r="A667" s="62">
        <v>2016</v>
      </c>
      <c r="B667" s="62">
        <v>3</v>
      </c>
      <c r="C667" s="62" t="s">
        <v>4</v>
      </c>
      <c r="D667" s="62" t="s">
        <v>2</v>
      </c>
      <c r="E667" s="62">
        <v>167.05</v>
      </c>
      <c r="F667" s="62">
        <v>25.59875</v>
      </c>
      <c r="I667" s="62">
        <v>2014</v>
      </c>
      <c r="J667" s="62">
        <v>9</v>
      </c>
      <c r="K667" s="62" t="s">
        <v>16</v>
      </c>
      <c r="L667" s="62" t="s">
        <v>2</v>
      </c>
      <c r="M667" s="62">
        <v>360.415</v>
      </c>
      <c r="N667" s="62">
        <v>63.072625</v>
      </c>
    </row>
    <row r="668" spans="1:14">
      <c r="A668" s="62">
        <v>2016</v>
      </c>
      <c r="B668" s="62">
        <v>4</v>
      </c>
      <c r="C668" s="62" t="s">
        <v>4</v>
      </c>
      <c r="D668" s="62" t="s">
        <v>2</v>
      </c>
      <c r="E668" s="62">
        <v>51.1645</v>
      </c>
      <c r="F668" s="62">
        <v>12.9296</v>
      </c>
      <c r="I668" s="62">
        <v>2014</v>
      </c>
      <c r="J668" s="62">
        <v>10</v>
      </c>
      <c r="K668" s="62" t="s">
        <v>16</v>
      </c>
      <c r="L668" s="62" t="s">
        <v>2</v>
      </c>
      <c r="M668" s="62">
        <v>1029.475</v>
      </c>
      <c r="N668" s="62">
        <v>180.158125</v>
      </c>
    </row>
    <row r="669" spans="1:14">
      <c r="A669" s="62">
        <v>2016</v>
      </c>
      <c r="B669" s="62">
        <v>5</v>
      </c>
      <c r="C669" s="62" t="s">
        <v>4</v>
      </c>
      <c r="D669" s="62" t="s">
        <v>2</v>
      </c>
      <c r="E669" s="62">
        <v>11.6485</v>
      </c>
      <c r="F669" s="62">
        <v>2.2584</v>
      </c>
      <c r="I669" s="62">
        <v>2014</v>
      </c>
      <c r="J669" s="62">
        <v>11</v>
      </c>
      <c r="K669" s="62" t="s">
        <v>16</v>
      </c>
      <c r="L669" s="62" t="s">
        <v>2</v>
      </c>
      <c r="M669" s="62">
        <v>524.88</v>
      </c>
      <c r="N669" s="62">
        <v>91.854</v>
      </c>
    </row>
    <row r="670" spans="1:14">
      <c r="A670" s="62">
        <v>2016</v>
      </c>
      <c r="B670" s="62">
        <v>8</v>
      </c>
      <c r="C670" s="62" t="s">
        <v>4</v>
      </c>
      <c r="D670" s="62" t="s">
        <v>2</v>
      </c>
      <c r="E670" s="62">
        <v>1.23</v>
      </c>
      <c r="F670" s="62">
        <v>0.21525</v>
      </c>
      <c r="I670" s="62">
        <v>2014</v>
      </c>
      <c r="J670" s="62">
        <v>12</v>
      </c>
      <c r="K670" s="62" t="s">
        <v>16</v>
      </c>
      <c r="L670" s="62" t="s">
        <v>2</v>
      </c>
      <c r="M670" s="62">
        <v>35.404</v>
      </c>
      <c r="N670" s="62">
        <v>6.1957</v>
      </c>
    </row>
    <row r="671" spans="1:14">
      <c r="A671" s="62">
        <v>2016</v>
      </c>
      <c r="B671" s="62">
        <v>9</v>
      </c>
      <c r="C671" s="62" t="s">
        <v>4</v>
      </c>
      <c r="D671" s="62" t="s">
        <v>2</v>
      </c>
      <c r="E671" s="62">
        <v>80.81999999999999</v>
      </c>
      <c r="F671" s="62">
        <v>17.9</v>
      </c>
      <c r="I671" s="62">
        <v>2015</v>
      </c>
      <c r="J671" s="62">
        <v>1</v>
      </c>
      <c r="K671" s="62" t="s">
        <v>16</v>
      </c>
      <c r="L671" s="62" t="s">
        <v>2</v>
      </c>
      <c r="M671" s="62">
        <v>440.4</v>
      </c>
      <c r="N671" s="62">
        <v>77.06999999999999</v>
      </c>
    </row>
    <row r="672" spans="1:14">
      <c r="A672" s="62">
        <v>2016</v>
      </c>
      <c r="B672" s="62">
        <v>10</v>
      </c>
      <c r="C672" s="62" t="s">
        <v>4</v>
      </c>
      <c r="D672" s="62" t="s">
        <v>2</v>
      </c>
      <c r="E672" s="62">
        <v>132.25</v>
      </c>
      <c r="F672" s="62">
        <v>42.62950000000001</v>
      </c>
      <c r="I672" s="62">
        <v>2015</v>
      </c>
      <c r="J672" s="62">
        <v>2</v>
      </c>
      <c r="K672" s="62" t="s">
        <v>16</v>
      </c>
      <c r="L672" s="62" t="s">
        <v>2</v>
      </c>
      <c r="M672" s="62">
        <v>772.782</v>
      </c>
      <c r="N672" s="62">
        <v>135.23685</v>
      </c>
    </row>
    <row r="673" spans="1:14">
      <c r="A673" s="62">
        <v>2016</v>
      </c>
      <c r="B673" s="62">
        <v>11</v>
      </c>
      <c r="C673" s="62" t="s">
        <v>4</v>
      </c>
      <c r="D673" s="62" t="s">
        <v>2</v>
      </c>
      <c r="E673" s="62">
        <v>41</v>
      </c>
      <c r="F673" s="62">
        <v>7.175</v>
      </c>
      <c r="I673" s="62">
        <v>2015</v>
      </c>
      <c r="J673" s="62">
        <v>3</v>
      </c>
      <c r="K673" s="62" t="s">
        <v>16</v>
      </c>
      <c r="L673" s="62" t="s">
        <v>2</v>
      </c>
      <c r="M673" s="62">
        <v>844.5599999999999</v>
      </c>
      <c r="N673" s="62">
        <v>147.798</v>
      </c>
    </row>
    <row r="674" spans="1:14">
      <c r="A674" s="62">
        <v>2016</v>
      </c>
      <c r="B674" s="62">
        <v>12</v>
      </c>
      <c r="C674" s="62" t="s">
        <v>4</v>
      </c>
      <c r="D674" s="62" t="s">
        <v>2</v>
      </c>
      <c r="E674" s="62">
        <v>68.95</v>
      </c>
      <c r="F674" s="62">
        <v>30.9325</v>
      </c>
      <c r="I674" s="62">
        <v>2015</v>
      </c>
      <c r="J674" s="62">
        <v>4</v>
      </c>
      <c r="K674" s="62" t="s">
        <v>16</v>
      </c>
      <c r="L674" s="62" t="s">
        <v>2</v>
      </c>
      <c r="M674" s="62">
        <v>451.22</v>
      </c>
      <c r="N674" s="62">
        <v>78.9635</v>
      </c>
    </row>
    <row r="675" spans="1:14">
      <c r="A675" s="62">
        <v>2017</v>
      </c>
      <c r="B675" s="62">
        <v>1</v>
      </c>
      <c r="C675" s="62" t="s">
        <v>4</v>
      </c>
      <c r="D675" s="62" t="s">
        <v>2</v>
      </c>
      <c r="E675" s="62">
        <v>84</v>
      </c>
      <c r="F675" s="62">
        <v>43.72499999999999</v>
      </c>
      <c r="I675" s="62">
        <v>2015</v>
      </c>
      <c r="J675" s="62">
        <v>5</v>
      </c>
      <c r="K675" s="62" t="s">
        <v>16</v>
      </c>
      <c r="L675" s="62" t="s">
        <v>2</v>
      </c>
      <c r="M675" s="62">
        <v>84.77749999999999</v>
      </c>
      <c r="N675" s="62">
        <v>14.8360625</v>
      </c>
    </row>
    <row r="676" spans="1:14">
      <c r="A676" s="62">
        <v>2017</v>
      </c>
      <c r="B676" s="62">
        <v>2</v>
      </c>
      <c r="C676" s="62" t="s">
        <v>4</v>
      </c>
      <c r="D676" s="62" t="s">
        <v>2</v>
      </c>
      <c r="E676" s="62">
        <v>343.03</v>
      </c>
      <c r="F676" s="62">
        <v>70.30725</v>
      </c>
      <c r="I676" s="62">
        <v>2015</v>
      </c>
      <c r="J676" s="62">
        <v>6</v>
      </c>
      <c r="K676" s="62" t="s">
        <v>16</v>
      </c>
      <c r="L676" s="62" t="s">
        <v>2</v>
      </c>
      <c r="M676" s="62">
        <v>206.34</v>
      </c>
      <c r="N676" s="62">
        <v>36.1095</v>
      </c>
    </row>
    <row r="677" spans="1:14">
      <c r="A677" s="62">
        <v>2017</v>
      </c>
      <c r="B677" s="62">
        <v>3</v>
      </c>
      <c r="C677" s="62" t="s">
        <v>4</v>
      </c>
      <c r="D677" s="62" t="s">
        <v>2</v>
      </c>
      <c r="E677" s="62">
        <v>464.235</v>
      </c>
      <c r="F677" s="62">
        <v>118.574</v>
      </c>
      <c r="I677" s="62">
        <v>2015</v>
      </c>
      <c r="J677" s="62">
        <v>7</v>
      </c>
      <c r="K677" s="62" t="s">
        <v>16</v>
      </c>
      <c r="L677" s="62" t="s">
        <v>2</v>
      </c>
      <c r="M677" s="62">
        <v>101.93</v>
      </c>
      <c r="N677" s="62">
        <v>17.83775</v>
      </c>
    </row>
    <row r="678" spans="1:14">
      <c r="A678" s="62">
        <v>2017</v>
      </c>
      <c r="B678" s="62">
        <v>4</v>
      </c>
      <c r="C678" s="62" t="s">
        <v>4</v>
      </c>
      <c r="D678" s="62" t="s">
        <v>2</v>
      </c>
      <c r="E678" s="62">
        <v>213.63</v>
      </c>
      <c r="F678" s="62">
        <v>67.73575</v>
      </c>
      <c r="I678" s="62">
        <v>2015</v>
      </c>
      <c r="J678" s="62">
        <v>8</v>
      </c>
      <c r="K678" s="62" t="s">
        <v>16</v>
      </c>
      <c r="L678" s="62" t="s">
        <v>2</v>
      </c>
      <c r="M678" s="62">
        <v>147.342</v>
      </c>
      <c r="N678" s="62">
        <v>25.78485</v>
      </c>
    </row>
    <row r="679" spans="1:14">
      <c r="A679" s="62">
        <v>2017</v>
      </c>
      <c r="B679" s="62">
        <v>5</v>
      </c>
      <c r="C679" s="62" t="s">
        <v>4</v>
      </c>
      <c r="D679" s="62" t="s">
        <v>2</v>
      </c>
      <c r="E679" s="62">
        <v>8.32</v>
      </c>
      <c r="F679" s="62">
        <v>1.406</v>
      </c>
      <c r="I679" s="62">
        <v>2015</v>
      </c>
      <c r="J679" s="62">
        <v>9</v>
      </c>
      <c r="K679" s="62" t="s">
        <v>16</v>
      </c>
      <c r="L679" s="62" t="s">
        <v>2</v>
      </c>
      <c r="M679" s="62">
        <v>766.523</v>
      </c>
      <c r="N679" s="62">
        <v>134.141525</v>
      </c>
    </row>
    <row r="680" spans="1:14">
      <c r="A680" s="62">
        <v>2017</v>
      </c>
      <c r="B680" s="62">
        <v>7</v>
      </c>
      <c r="C680" s="62" t="s">
        <v>4</v>
      </c>
      <c r="D680" s="62" t="s">
        <v>2</v>
      </c>
      <c r="E680" s="62">
        <v>7.011</v>
      </c>
      <c r="F680" s="62">
        <v>5.95935</v>
      </c>
      <c r="I680" s="62">
        <v>2015</v>
      </c>
      <c r="J680" s="62">
        <v>10</v>
      </c>
      <c r="K680" s="62" t="s">
        <v>16</v>
      </c>
      <c r="L680" s="62" t="s">
        <v>2</v>
      </c>
      <c r="M680" s="62">
        <v>1108.537</v>
      </c>
      <c r="N680" s="62">
        <v>193.993975</v>
      </c>
    </row>
    <row r="681" spans="1:14">
      <c r="A681" s="62">
        <v>2017</v>
      </c>
      <c r="B681" s="62">
        <v>10</v>
      </c>
      <c r="C681" s="62" t="s">
        <v>4</v>
      </c>
      <c r="D681" s="62" t="s">
        <v>2</v>
      </c>
      <c r="E681" s="62">
        <v>3.74</v>
      </c>
      <c r="F681" s="62">
        <v>0</v>
      </c>
      <c r="I681" s="62">
        <v>2015</v>
      </c>
      <c r="J681" s="62">
        <v>11</v>
      </c>
      <c r="K681" s="62" t="s">
        <v>16</v>
      </c>
      <c r="L681" s="62" t="s">
        <v>2</v>
      </c>
      <c r="M681" s="62">
        <v>397.7275</v>
      </c>
      <c r="N681" s="62">
        <v>69.6023125</v>
      </c>
    </row>
    <row r="682" spans="1:14">
      <c r="A682" s="62">
        <v>2017</v>
      </c>
      <c r="B682" s="62">
        <v>11</v>
      </c>
      <c r="C682" s="62" t="s">
        <v>4</v>
      </c>
      <c r="D682" s="62" t="s">
        <v>2</v>
      </c>
      <c r="E682" s="62">
        <v>17</v>
      </c>
      <c r="F682" s="62">
        <v>2.975</v>
      </c>
      <c r="I682" s="62">
        <v>2015</v>
      </c>
      <c r="J682" s="62">
        <v>12</v>
      </c>
      <c r="K682" s="62" t="s">
        <v>16</v>
      </c>
      <c r="L682" s="62" t="s">
        <v>2</v>
      </c>
      <c r="M682" s="62">
        <v>302.01</v>
      </c>
      <c r="N682" s="62">
        <v>52.85175</v>
      </c>
    </row>
    <row r="683" spans="1:14">
      <c r="A683" s="62">
        <v>2017</v>
      </c>
      <c r="B683" s="62">
        <v>12</v>
      </c>
      <c r="C683" s="62" t="s">
        <v>4</v>
      </c>
      <c r="D683" s="62" t="s">
        <v>2</v>
      </c>
      <c r="E683" s="62">
        <v>29.75</v>
      </c>
      <c r="F683" s="62">
        <v>5.20625</v>
      </c>
      <c r="I683" s="62">
        <v>2016</v>
      </c>
      <c r="J683" s="62">
        <v>1</v>
      </c>
      <c r="K683" s="62" t="s">
        <v>16</v>
      </c>
      <c r="L683" s="62" t="s">
        <v>2</v>
      </c>
      <c r="M683" s="62">
        <v>429.449</v>
      </c>
      <c r="N683" s="62">
        <v>75.15357499999999</v>
      </c>
    </row>
    <row r="684" spans="1:14">
      <c r="A684" s="62">
        <v>2018</v>
      </c>
      <c r="B684" s="62">
        <v>1</v>
      </c>
      <c r="C684" s="62" t="s">
        <v>4</v>
      </c>
      <c r="D684" s="62" t="s">
        <v>2</v>
      </c>
      <c r="E684" s="62">
        <v>39.06</v>
      </c>
      <c r="F684" s="62">
        <v>15.351</v>
      </c>
      <c r="I684" s="62">
        <v>2016</v>
      </c>
      <c r="J684" s="62">
        <v>2</v>
      </c>
      <c r="K684" s="62" t="s">
        <v>16</v>
      </c>
      <c r="L684" s="62" t="s">
        <v>2</v>
      </c>
      <c r="M684" s="62">
        <v>621.8538</v>
      </c>
      <c r="N684" s="62">
        <v>108.824415</v>
      </c>
    </row>
    <row r="685" spans="1:14">
      <c r="A685" s="62">
        <v>2018</v>
      </c>
      <c r="B685" s="62">
        <v>2</v>
      </c>
      <c r="C685" s="62" t="s">
        <v>4</v>
      </c>
      <c r="D685" s="62" t="s">
        <v>2</v>
      </c>
      <c r="E685" s="62">
        <v>340.83</v>
      </c>
      <c r="F685" s="62">
        <v>111.7545</v>
      </c>
      <c r="I685" s="62">
        <v>2016</v>
      </c>
      <c r="J685" s="62">
        <v>3</v>
      </c>
      <c r="K685" s="62" t="s">
        <v>16</v>
      </c>
      <c r="L685" s="62" t="s">
        <v>2</v>
      </c>
      <c r="M685" s="62">
        <v>854.46</v>
      </c>
      <c r="N685" s="62">
        <v>149.5305</v>
      </c>
    </row>
    <row r="686" spans="1:14">
      <c r="A686" s="62">
        <v>2018</v>
      </c>
      <c r="B686" s="62">
        <v>3</v>
      </c>
      <c r="C686" s="62" t="s">
        <v>4</v>
      </c>
      <c r="D686" s="62" t="s">
        <v>2</v>
      </c>
      <c r="E686" s="62">
        <v>528.274</v>
      </c>
      <c r="F686" s="62">
        <v>144.771</v>
      </c>
      <c r="I686" s="62">
        <v>2016</v>
      </c>
      <c r="J686" s="62">
        <v>4</v>
      </c>
      <c r="K686" s="62" t="s">
        <v>16</v>
      </c>
      <c r="L686" s="62" t="s">
        <v>2</v>
      </c>
      <c r="M686" s="62">
        <v>903.1595</v>
      </c>
      <c r="N686" s="62">
        <v>158.0529125</v>
      </c>
    </row>
    <row r="687" spans="1:14">
      <c r="A687" s="62">
        <v>2018</v>
      </c>
      <c r="B687" s="62">
        <v>4</v>
      </c>
      <c r="C687" s="62" t="s">
        <v>4</v>
      </c>
      <c r="D687" s="62" t="s">
        <v>2</v>
      </c>
      <c r="E687" s="62">
        <v>75.92399999999999</v>
      </c>
      <c r="F687" s="62">
        <v>15.91</v>
      </c>
      <c r="I687" s="62">
        <v>2016</v>
      </c>
      <c r="J687" s="62">
        <v>5</v>
      </c>
      <c r="K687" s="62" t="s">
        <v>16</v>
      </c>
      <c r="L687" s="62" t="s">
        <v>2</v>
      </c>
      <c r="M687" s="62">
        <v>684.4300000000001</v>
      </c>
      <c r="N687" s="62">
        <v>119.77525</v>
      </c>
    </row>
    <row r="688" spans="1:14">
      <c r="A688" s="62">
        <v>2018</v>
      </c>
      <c r="B688" s="62">
        <v>9</v>
      </c>
      <c r="C688" s="62" t="s">
        <v>4</v>
      </c>
      <c r="D688" s="62" t="s">
        <v>2</v>
      </c>
      <c r="E688" s="62">
        <v>198.4577</v>
      </c>
      <c r="F688" s="62">
        <v>37.1336725</v>
      </c>
      <c r="I688" s="62">
        <v>2016</v>
      </c>
      <c r="J688" s="62">
        <v>6</v>
      </c>
      <c r="K688" s="62" t="s">
        <v>16</v>
      </c>
      <c r="L688" s="62" t="s">
        <v>2</v>
      </c>
      <c r="M688" s="62">
        <v>440.862</v>
      </c>
      <c r="N688" s="62">
        <v>77.15084999999999</v>
      </c>
    </row>
    <row r="689" spans="1:14">
      <c r="A689" s="62">
        <v>2018</v>
      </c>
      <c r="B689" s="62">
        <v>10</v>
      </c>
      <c r="C689" s="62" t="s">
        <v>4</v>
      </c>
      <c r="D689" s="62" t="s">
        <v>2</v>
      </c>
      <c r="E689" s="62">
        <v>636.6900000000001</v>
      </c>
      <c r="F689" s="62">
        <v>133.09825</v>
      </c>
      <c r="I689" s="62">
        <v>2016</v>
      </c>
      <c r="J689" s="62">
        <v>7</v>
      </c>
      <c r="K689" s="62" t="s">
        <v>16</v>
      </c>
      <c r="L689" s="62" t="s">
        <v>2</v>
      </c>
      <c r="M689" s="62">
        <v>318.718</v>
      </c>
      <c r="N689" s="62">
        <v>55.77565</v>
      </c>
    </row>
    <row r="690" spans="1:14">
      <c r="A690" s="62">
        <v>2018</v>
      </c>
      <c r="B690" s="62">
        <v>11</v>
      </c>
      <c r="C690" s="62" t="s">
        <v>4</v>
      </c>
      <c r="D690" s="62" t="s">
        <v>2</v>
      </c>
      <c r="E690" s="62">
        <v>386.457</v>
      </c>
      <c r="F690" s="62">
        <v>104.79675</v>
      </c>
      <c r="I690" s="62">
        <v>2016</v>
      </c>
      <c r="J690" s="62">
        <v>8</v>
      </c>
      <c r="K690" s="62" t="s">
        <v>16</v>
      </c>
      <c r="L690" s="62" t="s">
        <v>2</v>
      </c>
      <c r="M690" s="62">
        <v>138.16</v>
      </c>
      <c r="N690" s="62">
        <v>24.178</v>
      </c>
    </row>
    <row r="691" spans="1:14">
      <c r="A691" s="62">
        <v>2018</v>
      </c>
      <c r="B691" s="62">
        <v>12</v>
      </c>
      <c r="C691" s="62" t="s">
        <v>4</v>
      </c>
      <c r="D691" s="62" t="s">
        <v>2</v>
      </c>
      <c r="E691" s="62">
        <v>1.107</v>
      </c>
      <c r="F691" s="62">
        <v>0.94095</v>
      </c>
      <c r="I691" s="62">
        <v>2016</v>
      </c>
      <c r="J691" s="62">
        <v>9</v>
      </c>
      <c r="K691" s="62" t="s">
        <v>16</v>
      </c>
      <c r="L691" s="62" t="s">
        <v>2</v>
      </c>
      <c r="M691" s="62">
        <v>383.2675</v>
      </c>
      <c r="N691" s="62">
        <v>67.07181249999999</v>
      </c>
    </row>
    <row r="692" spans="1:14">
      <c r="A692" s="62">
        <v>2019</v>
      </c>
      <c r="B692" s="62">
        <v>1</v>
      </c>
      <c r="C692" s="62" t="s">
        <v>4</v>
      </c>
      <c r="D692" s="62" t="s">
        <v>2</v>
      </c>
      <c r="E692" s="62">
        <v>199.7</v>
      </c>
      <c r="F692" s="62">
        <v>39.7475</v>
      </c>
      <c r="I692" s="62">
        <v>2016</v>
      </c>
      <c r="J692" s="62">
        <v>10</v>
      </c>
      <c r="K692" s="62" t="s">
        <v>16</v>
      </c>
      <c r="L692" s="62" t="s">
        <v>2</v>
      </c>
      <c r="M692" s="62">
        <v>1056.025</v>
      </c>
      <c r="N692" s="62">
        <v>184.804375</v>
      </c>
    </row>
    <row r="693" spans="1:14">
      <c r="A693" s="62">
        <v>2019</v>
      </c>
      <c r="B693" s="62">
        <v>2</v>
      </c>
      <c r="C693" s="62" t="s">
        <v>4</v>
      </c>
      <c r="D693" s="62" t="s">
        <v>2</v>
      </c>
      <c r="E693" s="62">
        <v>374.6799999999999</v>
      </c>
      <c r="F693" s="62">
        <v>83.95</v>
      </c>
      <c r="I693" s="62">
        <v>2016</v>
      </c>
      <c r="J693" s="62">
        <v>11</v>
      </c>
      <c r="K693" s="62" t="s">
        <v>16</v>
      </c>
      <c r="L693" s="62" t="s">
        <v>2</v>
      </c>
      <c r="M693" s="62">
        <v>482.21</v>
      </c>
      <c r="N693" s="62">
        <v>84.38674999999999</v>
      </c>
    </row>
    <row r="694" spans="1:14">
      <c r="A694" s="62">
        <v>2019</v>
      </c>
      <c r="B694" s="62">
        <v>3</v>
      </c>
      <c r="C694" s="62" t="s">
        <v>4</v>
      </c>
      <c r="D694" s="62" t="s">
        <v>2</v>
      </c>
      <c r="E694" s="62">
        <v>152.45</v>
      </c>
      <c r="F694" s="62">
        <v>31.8295</v>
      </c>
      <c r="I694" s="62">
        <v>2016</v>
      </c>
      <c r="J694" s="62">
        <v>12</v>
      </c>
      <c r="K694" s="62" t="s">
        <v>16</v>
      </c>
      <c r="L694" s="62" t="s">
        <v>2</v>
      </c>
      <c r="M694" s="62">
        <v>204.8</v>
      </c>
      <c r="N694" s="62">
        <v>35.84</v>
      </c>
    </row>
    <row r="695" spans="1:14">
      <c r="A695" s="62">
        <v>2019</v>
      </c>
      <c r="B695" s="62">
        <v>4</v>
      </c>
      <c r="C695" s="62" t="s">
        <v>4</v>
      </c>
      <c r="D695" s="62" t="s">
        <v>2</v>
      </c>
      <c r="E695" s="62">
        <v>107.8655</v>
      </c>
      <c r="F695" s="62">
        <v>17.9264</v>
      </c>
      <c r="I695" s="62">
        <v>2017</v>
      </c>
      <c r="J695" s="62">
        <v>1</v>
      </c>
      <c r="K695" s="62" t="s">
        <v>16</v>
      </c>
      <c r="L695" s="62" t="s">
        <v>2</v>
      </c>
      <c r="M695" s="62">
        <v>373.42</v>
      </c>
      <c r="N695" s="62">
        <v>65.3485</v>
      </c>
    </row>
    <row r="696" spans="1:14">
      <c r="A696" s="62">
        <v>2019</v>
      </c>
      <c r="B696" s="62">
        <v>5</v>
      </c>
      <c r="C696" s="62" t="s">
        <v>4</v>
      </c>
      <c r="D696" s="62" t="s">
        <v>2</v>
      </c>
      <c r="E696" s="62">
        <v>54.27</v>
      </c>
      <c r="F696" s="62">
        <v>9.533999999999999</v>
      </c>
      <c r="I696" s="62">
        <v>2017</v>
      </c>
      <c r="J696" s="62">
        <v>2</v>
      </c>
      <c r="K696" s="62" t="s">
        <v>16</v>
      </c>
      <c r="L696" s="62" t="s">
        <v>2</v>
      </c>
      <c r="M696" s="62">
        <v>1046.217</v>
      </c>
      <c r="N696" s="62">
        <v>183.087975</v>
      </c>
    </row>
    <row r="697" spans="1:14">
      <c r="A697" s="62">
        <v>2019</v>
      </c>
      <c r="B697" s="62">
        <v>6</v>
      </c>
      <c r="C697" s="62" t="s">
        <v>4</v>
      </c>
      <c r="D697" s="62" t="s">
        <v>2</v>
      </c>
      <c r="E697" s="62">
        <v>66</v>
      </c>
      <c r="F697" s="62">
        <v>11.55</v>
      </c>
      <c r="I697" s="62">
        <v>2017</v>
      </c>
      <c r="J697" s="62">
        <v>3</v>
      </c>
      <c r="K697" s="62" t="s">
        <v>16</v>
      </c>
      <c r="L697" s="62" t="s">
        <v>2</v>
      </c>
      <c r="M697" s="62">
        <v>1103.98</v>
      </c>
      <c r="N697" s="62">
        <v>193.1965</v>
      </c>
    </row>
    <row r="698" spans="1:14">
      <c r="A698" s="62">
        <v>2019</v>
      </c>
      <c r="B698" s="62">
        <v>7</v>
      </c>
      <c r="C698" s="62" t="s">
        <v>4</v>
      </c>
      <c r="D698" s="62" t="s">
        <v>2</v>
      </c>
      <c r="E698" s="62">
        <v>255.25</v>
      </c>
      <c r="F698" s="62">
        <v>70.91249999999999</v>
      </c>
      <c r="I698" s="62">
        <v>2017</v>
      </c>
      <c r="J698" s="62">
        <v>4</v>
      </c>
      <c r="K698" s="62" t="s">
        <v>16</v>
      </c>
      <c r="L698" s="62" t="s">
        <v>2</v>
      </c>
      <c r="M698" s="62">
        <v>589.63</v>
      </c>
      <c r="N698" s="62">
        <v>103.18525</v>
      </c>
    </row>
    <row r="699" spans="1:14">
      <c r="A699" s="62">
        <v>2019</v>
      </c>
      <c r="B699" s="62">
        <v>8</v>
      </c>
      <c r="C699" s="62" t="s">
        <v>4</v>
      </c>
      <c r="D699" s="62" t="s">
        <v>2</v>
      </c>
      <c r="E699" s="62">
        <v>285</v>
      </c>
      <c r="F699" s="62">
        <v>90.25</v>
      </c>
      <c r="I699" s="62">
        <v>2017</v>
      </c>
      <c r="J699" s="62">
        <v>5</v>
      </c>
      <c r="K699" s="62" t="s">
        <v>16</v>
      </c>
      <c r="L699" s="62" t="s">
        <v>2</v>
      </c>
      <c r="M699" s="62">
        <v>358.03</v>
      </c>
      <c r="N699" s="62">
        <v>62.65525</v>
      </c>
    </row>
    <row r="700" spans="1:14">
      <c r="A700" s="62">
        <v>2019</v>
      </c>
      <c r="B700" s="62">
        <v>9</v>
      </c>
      <c r="C700" s="62" t="s">
        <v>4</v>
      </c>
      <c r="D700" s="62" t="s">
        <v>2</v>
      </c>
      <c r="E700" s="62">
        <v>296.09</v>
      </c>
      <c r="F700" s="62">
        <v>95.00525</v>
      </c>
      <c r="I700" s="62">
        <v>2017</v>
      </c>
      <c r="J700" s="62">
        <v>6</v>
      </c>
      <c r="K700" s="62" t="s">
        <v>16</v>
      </c>
      <c r="L700" s="62" t="s">
        <v>2</v>
      </c>
      <c r="M700" s="62">
        <v>280.67</v>
      </c>
      <c r="N700" s="62">
        <v>49.11725</v>
      </c>
    </row>
    <row r="701" spans="1:14">
      <c r="A701" s="62">
        <v>2019</v>
      </c>
      <c r="B701" s="62">
        <v>10</v>
      </c>
      <c r="C701" s="62" t="s">
        <v>4</v>
      </c>
      <c r="D701" s="62" t="s">
        <v>2</v>
      </c>
      <c r="E701" s="62">
        <v>433.38</v>
      </c>
      <c r="F701" s="62">
        <v>132.95</v>
      </c>
      <c r="I701" s="62">
        <v>2017</v>
      </c>
      <c r="J701" s="62">
        <v>7</v>
      </c>
      <c r="K701" s="62" t="s">
        <v>16</v>
      </c>
      <c r="L701" s="62" t="s">
        <v>2</v>
      </c>
      <c r="M701" s="62">
        <v>106.2</v>
      </c>
      <c r="N701" s="62">
        <v>18.585</v>
      </c>
    </row>
    <row r="702" spans="1:14">
      <c r="A702" s="62">
        <v>2019</v>
      </c>
      <c r="B702" s="62">
        <v>11</v>
      </c>
      <c r="C702" s="62" t="s">
        <v>4</v>
      </c>
      <c r="D702" s="62" t="s">
        <v>2</v>
      </c>
      <c r="E702" s="62">
        <v>295.1</v>
      </c>
      <c r="F702" s="62">
        <v>92.0175</v>
      </c>
      <c r="I702" s="62">
        <v>2017</v>
      </c>
      <c r="J702" s="62">
        <v>8</v>
      </c>
      <c r="K702" s="62" t="s">
        <v>16</v>
      </c>
      <c r="L702" s="62" t="s">
        <v>2</v>
      </c>
      <c r="M702" s="62">
        <v>26.265</v>
      </c>
      <c r="N702" s="62">
        <v>4.596375</v>
      </c>
    </row>
    <row r="703" spans="1:14">
      <c r="A703" s="62">
        <v>2019</v>
      </c>
      <c r="B703" s="62">
        <v>12</v>
      </c>
      <c r="C703" s="62" t="s">
        <v>4</v>
      </c>
      <c r="D703" s="62" t="s">
        <v>2</v>
      </c>
      <c r="E703" s="62">
        <v>285</v>
      </c>
      <c r="F703" s="62">
        <v>90.25</v>
      </c>
      <c r="I703" s="62">
        <v>2017</v>
      </c>
      <c r="J703" s="62">
        <v>9</v>
      </c>
      <c r="K703" s="62" t="s">
        <v>16</v>
      </c>
      <c r="L703" s="62" t="s">
        <v>2</v>
      </c>
      <c r="M703" s="62">
        <v>298.57</v>
      </c>
      <c r="N703" s="62">
        <v>52.24974999999999</v>
      </c>
    </row>
    <row r="704" spans="1:14">
      <c r="A704" s="62">
        <v>2020</v>
      </c>
      <c r="B704" s="62">
        <v>1</v>
      </c>
      <c r="C704" s="62" t="s">
        <v>4</v>
      </c>
      <c r="D704" s="62" t="s">
        <v>2</v>
      </c>
      <c r="E704" s="62">
        <v>285</v>
      </c>
      <c r="F704" s="62">
        <v>90.25</v>
      </c>
      <c r="I704" s="62">
        <v>2017</v>
      </c>
      <c r="J704" s="62">
        <v>10</v>
      </c>
      <c r="K704" s="62" t="s">
        <v>16</v>
      </c>
      <c r="L704" s="62" t="s">
        <v>2</v>
      </c>
      <c r="M704" s="62">
        <v>1235.945</v>
      </c>
      <c r="N704" s="62">
        <v>216.290375</v>
      </c>
    </row>
    <row r="705" spans="1:14">
      <c r="A705" s="62">
        <v>2020</v>
      </c>
      <c r="B705" s="62">
        <v>2</v>
      </c>
      <c r="C705" s="62" t="s">
        <v>4</v>
      </c>
      <c r="D705" s="62" t="s">
        <v>2</v>
      </c>
      <c r="E705" s="62">
        <v>285</v>
      </c>
      <c r="F705" s="62">
        <v>90.25</v>
      </c>
      <c r="I705" s="62">
        <v>2017</v>
      </c>
      <c r="J705" s="62">
        <v>11</v>
      </c>
      <c r="K705" s="62" t="s">
        <v>16</v>
      </c>
      <c r="L705" s="62" t="s">
        <v>2</v>
      </c>
      <c r="M705" s="62">
        <v>536.3099999999999</v>
      </c>
      <c r="N705" s="62">
        <v>93.85424999999999</v>
      </c>
    </row>
    <row r="706" spans="1:14">
      <c r="A706" s="62">
        <v>2020</v>
      </c>
      <c r="B706" s="62">
        <v>3</v>
      </c>
      <c r="C706" s="62" t="s">
        <v>4</v>
      </c>
      <c r="D706" s="62" t="s">
        <v>2</v>
      </c>
      <c r="E706" s="62">
        <v>300.2525</v>
      </c>
      <c r="F706" s="62">
        <v>93.56643750000001</v>
      </c>
      <c r="I706" s="62">
        <v>2017</v>
      </c>
      <c r="J706" s="62">
        <v>12</v>
      </c>
      <c r="K706" s="62" t="s">
        <v>16</v>
      </c>
      <c r="L706" s="62" t="s">
        <v>2</v>
      </c>
      <c r="M706" s="62">
        <v>86.0125</v>
      </c>
      <c r="N706" s="62">
        <v>15.0521875</v>
      </c>
    </row>
    <row r="707" spans="1:14">
      <c r="A707" s="62">
        <v>2020</v>
      </c>
      <c r="B707" s="62">
        <v>4</v>
      </c>
      <c r="C707" s="62" t="s">
        <v>4</v>
      </c>
      <c r="D707" s="62" t="s">
        <v>2</v>
      </c>
      <c r="E707" s="62">
        <v>486.96</v>
      </c>
      <c r="F707" s="62">
        <v>157.17975</v>
      </c>
      <c r="I707" s="62">
        <v>2018</v>
      </c>
      <c r="J707" s="62">
        <v>1</v>
      </c>
      <c r="K707" s="62" t="s">
        <v>16</v>
      </c>
      <c r="L707" s="62" t="s">
        <v>2</v>
      </c>
      <c r="M707" s="62">
        <v>197.987</v>
      </c>
      <c r="N707" s="62">
        <v>34.647725</v>
      </c>
    </row>
    <row r="708" spans="1:14">
      <c r="A708" s="62">
        <v>2020</v>
      </c>
      <c r="B708" s="62">
        <v>5</v>
      </c>
      <c r="C708" s="62" t="s">
        <v>4</v>
      </c>
      <c r="D708" s="62" t="s">
        <v>2</v>
      </c>
      <c r="E708" s="62">
        <v>424.87</v>
      </c>
      <c r="F708" s="62">
        <v>141.67575</v>
      </c>
      <c r="I708" s="62">
        <v>2018</v>
      </c>
      <c r="J708" s="62">
        <v>2</v>
      </c>
      <c r="K708" s="62" t="s">
        <v>16</v>
      </c>
      <c r="L708" s="62" t="s">
        <v>2</v>
      </c>
      <c r="M708" s="62">
        <v>997.437</v>
      </c>
      <c r="N708" s="62">
        <v>174.551475</v>
      </c>
    </row>
    <row r="709" spans="1:14">
      <c r="A709" s="62">
        <v>2020</v>
      </c>
      <c r="B709" s="62">
        <v>6</v>
      </c>
      <c r="C709" s="62" t="s">
        <v>4</v>
      </c>
      <c r="D709" s="62" t="s">
        <v>2</v>
      </c>
      <c r="E709" s="62">
        <v>411.68</v>
      </c>
      <c r="F709" s="62">
        <v>138.4075</v>
      </c>
      <c r="I709" s="62">
        <v>2018</v>
      </c>
      <c r="J709" s="62">
        <v>3</v>
      </c>
      <c r="K709" s="62" t="s">
        <v>16</v>
      </c>
      <c r="L709" s="62" t="s">
        <v>2</v>
      </c>
      <c r="M709" s="62">
        <v>784.39</v>
      </c>
      <c r="N709" s="62">
        <v>137.26825</v>
      </c>
    </row>
    <row r="710" spans="1:14">
      <c r="A710" s="62">
        <v>2020</v>
      </c>
      <c r="B710" s="62">
        <v>7</v>
      </c>
      <c r="C710" s="62" t="s">
        <v>4</v>
      </c>
      <c r="D710" s="62" t="s">
        <v>2</v>
      </c>
      <c r="E710" s="62">
        <v>350.09</v>
      </c>
      <c r="F710" s="62">
        <v>116.18075</v>
      </c>
      <c r="I710" s="62">
        <v>2018</v>
      </c>
      <c r="J710" s="62">
        <v>4</v>
      </c>
      <c r="K710" s="62" t="s">
        <v>16</v>
      </c>
      <c r="L710" s="62" t="s">
        <v>2</v>
      </c>
      <c r="M710" s="62">
        <v>1008.768</v>
      </c>
      <c r="N710" s="62">
        <v>176.5344</v>
      </c>
    </row>
    <row r="711" spans="1:14">
      <c r="A711" s="62">
        <v>2020</v>
      </c>
      <c r="B711" s="62">
        <v>8</v>
      </c>
      <c r="C711" s="62" t="s">
        <v>4</v>
      </c>
      <c r="D711" s="62" t="s">
        <v>2</v>
      </c>
      <c r="E711" s="62">
        <v>37.83</v>
      </c>
      <c r="F711" s="62">
        <v>9.586749999999999</v>
      </c>
      <c r="I711" s="62">
        <v>2018</v>
      </c>
      <c r="J711" s="62">
        <v>5</v>
      </c>
      <c r="K711" s="62" t="s">
        <v>16</v>
      </c>
      <c r="L711" s="62" t="s">
        <v>2</v>
      </c>
      <c r="M711" s="62">
        <v>812.29</v>
      </c>
      <c r="N711" s="62">
        <v>142.15075</v>
      </c>
    </row>
    <row r="712" spans="1:14">
      <c r="A712" s="62">
        <v>2020</v>
      </c>
      <c r="B712" s="62">
        <v>9</v>
      </c>
      <c r="C712" s="62" t="s">
        <v>4</v>
      </c>
      <c r="D712" s="62" t="s">
        <v>2</v>
      </c>
      <c r="E712" s="62">
        <v>13.7575</v>
      </c>
      <c r="F712" s="62">
        <v>1.9000625</v>
      </c>
      <c r="I712" s="62">
        <v>2018</v>
      </c>
      <c r="J712" s="62">
        <v>6</v>
      </c>
      <c r="K712" s="62" t="s">
        <v>16</v>
      </c>
      <c r="L712" s="62" t="s">
        <v>2</v>
      </c>
      <c r="M712" s="62">
        <v>62.662</v>
      </c>
      <c r="N712" s="62">
        <v>10.96585</v>
      </c>
    </row>
    <row r="713" spans="1:14">
      <c r="A713" s="62">
        <v>2020</v>
      </c>
      <c r="B713" s="62">
        <v>10</v>
      </c>
      <c r="C713" s="62" t="s">
        <v>4</v>
      </c>
      <c r="D713" s="62" t="s">
        <v>2</v>
      </c>
      <c r="E713" s="62">
        <v>16.82</v>
      </c>
      <c r="F713" s="62">
        <v>0</v>
      </c>
      <c r="I713" s="62">
        <v>2018</v>
      </c>
      <c r="J713" s="62">
        <v>7</v>
      </c>
      <c r="K713" s="62" t="s">
        <v>16</v>
      </c>
      <c r="L713" s="62" t="s">
        <v>2</v>
      </c>
      <c r="M713" s="62">
        <v>268.869</v>
      </c>
      <c r="N713" s="62">
        <v>47.05207499999999</v>
      </c>
    </row>
    <row r="714" spans="1:14">
      <c r="A714" s="62">
        <v>2021</v>
      </c>
      <c r="B714" s="62">
        <v>2</v>
      </c>
      <c r="C714" s="62" t="s">
        <v>4</v>
      </c>
      <c r="D714" s="62" t="s">
        <v>2</v>
      </c>
      <c r="E714" s="62">
        <v>12.125</v>
      </c>
      <c r="F714" s="62">
        <v>0</v>
      </c>
      <c r="I714" s="62">
        <v>2018</v>
      </c>
      <c r="J714" s="62">
        <v>8</v>
      </c>
      <c r="K714" s="62" t="s">
        <v>16</v>
      </c>
      <c r="L714" s="62" t="s">
        <v>2</v>
      </c>
      <c r="M714" s="62">
        <v>126.6</v>
      </c>
      <c r="N714" s="62">
        <v>22.155</v>
      </c>
    </row>
    <row r="715" spans="1:14">
      <c r="A715" s="62">
        <v>2021</v>
      </c>
      <c r="B715" s="62">
        <v>3</v>
      </c>
      <c r="C715" s="62" t="s">
        <v>4</v>
      </c>
      <c r="D715" s="62" t="s">
        <v>2</v>
      </c>
      <c r="E715" s="62">
        <v>42.12</v>
      </c>
      <c r="F715" s="62">
        <v>2.252</v>
      </c>
      <c r="I715" s="62">
        <v>2018</v>
      </c>
      <c r="J715" s="62">
        <v>9</v>
      </c>
      <c r="K715" s="62" t="s">
        <v>16</v>
      </c>
      <c r="L715" s="62" t="s">
        <v>2</v>
      </c>
      <c r="M715" s="62">
        <v>702.1</v>
      </c>
      <c r="N715" s="62">
        <v>122.8675</v>
      </c>
    </row>
    <row r="716" spans="1:14">
      <c r="A716" s="62">
        <v>2021</v>
      </c>
      <c r="B716" s="62">
        <v>4</v>
      </c>
      <c r="C716" s="62" t="s">
        <v>4</v>
      </c>
      <c r="D716" s="62" t="s">
        <v>2</v>
      </c>
      <c r="E716" s="62">
        <v>76.8</v>
      </c>
      <c r="F716" s="62">
        <v>9.327499999999999</v>
      </c>
      <c r="I716" s="62">
        <v>2018</v>
      </c>
      <c r="J716" s="62">
        <v>10</v>
      </c>
      <c r="K716" s="62" t="s">
        <v>16</v>
      </c>
      <c r="L716" s="62" t="s">
        <v>2</v>
      </c>
      <c r="M716" s="62">
        <v>1619.05</v>
      </c>
      <c r="N716" s="62">
        <v>283.33375</v>
      </c>
    </row>
    <row r="717" spans="1:14">
      <c r="A717" s="62">
        <v>2021</v>
      </c>
      <c r="B717" s="62">
        <v>5</v>
      </c>
      <c r="C717" s="62" t="s">
        <v>4</v>
      </c>
      <c r="D717" s="62" t="s">
        <v>2</v>
      </c>
      <c r="E717" s="62">
        <v>10.56</v>
      </c>
      <c r="F717" s="62">
        <v>1.406</v>
      </c>
      <c r="I717" s="62">
        <v>2018</v>
      </c>
      <c r="J717" s="62">
        <v>11</v>
      </c>
      <c r="K717" s="62" t="s">
        <v>16</v>
      </c>
      <c r="L717" s="62" t="s">
        <v>2</v>
      </c>
      <c r="M717" s="62">
        <v>597.145</v>
      </c>
      <c r="N717" s="62">
        <v>104.500375</v>
      </c>
    </row>
    <row r="718" spans="1:14">
      <c r="A718" s="62">
        <v>2021</v>
      </c>
      <c r="B718" s="62">
        <v>9</v>
      </c>
      <c r="C718" s="62" t="s">
        <v>4</v>
      </c>
      <c r="D718" s="62" t="s">
        <v>2</v>
      </c>
      <c r="E718" s="62">
        <v>12.25</v>
      </c>
      <c r="F718" s="62">
        <v>2.14375</v>
      </c>
      <c r="I718" s="62">
        <v>2018</v>
      </c>
      <c r="J718" s="62">
        <v>12</v>
      </c>
      <c r="K718" s="62" t="s">
        <v>16</v>
      </c>
      <c r="L718" s="62" t="s">
        <v>2</v>
      </c>
      <c r="M718" s="62">
        <v>89.185</v>
      </c>
      <c r="N718" s="62">
        <v>15.607375</v>
      </c>
    </row>
    <row r="719" spans="1:14">
      <c r="A719" s="62">
        <v>2021</v>
      </c>
      <c r="B719" s="62">
        <v>10</v>
      </c>
      <c r="C719" s="62" t="s">
        <v>4</v>
      </c>
      <c r="D719" s="62" t="s">
        <v>2</v>
      </c>
      <c r="E719" s="62">
        <v>152.25</v>
      </c>
      <c r="F719" s="62">
        <v>26.64375</v>
      </c>
      <c r="I719" s="62">
        <v>2019</v>
      </c>
      <c r="J719" s="62">
        <v>1</v>
      </c>
      <c r="K719" s="62" t="s">
        <v>16</v>
      </c>
      <c r="L719" s="62" t="s">
        <v>2</v>
      </c>
      <c r="M719" s="62">
        <v>286.684</v>
      </c>
      <c r="N719" s="62">
        <v>50.16969999999999</v>
      </c>
    </row>
    <row r="720" spans="1:14">
      <c r="A720" s="62">
        <v>2022</v>
      </c>
      <c r="B720" s="62">
        <v>2</v>
      </c>
      <c r="C720" s="62" t="s">
        <v>4</v>
      </c>
      <c r="D720" s="62" t="s">
        <v>2</v>
      </c>
      <c r="E720" s="62">
        <v>35.6</v>
      </c>
      <c r="F720" s="62">
        <v>0</v>
      </c>
      <c r="I720" s="62">
        <v>2019</v>
      </c>
      <c r="J720" s="62">
        <v>2</v>
      </c>
      <c r="K720" s="62" t="s">
        <v>16</v>
      </c>
      <c r="L720" s="62" t="s">
        <v>2</v>
      </c>
      <c r="M720" s="62">
        <v>330.245</v>
      </c>
      <c r="N720" s="62">
        <v>57.792875</v>
      </c>
    </row>
    <row r="721" spans="1:14">
      <c r="A721" s="62">
        <v>2022</v>
      </c>
      <c r="B721" s="62">
        <v>3</v>
      </c>
      <c r="C721" s="62" t="s">
        <v>4</v>
      </c>
      <c r="D721" s="62" t="s">
        <v>2</v>
      </c>
      <c r="E721" s="62">
        <v>261.212</v>
      </c>
      <c r="F721" s="62">
        <v>68.33175</v>
      </c>
      <c r="I721" s="62">
        <v>2019</v>
      </c>
      <c r="J721" s="62">
        <v>3</v>
      </c>
      <c r="K721" s="62" t="s">
        <v>16</v>
      </c>
      <c r="L721" s="62" t="s">
        <v>2</v>
      </c>
      <c r="M721" s="62">
        <v>539.275</v>
      </c>
      <c r="N721" s="62">
        <v>94.37312499999999</v>
      </c>
    </row>
    <row r="722" spans="1:14">
      <c r="A722" s="62">
        <v>2022</v>
      </c>
      <c r="B722" s="62">
        <v>4</v>
      </c>
      <c r="C722" s="62" t="s">
        <v>4</v>
      </c>
      <c r="D722" s="62" t="s">
        <v>2</v>
      </c>
      <c r="E722" s="62">
        <v>161.587</v>
      </c>
      <c r="F722" s="62">
        <v>43.87555</v>
      </c>
      <c r="I722" s="62">
        <v>2019</v>
      </c>
      <c r="J722" s="62">
        <v>4</v>
      </c>
      <c r="K722" s="62" t="s">
        <v>16</v>
      </c>
      <c r="L722" s="62" t="s">
        <v>2</v>
      </c>
      <c r="M722" s="62">
        <v>672</v>
      </c>
      <c r="N722" s="62">
        <v>117.6</v>
      </c>
    </row>
    <row r="723" spans="1:14">
      <c r="A723" s="62">
        <v>2022</v>
      </c>
      <c r="B723" s="62">
        <v>5</v>
      </c>
      <c r="C723" s="62" t="s">
        <v>4</v>
      </c>
      <c r="D723" s="62" t="s">
        <v>2</v>
      </c>
      <c r="E723" s="62">
        <v>6.405</v>
      </c>
      <c r="F723" s="62">
        <v>0</v>
      </c>
      <c r="I723" s="62">
        <v>2019</v>
      </c>
      <c r="J723" s="62">
        <v>5</v>
      </c>
      <c r="K723" s="62" t="s">
        <v>16</v>
      </c>
      <c r="L723" s="62" t="s">
        <v>2</v>
      </c>
      <c r="M723" s="62">
        <v>691.532</v>
      </c>
      <c r="N723" s="62">
        <v>121.0181</v>
      </c>
    </row>
    <row r="724" spans="1:14">
      <c r="A724" s="62">
        <v>2022</v>
      </c>
      <c r="B724" s="62">
        <v>9</v>
      </c>
      <c r="C724" s="62" t="s">
        <v>4</v>
      </c>
      <c r="D724" s="62" t="s">
        <v>2</v>
      </c>
      <c r="E724" s="62">
        <v>181.1011</v>
      </c>
      <c r="F724" s="62">
        <v>23.6899425</v>
      </c>
      <c r="I724" s="62">
        <v>2019</v>
      </c>
      <c r="J724" s="62">
        <v>6</v>
      </c>
      <c r="K724" s="62" t="s">
        <v>16</v>
      </c>
      <c r="L724" s="62" t="s">
        <v>2</v>
      </c>
      <c r="M724" s="62">
        <v>342.225</v>
      </c>
      <c r="N724" s="62">
        <v>59.889375</v>
      </c>
    </row>
    <row r="725" spans="1:14">
      <c r="A725" s="62">
        <v>2022</v>
      </c>
      <c r="B725" s="62">
        <v>10</v>
      </c>
      <c r="C725" s="62" t="s">
        <v>4</v>
      </c>
      <c r="D725" s="62" t="s">
        <v>2</v>
      </c>
      <c r="E725" s="62">
        <v>70.7265</v>
      </c>
      <c r="F725" s="62">
        <v>15.7888875</v>
      </c>
      <c r="I725" s="62">
        <v>2019</v>
      </c>
      <c r="J725" s="62">
        <v>7</v>
      </c>
      <c r="K725" s="62" t="s">
        <v>16</v>
      </c>
      <c r="L725" s="62" t="s">
        <v>2</v>
      </c>
      <c r="M725" s="62">
        <v>221.05</v>
      </c>
      <c r="N725" s="62">
        <v>38.68375</v>
      </c>
    </row>
    <row r="726" spans="1:14">
      <c r="A726" s="62">
        <v>2023</v>
      </c>
      <c r="B726" s="62">
        <v>1</v>
      </c>
      <c r="C726" s="62" t="s">
        <v>4</v>
      </c>
      <c r="D726" s="62" t="s">
        <v>2</v>
      </c>
      <c r="E726" s="62">
        <v>113.1</v>
      </c>
      <c r="F726" s="62">
        <v>8.80425</v>
      </c>
      <c r="I726" s="62">
        <v>2019</v>
      </c>
      <c r="J726" s="62">
        <v>8</v>
      </c>
      <c r="K726" s="62" t="s">
        <v>16</v>
      </c>
      <c r="L726" s="62" t="s">
        <v>2</v>
      </c>
      <c r="M726" s="62">
        <v>412.6</v>
      </c>
      <c r="N726" s="62">
        <v>72.205</v>
      </c>
    </row>
    <row r="727" spans="1:14">
      <c r="A727" s="62">
        <v>2023</v>
      </c>
      <c r="B727" s="62">
        <v>2</v>
      </c>
      <c r="C727" s="62" t="s">
        <v>4</v>
      </c>
      <c r="D727" s="62" t="s">
        <v>2</v>
      </c>
      <c r="E727" s="62">
        <v>440</v>
      </c>
      <c r="F727" s="62">
        <v>120.075</v>
      </c>
      <c r="I727" s="62">
        <v>2019</v>
      </c>
      <c r="J727" s="62">
        <v>9</v>
      </c>
      <c r="K727" s="62" t="s">
        <v>16</v>
      </c>
      <c r="L727" s="62" t="s">
        <v>2</v>
      </c>
      <c r="M727" s="62">
        <v>1230.744</v>
      </c>
      <c r="N727" s="62">
        <v>215.3802</v>
      </c>
    </row>
    <row r="728" spans="1:14">
      <c r="A728" s="62">
        <v>2023</v>
      </c>
      <c r="B728" s="62">
        <v>3</v>
      </c>
      <c r="C728" s="62" t="s">
        <v>4</v>
      </c>
      <c r="D728" s="62" t="s">
        <v>2</v>
      </c>
      <c r="E728" s="62">
        <v>397.62</v>
      </c>
      <c r="F728" s="62">
        <v>106.75</v>
      </c>
      <c r="I728" s="62">
        <v>2019</v>
      </c>
      <c r="J728" s="62">
        <v>10</v>
      </c>
      <c r="K728" s="62" t="s">
        <v>16</v>
      </c>
      <c r="L728" s="62" t="s">
        <v>2</v>
      </c>
      <c r="M728" s="62">
        <v>1768.396</v>
      </c>
      <c r="N728" s="62">
        <v>309.4693</v>
      </c>
    </row>
    <row r="729" spans="1:14">
      <c r="A729" s="62">
        <v>2023</v>
      </c>
      <c r="B729" s="62">
        <v>4</v>
      </c>
      <c r="C729" s="62" t="s">
        <v>4</v>
      </c>
      <c r="D729" s="62" t="s">
        <v>2</v>
      </c>
      <c r="E729" s="62">
        <v>108.89</v>
      </c>
      <c r="F729" s="62">
        <v>17.083875</v>
      </c>
      <c r="I729" s="62">
        <v>2019</v>
      </c>
      <c r="J729" s="62">
        <v>11</v>
      </c>
      <c r="K729" s="62" t="s">
        <v>16</v>
      </c>
      <c r="L729" s="62" t="s">
        <v>2</v>
      </c>
      <c r="M729" s="62">
        <v>1239.035</v>
      </c>
      <c r="N729" s="62">
        <v>216.831125</v>
      </c>
    </row>
    <row r="730" spans="1:14">
      <c r="A730" s="62">
        <v>2023</v>
      </c>
      <c r="B730" s="62">
        <v>5</v>
      </c>
      <c r="C730" s="62" t="s">
        <v>4</v>
      </c>
      <c r="D730" s="62" t="s">
        <v>2</v>
      </c>
      <c r="E730" s="62">
        <v>46.16</v>
      </c>
      <c r="F730" s="62">
        <v>7.747</v>
      </c>
      <c r="I730" s="62">
        <v>2019</v>
      </c>
      <c r="J730" s="62">
        <v>12</v>
      </c>
      <c r="K730" s="62" t="s">
        <v>16</v>
      </c>
      <c r="L730" s="62" t="s">
        <v>2</v>
      </c>
      <c r="M730" s="62">
        <v>414.04</v>
      </c>
      <c r="N730" s="62">
        <v>72.45699999999999</v>
      </c>
    </row>
    <row r="731" spans="1:14">
      <c r="A731" s="62">
        <v>2023</v>
      </c>
      <c r="B731" s="62">
        <v>9</v>
      </c>
      <c r="C731" s="62" t="s">
        <v>4</v>
      </c>
      <c r="D731" s="62" t="s">
        <v>2</v>
      </c>
      <c r="E731" s="62">
        <v>318.2042</v>
      </c>
      <c r="F731" s="62">
        <v>66.08481</v>
      </c>
      <c r="I731" s="62">
        <v>2020</v>
      </c>
      <c r="J731" s="62">
        <v>1</v>
      </c>
      <c r="K731" s="62" t="s">
        <v>16</v>
      </c>
      <c r="L731" s="62" t="s">
        <v>2</v>
      </c>
      <c r="M731" s="62">
        <v>529.553</v>
      </c>
      <c r="N731" s="62">
        <v>92.671775</v>
      </c>
    </row>
    <row r="732" spans="1:14">
      <c r="A732" s="62">
        <v>2023</v>
      </c>
      <c r="B732" s="62">
        <v>10</v>
      </c>
      <c r="C732" s="62" t="s">
        <v>4</v>
      </c>
      <c r="D732" s="62" t="s">
        <v>2</v>
      </c>
      <c r="E732" s="62">
        <v>646.6900000000001</v>
      </c>
      <c r="F732" s="62">
        <v>140.34825</v>
      </c>
      <c r="I732" s="62">
        <v>2020</v>
      </c>
      <c r="J732" s="62">
        <v>2</v>
      </c>
      <c r="K732" s="62" t="s">
        <v>16</v>
      </c>
      <c r="L732" s="62" t="s">
        <v>2</v>
      </c>
      <c r="M732" s="62">
        <v>804.386</v>
      </c>
      <c r="N732" s="62">
        <v>140.76755</v>
      </c>
    </row>
    <row r="733" spans="1:14">
      <c r="A733" s="62">
        <v>2023</v>
      </c>
      <c r="B733" s="62">
        <v>11</v>
      </c>
      <c r="C733" s="62" t="s">
        <v>4</v>
      </c>
      <c r="D733" s="62" t="s">
        <v>2</v>
      </c>
      <c r="E733" s="62">
        <v>223.607</v>
      </c>
      <c r="F733" s="62">
        <v>58.458475</v>
      </c>
      <c r="I733" s="62">
        <v>2020</v>
      </c>
      <c r="J733" s="62">
        <v>3</v>
      </c>
      <c r="K733" s="62" t="s">
        <v>16</v>
      </c>
      <c r="L733" s="62" t="s">
        <v>2</v>
      </c>
      <c r="M733" s="62">
        <v>1069.9065</v>
      </c>
      <c r="N733" s="62">
        <v>187.2336375</v>
      </c>
    </row>
    <row r="734" spans="1:14">
      <c r="A734" s="62">
        <v>2024</v>
      </c>
      <c r="B734" s="62">
        <v>3</v>
      </c>
      <c r="C734" s="62" t="s">
        <v>4</v>
      </c>
      <c r="D734" s="62" t="s">
        <v>2</v>
      </c>
      <c r="E734" s="62">
        <v>203.6194</v>
      </c>
      <c r="F734" s="62">
        <v>72.49858</v>
      </c>
      <c r="I734" s="62">
        <v>2020</v>
      </c>
      <c r="J734" s="62">
        <v>4</v>
      </c>
      <c r="K734" s="62" t="s">
        <v>16</v>
      </c>
      <c r="L734" s="62" t="s">
        <v>2</v>
      </c>
      <c r="M734" s="62">
        <v>1106.375</v>
      </c>
      <c r="N734" s="62">
        <v>193.615625</v>
      </c>
    </row>
    <row r="735" spans="1:14">
      <c r="A735" s="62">
        <v>2024</v>
      </c>
      <c r="B735" s="62">
        <v>4</v>
      </c>
      <c r="C735" s="62" t="s">
        <v>4</v>
      </c>
      <c r="D735" s="62" t="s">
        <v>2</v>
      </c>
      <c r="E735" s="62">
        <v>204.8837</v>
      </c>
      <c r="F735" s="62">
        <v>65.41258999999999</v>
      </c>
      <c r="I735" s="62">
        <v>2020</v>
      </c>
      <c r="J735" s="62">
        <v>5</v>
      </c>
      <c r="K735" s="62" t="s">
        <v>16</v>
      </c>
      <c r="L735" s="62" t="s">
        <v>2</v>
      </c>
      <c r="M735" s="62">
        <v>1254.162</v>
      </c>
      <c r="N735" s="62">
        <v>219.47835</v>
      </c>
    </row>
    <row r="736" spans="1:14">
      <c r="A736" s="62">
        <v>2024</v>
      </c>
      <c r="B736" s="62">
        <v>5</v>
      </c>
      <c r="C736" s="62" t="s">
        <v>4</v>
      </c>
      <c r="D736" s="62" t="s">
        <v>2</v>
      </c>
      <c r="E736" s="62">
        <v>23.4</v>
      </c>
      <c r="F736" s="62">
        <v>0</v>
      </c>
      <c r="I736" s="62">
        <v>2020</v>
      </c>
      <c r="J736" s="62">
        <v>6</v>
      </c>
      <c r="K736" s="62" t="s">
        <v>16</v>
      </c>
      <c r="L736" s="62" t="s">
        <v>2</v>
      </c>
      <c r="M736" s="62">
        <v>1100.62</v>
      </c>
      <c r="N736" s="62">
        <v>192.6085</v>
      </c>
    </row>
    <row r="737" spans="1:14">
      <c r="A737" s="62">
        <v>2024</v>
      </c>
      <c r="B737" s="62">
        <v>7</v>
      </c>
      <c r="C737" s="62" t="s">
        <v>4</v>
      </c>
      <c r="D737" s="62" t="s">
        <v>2</v>
      </c>
      <c r="E737" s="62">
        <v>24.75</v>
      </c>
      <c r="F737" s="62">
        <v>4.33125</v>
      </c>
      <c r="I737" s="62">
        <v>2020</v>
      </c>
      <c r="J737" s="62">
        <v>7</v>
      </c>
      <c r="K737" s="62" t="s">
        <v>16</v>
      </c>
      <c r="L737" s="62" t="s">
        <v>2</v>
      </c>
      <c r="M737" s="62">
        <v>920.75</v>
      </c>
      <c r="N737" s="62">
        <v>161.13125</v>
      </c>
    </row>
    <row r="738" spans="1:14">
      <c r="A738" s="62">
        <v>2024</v>
      </c>
      <c r="B738" s="62">
        <v>9</v>
      </c>
      <c r="C738" s="62" t="s">
        <v>4</v>
      </c>
      <c r="D738" s="62" t="s">
        <v>2</v>
      </c>
      <c r="E738" s="62">
        <v>73.1939</v>
      </c>
      <c r="F738" s="62">
        <v>37.9839325</v>
      </c>
      <c r="I738" s="62">
        <v>2020</v>
      </c>
      <c r="J738" s="62">
        <v>8</v>
      </c>
      <c r="K738" s="62" t="s">
        <v>16</v>
      </c>
      <c r="L738" s="62" t="s">
        <v>2</v>
      </c>
      <c r="M738" s="62">
        <v>495.776</v>
      </c>
      <c r="N738" s="62">
        <v>86.76079999999999</v>
      </c>
    </row>
    <row r="739" spans="1:14">
      <c r="A739" s="62">
        <v>2024</v>
      </c>
      <c r="B739" s="62">
        <v>10</v>
      </c>
      <c r="C739" s="62" t="s">
        <v>4</v>
      </c>
      <c r="D739" s="62" t="s">
        <v>2</v>
      </c>
      <c r="E739" s="62">
        <v>33.2085</v>
      </c>
      <c r="F739" s="62">
        <v>16.3849875</v>
      </c>
      <c r="I739" s="62">
        <v>2020</v>
      </c>
      <c r="J739" s="62">
        <v>9</v>
      </c>
      <c r="K739" s="62" t="s">
        <v>16</v>
      </c>
      <c r="L739" s="62" t="s">
        <v>2</v>
      </c>
      <c r="M739" s="62">
        <v>801.4924999999999</v>
      </c>
      <c r="N739" s="62">
        <v>140.2611875</v>
      </c>
    </row>
    <row r="740" spans="1:14">
      <c r="A740" s="62">
        <v>2024</v>
      </c>
      <c r="B740" s="62">
        <v>11</v>
      </c>
      <c r="C740" s="62" t="s">
        <v>4</v>
      </c>
      <c r="D740" s="62" t="s">
        <v>2</v>
      </c>
      <c r="E740" s="62">
        <v>1.7031</v>
      </c>
      <c r="F740" s="62">
        <v>0.2980425</v>
      </c>
      <c r="I740" s="62">
        <v>2020</v>
      </c>
      <c r="J740" s="62">
        <v>10</v>
      </c>
      <c r="K740" s="62" t="s">
        <v>16</v>
      </c>
      <c r="L740" s="62" t="s">
        <v>2</v>
      </c>
      <c r="M740" s="62">
        <v>836.388</v>
      </c>
      <c r="N740" s="62">
        <v>146.3679</v>
      </c>
    </row>
    <row r="741" spans="1:14">
      <c r="A741" s="62">
        <v>2025</v>
      </c>
      <c r="B741" s="62">
        <v>1</v>
      </c>
      <c r="C741" s="62" t="s">
        <v>4</v>
      </c>
      <c r="D741" s="62" t="s">
        <v>2</v>
      </c>
      <c r="E741" s="62">
        <v>24.82</v>
      </c>
      <c r="F741" s="62">
        <v>0</v>
      </c>
      <c r="I741" s="62">
        <v>2020</v>
      </c>
      <c r="J741" s="62">
        <v>11</v>
      </c>
      <c r="K741" s="62" t="s">
        <v>16</v>
      </c>
      <c r="L741" s="62" t="s">
        <v>2</v>
      </c>
      <c r="M741" s="62">
        <v>656.6</v>
      </c>
      <c r="N741" s="62">
        <v>114.905</v>
      </c>
    </row>
    <row r="742" spans="1:14">
      <c r="A742" s="62">
        <v>2025</v>
      </c>
      <c r="B742" s="62">
        <v>2</v>
      </c>
      <c r="C742" s="62" t="s">
        <v>4</v>
      </c>
      <c r="D742" s="62" t="s">
        <v>2</v>
      </c>
      <c r="E742" s="62">
        <v>221.79</v>
      </c>
      <c r="F742" s="62">
        <v>43.44974999999999</v>
      </c>
      <c r="I742" s="62">
        <v>2020</v>
      </c>
      <c r="J742" s="62">
        <v>12</v>
      </c>
      <c r="K742" s="62" t="s">
        <v>16</v>
      </c>
      <c r="L742" s="62" t="s">
        <v>2</v>
      </c>
      <c r="M742" s="62">
        <v>712.05</v>
      </c>
      <c r="N742" s="62">
        <v>124.60875</v>
      </c>
    </row>
    <row r="743" spans="1:14">
      <c r="A743" s="62">
        <v>2025</v>
      </c>
      <c r="B743" s="62">
        <v>3</v>
      </c>
      <c r="C743" s="62" t="s">
        <v>4</v>
      </c>
      <c r="D743" s="62" t="s">
        <v>2</v>
      </c>
      <c r="E743" s="62">
        <v>390.48</v>
      </c>
      <c r="F743" s="62">
        <v>80.726125</v>
      </c>
      <c r="I743" s="62">
        <v>2021</v>
      </c>
      <c r="J743" s="62">
        <v>1</v>
      </c>
      <c r="K743" s="62" t="s">
        <v>16</v>
      </c>
      <c r="L743" s="62" t="s">
        <v>2</v>
      </c>
      <c r="M743" s="62">
        <v>766.5599999999999</v>
      </c>
      <c r="N743" s="62">
        <v>134.148</v>
      </c>
    </row>
    <row r="744" spans="1:14">
      <c r="A744" s="62">
        <v>2025</v>
      </c>
      <c r="B744" s="62">
        <v>4</v>
      </c>
      <c r="C744" s="62" t="s">
        <v>4</v>
      </c>
      <c r="D744" s="62" t="s">
        <v>2</v>
      </c>
      <c r="E744" s="62">
        <v>95.11499999999999</v>
      </c>
      <c r="F744" s="62">
        <v>12.074375</v>
      </c>
      <c r="I744" s="62">
        <v>2021</v>
      </c>
      <c r="J744" s="62">
        <v>2</v>
      </c>
      <c r="K744" s="62" t="s">
        <v>16</v>
      </c>
      <c r="L744" s="62" t="s">
        <v>2</v>
      </c>
      <c r="M744" s="62">
        <v>799.9449999999999</v>
      </c>
      <c r="N744" s="62">
        <v>139.990375</v>
      </c>
    </row>
    <row r="745" spans="1:14">
      <c r="A745" s="62">
        <v>2025</v>
      </c>
      <c r="B745" s="62">
        <v>5</v>
      </c>
      <c r="C745" s="62" t="s">
        <v>4</v>
      </c>
      <c r="D745" s="62" t="s">
        <v>2</v>
      </c>
      <c r="E745" s="62">
        <v>72.3</v>
      </c>
      <c r="F745" s="62">
        <v>9.102499999999999</v>
      </c>
      <c r="I745" s="62">
        <v>2021</v>
      </c>
      <c r="J745" s="62">
        <v>3</v>
      </c>
      <c r="K745" s="62" t="s">
        <v>16</v>
      </c>
      <c r="L745" s="62" t="s">
        <v>2</v>
      </c>
      <c r="M745" s="62">
        <v>870.423</v>
      </c>
      <c r="N745" s="62">
        <v>152.324025</v>
      </c>
    </row>
    <row r="746" spans="1:14">
      <c r="A746" s="62">
        <v>2025</v>
      </c>
      <c r="B746" s="62">
        <v>6</v>
      </c>
      <c r="C746" s="62" t="s">
        <v>4</v>
      </c>
      <c r="D746" s="62" t="s">
        <v>2</v>
      </c>
      <c r="E746" s="62">
        <v>80.5796</v>
      </c>
      <c r="F746" s="62">
        <v>10.617275</v>
      </c>
      <c r="I746" s="62">
        <v>2021</v>
      </c>
      <c r="J746" s="62">
        <v>4</v>
      </c>
      <c r="K746" s="62" t="s">
        <v>16</v>
      </c>
      <c r="L746" s="62" t="s">
        <v>2</v>
      </c>
      <c r="M746" s="62">
        <v>937.0048</v>
      </c>
      <c r="N746" s="62">
        <v>163.97584</v>
      </c>
    </row>
    <row r="747" spans="1:14">
      <c r="A747" s="62">
        <v>2025</v>
      </c>
      <c r="B747" s="62">
        <v>7</v>
      </c>
      <c r="C747" s="62" t="s">
        <v>4</v>
      </c>
      <c r="D747" s="62" t="s">
        <v>2</v>
      </c>
      <c r="E747" s="62">
        <v>5.8292</v>
      </c>
      <c r="F747" s="62">
        <v>0.7543</v>
      </c>
      <c r="I747" s="62">
        <v>2021</v>
      </c>
      <c r="J747" s="62">
        <v>5</v>
      </c>
      <c r="K747" s="62" t="s">
        <v>16</v>
      </c>
      <c r="L747" s="62" t="s">
        <v>2</v>
      </c>
      <c r="M747" s="62">
        <v>893.6764000000001</v>
      </c>
      <c r="N747" s="62">
        <v>156.39337</v>
      </c>
    </row>
    <row r="748" spans="1:14">
      <c r="A748" s="62">
        <v>2026</v>
      </c>
      <c r="B748" s="62">
        <v>1</v>
      </c>
      <c r="C748" s="62" t="s">
        <v>4</v>
      </c>
      <c r="D748" s="62" t="s">
        <v>2</v>
      </c>
      <c r="E748" s="62">
        <v>3.22</v>
      </c>
      <c r="F748" s="62">
        <v>0</v>
      </c>
      <c r="I748" s="62">
        <v>2021</v>
      </c>
      <c r="J748" s="62">
        <v>6</v>
      </c>
      <c r="K748" s="62" t="s">
        <v>16</v>
      </c>
      <c r="L748" s="62" t="s">
        <v>2</v>
      </c>
      <c r="M748" s="62">
        <v>605.3200000000001</v>
      </c>
      <c r="N748" s="62">
        <v>105.931</v>
      </c>
    </row>
    <row r="749" spans="1:14">
      <c r="A749" s="62">
        <v>2026</v>
      </c>
      <c r="B749" s="62">
        <v>2</v>
      </c>
      <c r="C749" s="62" t="s">
        <v>4</v>
      </c>
      <c r="D749" s="62" t="s">
        <v>2</v>
      </c>
      <c r="E749" s="62">
        <v>12.04</v>
      </c>
      <c r="F749" s="62">
        <v>0</v>
      </c>
      <c r="I749" s="62">
        <v>2021</v>
      </c>
      <c r="J749" s="62">
        <v>7</v>
      </c>
      <c r="K749" s="62" t="s">
        <v>16</v>
      </c>
      <c r="L749" s="62" t="s">
        <v>2</v>
      </c>
      <c r="M749" s="62">
        <v>715.5875</v>
      </c>
      <c r="N749" s="62">
        <v>125.2278125</v>
      </c>
    </row>
    <row r="750" spans="1:14">
      <c r="A750" s="62">
        <v>2026</v>
      </c>
      <c r="B750" s="62">
        <v>3</v>
      </c>
      <c r="C750" s="62" t="s">
        <v>4</v>
      </c>
      <c r="D750" s="62" t="s">
        <v>2</v>
      </c>
      <c r="E750" s="62">
        <v>12.48</v>
      </c>
      <c r="F750" s="62">
        <v>0</v>
      </c>
      <c r="I750" s="62">
        <v>2021</v>
      </c>
      <c r="J750" s="62">
        <v>8</v>
      </c>
      <c r="K750" s="62" t="s">
        <v>16</v>
      </c>
      <c r="L750" s="62" t="s">
        <v>2</v>
      </c>
      <c r="M750" s="62">
        <v>567.9432</v>
      </c>
      <c r="N750" s="62">
        <v>99.39005999999999</v>
      </c>
    </row>
    <row r="751" spans="1:14">
      <c r="A751" s="62">
        <v>2026</v>
      </c>
      <c r="B751" s="62">
        <v>4</v>
      </c>
      <c r="C751" s="62" t="s">
        <v>4</v>
      </c>
      <c r="D751" s="62" t="s">
        <v>2</v>
      </c>
      <c r="E751" s="62">
        <v>3.78</v>
      </c>
      <c r="F751" s="62">
        <v>0</v>
      </c>
      <c r="I751" s="62">
        <v>2021</v>
      </c>
      <c r="J751" s="62">
        <v>9</v>
      </c>
      <c r="K751" s="62" t="s">
        <v>16</v>
      </c>
      <c r="L751" s="62" t="s">
        <v>2</v>
      </c>
      <c r="M751" s="62">
        <v>796.67</v>
      </c>
      <c r="N751" s="62">
        <v>139.41725</v>
      </c>
    </row>
    <row r="752" spans="1:14">
      <c r="A752" s="62">
        <v>2026</v>
      </c>
      <c r="B752" s="62">
        <v>9</v>
      </c>
      <c r="C752" s="62" t="s">
        <v>4</v>
      </c>
      <c r="D752" s="62" t="s">
        <v>2</v>
      </c>
      <c r="E752" s="62">
        <v>71.8939</v>
      </c>
      <c r="F752" s="62">
        <v>12.5814325</v>
      </c>
      <c r="I752" s="62">
        <v>2021</v>
      </c>
      <c r="J752" s="62">
        <v>10</v>
      </c>
      <c r="K752" s="62" t="s">
        <v>16</v>
      </c>
      <c r="L752" s="62" t="s">
        <v>2</v>
      </c>
      <c r="M752" s="62">
        <v>1035.7545</v>
      </c>
      <c r="N752" s="62">
        <v>181.2570375</v>
      </c>
    </row>
    <row r="753" spans="1:14">
      <c r="A753" s="62">
        <v>2026</v>
      </c>
      <c r="B753" s="62">
        <v>10</v>
      </c>
      <c r="C753" s="62" t="s">
        <v>4</v>
      </c>
      <c r="D753" s="62" t="s">
        <v>2</v>
      </c>
      <c r="E753" s="62">
        <v>82.5856</v>
      </c>
      <c r="F753" s="62">
        <v>14.45248</v>
      </c>
      <c r="I753" s="62">
        <v>2021</v>
      </c>
      <c r="J753" s="62">
        <v>11</v>
      </c>
      <c r="K753" s="62" t="s">
        <v>16</v>
      </c>
      <c r="L753" s="62" t="s">
        <v>2</v>
      </c>
      <c r="M753" s="62">
        <v>539.066</v>
      </c>
      <c r="N753" s="62">
        <v>94.33654999999999</v>
      </c>
    </row>
    <row r="754" spans="1:14">
      <c r="A754" s="62">
        <v>2027</v>
      </c>
      <c r="B754" s="62">
        <v>3</v>
      </c>
      <c r="C754" s="62" t="s">
        <v>4</v>
      </c>
      <c r="D754" s="62" t="s">
        <v>2</v>
      </c>
      <c r="E754" s="62">
        <v>236.8488</v>
      </c>
      <c r="F754" s="62">
        <v>45.78375</v>
      </c>
      <c r="I754" s="62">
        <v>2021</v>
      </c>
      <c r="J754" s="62">
        <v>12</v>
      </c>
      <c r="K754" s="62" t="s">
        <v>16</v>
      </c>
      <c r="L754" s="62" t="s">
        <v>2</v>
      </c>
      <c r="M754" s="62">
        <v>291.54</v>
      </c>
      <c r="N754" s="62">
        <v>51.01949999999999</v>
      </c>
    </row>
    <row r="755" spans="1:14">
      <c r="A755" s="62">
        <v>2027</v>
      </c>
      <c r="B755" s="62">
        <v>4</v>
      </c>
      <c r="C755" s="62" t="s">
        <v>4</v>
      </c>
      <c r="D755" s="62" t="s">
        <v>2</v>
      </c>
      <c r="E755" s="62">
        <v>108.2632</v>
      </c>
      <c r="F755" s="62">
        <v>21.08875</v>
      </c>
      <c r="I755" s="62">
        <v>2022</v>
      </c>
      <c r="J755" s="62">
        <v>1</v>
      </c>
      <c r="K755" s="62" t="s">
        <v>16</v>
      </c>
      <c r="L755" s="62" t="s">
        <v>2</v>
      </c>
      <c r="M755" s="62">
        <v>441.82</v>
      </c>
      <c r="N755" s="62">
        <v>77.31849999999999</v>
      </c>
    </row>
    <row r="756" spans="1:14">
      <c r="A756" s="62">
        <v>2027</v>
      </c>
      <c r="B756" s="62">
        <v>9</v>
      </c>
      <c r="C756" s="62" t="s">
        <v>4</v>
      </c>
      <c r="D756" s="62" t="s">
        <v>2</v>
      </c>
      <c r="E756" s="62">
        <v>38.7069</v>
      </c>
      <c r="F756" s="62">
        <v>4.7637075</v>
      </c>
      <c r="I756" s="62">
        <v>2022</v>
      </c>
      <c r="J756" s="62">
        <v>2</v>
      </c>
      <c r="K756" s="62" t="s">
        <v>16</v>
      </c>
      <c r="L756" s="62" t="s">
        <v>2</v>
      </c>
      <c r="M756" s="62">
        <v>770.744</v>
      </c>
      <c r="N756" s="62">
        <v>134.8802</v>
      </c>
    </row>
    <row r="757" spans="1:14">
      <c r="A757" s="62">
        <v>2027</v>
      </c>
      <c r="B757" s="62">
        <v>10</v>
      </c>
      <c r="C757" s="62" t="s">
        <v>4</v>
      </c>
      <c r="D757" s="62" t="s">
        <v>2</v>
      </c>
      <c r="E757" s="62">
        <v>5.5959</v>
      </c>
      <c r="F757" s="62">
        <v>0.9792824999999999</v>
      </c>
      <c r="I757" s="62">
        <v>2022</v>
      </c>
      <c r="J757" s="62">
        <v>3</v>
      </c>
      <c r="K757" s="62" t="s">
        <v>16</v>
      </c>
      <c r="L757" s="62" t="s">
        <v>2</v>
      </c>
      <c r="M757" s="62">
        <v>746.79</v>
      </c>
      <c r="N757" s="62">
        <v>130.68825</v>
      </c>
    </row>
    <row r="758" spans="1:14">
      <c r="A758" s="62">
        <v>2014</v>
      </c>
      <c r="B758" s="62">
        <v>1</v>
      </c>
      <c r="C758" s="62" t="s">
        <v>4</v>
      </c>
      <c r="D758" s="62" t="s">
        <v>3</v>
      </c>
      <c r="E758" s="62">
        <v>190.86</v>
      </c>
      <c r="F758" s="62">
        <v>41.055</v>
      </c>
      <c r="I758" s="62">
        <v>2022</v>
      </c>
      <c r="J758" s="62">
        <v>4</v>
      </c>
      <c r="K758" s="62" t="s">
        <v>16</v>
      </c>
      <c r="L758" s="62" t="s">
        <v>2</v>
      </c>
      <c r="M758" s="62">
        <v>869.41</v>
      </c>
      <c r="N758" s="62">
        <v>152.14675</v>
      </c>
    </row>
    <row r="759" spans="1:14">
      <c r="A759" s="62">
        <v>2014</v>
      </c>
      <c r="B759" s="62">
        <v>2</v>
      </c>
      <c r="C759" s="62" t="s">
        <v>4</v>
      </c>
      <c r="D759" s="62" t="s">
        <v>3</v>
      </c>
      <c r="E759" s="62">
        <v>25.155</v>
      </c>
      <c r="F759" s="62">
        <v>0</v>
      </c>
      <c r="I759" s="62">
        <v>2022</v>
      </c>
      <c r="J759" s="62">
        <v>5</v>
      </c>
      <c r="K759" s="62" t="s">
        <v>16</v>
      </c>
      <c r="L759" s="62" t="s">
        <v>2</v>
      </c>
      <c r="M759" s="62">
        <v>911.4399999999999</v>
      </c>
      <c r="N759" s="62">
        <v>159.502</v>
      </c>
    </row>
    <row r="760" spans="1:14">
      <c r="A760" s="62">
        <v>2014</v>
      </c>
      <c r="B760" s="62">
        <v>3</v>
      </c>
      <c r="C760" s="62" t="s">
        <v>4</v>
      </c>
      <c r="D760" s="62" t="s">
        <v>3</v>
      </c>
      <c r="E760" s="62">
        <v>23.052</v>
      </c>
      <c r="F760" s="62">
        <v>1.23495</v>
      </c>
      <c r="I760" s="62">
        <v>2022</v>
      </c>
      <c r="J760" s="62">
        <v>6</v>
      </c>
      <c r="K760" s="62" t="s">
        <v>16</v>
      </c>
      <c r="L760" s="62" t="s">
        <v>2</v>
      </c>
      <c r="M760" s="62">
        <v>675.79</v>
      </c>
      <c r="N760" s="62">
        <v>118.26325</v>
      </c>
    </row>
    <row r="761" spans="1:14">
      <c r="A761" s="62">
        <v>2014</v>
      </c>
      <c r="B761" s="62">
        <v>5</v>
      </c>
      <c r="C761" s="62" t="s">
        <v>4</v>
      </c>
      <c r="D761" s="62" t="s">
        <v>3</v>
      </c>
      <c r="E761" s="62">
        <v>5</v>
      </c>
      <c r="F761" s="62">
        <v>3.25</v>
      </c>
      <c r="I761" s="62">
        <v>2022</v>
      </c>
      <c r="J761" s="62">
        <v>7</v>
      </c>
      <c r="K761" s="62" t="s">
        <v>16</v>
      </c>
      <c r="L761" s="62" t="s">
        <v>2</v>
      </c>
      <c r="M761" s="62">
        <v>812.17</v>
      </c>
      <c r="N761" s="62">
        <v>142.12975</v>
      </c>
    </row>
    <row r="762" spans="1:14">
      <c r="A762" s="62">
        <v>2014</v>
      </c>
      <c r="B762" s="62">
        <v>6</v>
      </c>
      <c r="C762" s="62" t="s">
        <v>4</v>
      </c>
      <c r="D762" s="62" t="s">
        <v>3</v>
      </c>
      <c r="E762" s="62">
        <v>5.33</v>
      </c>
      <c r="F762" s="62">
        <v>0.93275</v>
      </c>
      <c r="I762" s="62">
        <v>2022</v>
      </c>
      <c r="J762" s="62">
        <v>8</v>
      </c>
      <c r="K762" s="62" t="s">
        <v>16</v>
      </c>
      <c r="L762" s="62" t="s">
        <v>2</v>
      </c>
      <c r="M762" s="62">
        <v>773.9399999999999</v>
      </c>
      <c r="N762" s="62">
        <v>135.4395</v>
      </c>
    </row>
    <row r="763" spans="1:14">
      <c r="A763" s="62">
        <v>2014</v>
      </c>
      <c r="B763" s="62">
        <v>7</v>
      </c>
      <c r="C763" s="62" t="s">
        <v>4</v>
      </c>
      <c r="D763" s="62" t="s">
        <v>3</v>
      </c>
      <c r="E763" s="62">
        <v>23.5</v>
      </c>
      <c r="F763" s="62">
        <v>11</v>
      </c>
      <c r="I763" s="62">
        <v>2022</v>
      </c>
      <c r="J763" s="62">
        <v>9</v>
      </c>
      <c r="K763" s="62" t="s">
        <v>16</v>
      </c>
      <c r="L763" s="62" t="s">
        <v>2</v>
      </c>
      <c r="M763" s="62">
        <v>869.985</v>
      </c>
      <c r="N763" s="62">
        <v>152.247375</v>
      </c>
    </row>
    <row r="764" spans="1:14">
      <c r="A764" s="62">
        <v>2014</v>
      </c>
      <c r="B764" s="62">
        <v>8</v>
      </c>
      <c r="C764" s="62" t="s">
        <v>4</v>
      </c>
      <c r="D764" s="62" t="s">
        <v>3</v>
      </c>
      <c r="E764" s="62">
        <v>47.907</v>
      </c>
      <c r="F764" s="62">
        <v>12.6622</v>
      </c>
      <c r="I764" s="62">
        <v>2022</v>
      </c>
      <c r="J764" s="62">
        <v>10</v>
      </c>
      <c r="K764" s="62" t="s">
        <v>16</v>
      </c>
      <c r="L764" s="62" t="s">
        <v>2</v>
      </c>
      <c r="M764" s="62">
        <v>1656.65</v>
      </c>
      <c r="N764" s="62">
        <v>289.91375</v>
      </c>
    </row>
    <row r="765" spans="1:14">
      <c r="A765" s="62">
        <v>2014</v>
      </c>
      <c r="B765" s="62">
        <v>9</v>
      </c>
      <c r="C765" s="62" t="s">
        <v>4</v>
      </c>
      <c r="D765" s="62" t="s">
        <v>3</v>
      </c>
      <c r="E765" s="62">
        <v>26.676</v>
      </c>
      <c r="F765" s="62">
        <v>5.59</v>
      </c>
      <c r="I765" s="62">
        <v>2022</v>
      </c>
      <c r="J765" s="62">
        <v>11</v>
      </c>
      <c r="K765" s="62" t="s">
        <v>16</v>
      </c>
      <c r="L765" s="62" t="s">
        <v>2</v>
      </c>
      <c r="M765" s="62">
        <v>524.01</v>
      </c>
      <c r="N765" s="62">
        <v>91.70174999999999</v>
      </c>
    </row>
    <row r="766" spans="1:14">
      <c r="A766" s="62">
        <v>2014</v>
      </c>
      <c r="B766" s="62">
        <v>11</v>
      </c>
      <c r="C766" s="62" t="s">
        <v>4</v>
      </c>
      <c r="D766" s="62" t="s">
        <v>3</v>
      </c>
      <c r="E766" s="62">
        <v>19.8165</v>
      </c>
      <c r="F766" s="62">
        <v>14.992725</v>
      </c>
      <c r="I766" s="62">
        <v>2022</v>
      </c>
      <c r="J766" s="62">
        <v>12</v>
      </c>
      <c r="K766" s="62" t="s">
        <v>16</v>
      </c>
      <c r="L766" s="62" t="s">
        <v>2</v>
      </c>
      <c r="M766" s="62">
        <v>441.816</v>
      </c>
      <c r="N766" s="62">
        <v>77.31779999999999</v>
      </c>
    </row>
    <row r="767" spans="1:14">
      <c r="A767" s="62">
        <v>2014</v>
      </c>
      <c r="B767" s="62">
        <v>12</v>
      </c>
      <c r="C767" s="62" t="s">
        <v>4</v>
      </c>
      <c r="D767" s="62" t="s">
        <v>3</v>
      </c>
      <c r="E767" s="62">
        <v>28.05</v>
      </c>
      <c r="F767" s="62">
        <v>18.2325</v>
      </c>
      <c r="I767" s="62">
        <v>2023</v>
      </c>
      <c r="J767" s="62">
        <v>1</v>
      </c>
      <c r="K767" s="62" t="s">
        <v>16</v>
      </c>
      <c r="L767" s="62" t="s">
        <v>2</v>
      </c>
      <c r="M767" s="62">
        <v>926.41</v>
      </c>
      <c r="N767" s="62">
        <v>162.12175</v>
      </c>
    </row>
    <row r="768" spans="1:14">
      <c r="A768" s="62">
        <v>2015</v>
      </c>
      <c r="B768" s="62">
        <v>1</v>
      </c>
      <c r="C768" s="62" t="s">
        <v>4</v>
      </c>
      <c r="D768" s="62" t="s">
        <v>3</v>
      </c>
      <c r="E768" s="62">
        <v>54.8</v>
      </c>
      <c r="F768" s="62">
        <v>22.7825</v>
      </c>
      <c r="I768" s="62">
        <v>2023</v>
      </c>
      <c r="J768" s="62">
        <v>2</v>
      </c>
      <c r="K768" s="62" t="s">
        <v>16</v>
      </c>
      <c r="L768" s="62" t="s">
        <v>2</v>
      </c>
      <c r="M768" s="62">
        <v>1635.63</v>
      </c>
      <c r="N768" s="62">
        <v>286.23525</v>
      </c>
    </row>
    <row r="769" spans="1:14">
      <c r="A769" s="62">
        <v>2015</v>
      </c>
      <c r="B769" s="62">
        <v>2</v>
      </c>
      <c r="C769" s="62" t="s">
        <v>4</v>
      </c>
      <c r="D769" s="62" t="s">
        <v>3</v>
      </c>
      <c r="E769" s="62">
        <v>133.544</v>
      </c>
      <c r="F769" s="62">
        <v>30.041475</v>
      </c>
      <c r="I769" s="62">
        <v>2023</v>
      </c>
      <c r="J769" s="62">
        <v>3</v>
      </c>
      <c r="K769" s="62" t="s">
        <v>16</v>
      </c>
      <c r="L769" s="62" t="s">
        <v>2</v>
      </c>
      <c r="M769" s="62">
        <v>1358.52</v>
      </c>
      <c r="N769" s="62">
        <v>237.741</v>
      </c>
    </row>
    <row r="770" spans="1:14">
      <c r="A770" s="62">
        <v>2015</v>
      </c>
      <c r="B770" s="62">
        <v>3</v>
      </c>
      <c r="C770" s="62" t="s">
        <v>4</v>
      </c>
      <c r="D770" s="62" t="s">
        <v>3</v>
      </c>
      <c r="E770" s="62">
        <v>43.5</v>
      </c>
      <c r="F770" s="62">
        <v>28.275</v>
      </c>
      <c r="I770" s="62">
        <v>2023</v>
      </c>
      <c r="J770" s="62">
        <v>4</v>
      </c>
      <c r="K770" s="62" t="s">
        <v>16</v>
      </c>
      <c r="L770" s="62" t="s">
        <v>2</v>
      </c>
      <c r="M770" s="62">
        <v>1156.985</v>
      </c>
      <c r="N770" s="62">
        <v>202.472375</v>
      </c>
    </row>
    <row r="771" spans="1:14">
      <c r="A771" s="62">
        <v>2015</v>
      </c>
      <c r="B771" s="62">
        <v>4</v>
      </c>
      <c r="C771" s="62" t="s">
        <v>4</v>
      </c>
      <c r="D771" s="62" t="s">
        <v>3</v>
      </c>
      <c r="E771" s="62">
        <v>46.087</v>
      </c>
      <c r="F771" s="62">
        <v>27.53195</v>
      </c>
      <c r="I771" s="62">
        <v>2023</v>
      </c>
      <c r="J771" s="62">
        <v>5</v>
      </c>
      <c r="K771" s="62" t="s">
        <v>16</v>
      </c>
      <c r="L771" s="62" t="s">
        <v>2</v>
      </c>
      <c r="M771" s="62">
        <v>710.0988</v>
      </c>
      <c r="N771" s="62">
        <v>124.26729</v>
      </c>
    </row>
    <row r="772" spans="1:14">
      <c r="A772" s="62">
        <v>2015</v>
      </c>
      <c r="B772" s="62">
        <v>5</v>
      </c>
      <c r="C772" s="62" t="s">
        <v>4</v>
      </c>
      <c r="D772" s="62" t="s">
        <v>3</v>
      </c>
      <c r="E772" s="62">
        <v>26</v>
      </c>
      <c r="F772" s="62">
        <v>4.55</v>
      </c>
      <c r="I772" s="62">
        <v>2023</v>
      </c>
      <c r="J772" s="62">
        <v>6</v>
      </c>
      <c r="K772" s="62" t="s">
        <v>16</v>
      </c>
      <c r="L772" s="62" t="s">
        <v>2</v>
      </c>
      <c r="M772" s="62">
        <v>155.2</v>
      </c>
      <c r="N772" s="62">
        <v>27.16</v>
      </c>
    </row>
    <row r="773" spans="1:14">
      <c r="A773" s="62">
        <v>2015</v>
      </c>
      <c r="B773" s="62">
        <v>7</v>
      </c>
      <c r="C773" s="62" t="s">
        <v>4</v>
      </c>
      <c r="D773" s="62" t="s">
        <v>3</v>
      </c>
      <c r="E773" s="62">
        <v>6.855</v>
      </c>
      <c r="F773" s="62">
        <v>0.8924999999999998</v>
      </c>
      <c r="I773" s="62">
        <v>2023</v>
      </c>
      <c r="J773" s="62">
        <v>7</v>
      </c>
      <c r="K773" s="62" t="s">
        <v>16</v>
      </c>
      <c r="L773" s="62" t="s">
        <v>2</v>
      </c>
      <c r="M773" s="62">
        <v>57.93</v>
      </c>
      <c r="N773" s="62">
        <v>10.13775</v>
      </c>
    </row>
    <row r="774" spans="1:14">
      <c r="A774" s="62">
        <v>2015</v>
      </c>
      <c r="B774" s="62">
        <v>8</v>
      </c>
      <c r="C774" s="62" t="s">
        <v>4</v>
      </c>
      <c r="D774" s="62" t="s">
        <v>3</v>
      </c>
      <c r="E774" s="62">
        <v>56.465</v>
      </c>
      <c r="F774" s="62">
        <v>17.7125</v>
      </c>
      <c r="I774" s="62">
        <v>2023</v>
      </c>
      <c r="J774" s="62">
        <v>8</v>
      </c>
      <c r="K774" s="62" t="s">
        <v>16</v>
      </c>
      <c r="L774" s="62" t="s">
        <v>2</v>
      </c>
      <c r="M774" s="62">
        <v>63</v>
      </c>
      <c r="N774" s="62">
        <v>11.025</v>
      </c>
    </row>
    <row r="775" spans="1:14">
      <c r="A775" s="62">
        <v>2015</v>
      </c>
      <c r="B775" s="62">
        <v>9</v>
      </c>
      <c r="C775" s="62" t="s">
        <v>4</v>
      </c>
      <c r="D775" s="62" t="s">
        <v>3</v>
      </c>
      <c r="E775" s="62">
        <v>125.605</v>
      </c>
      <c r="F775" s="62">
        <v>47.109</v>
      </c>
      <c r="I775" s="62">
        <v>2023</v>
      </c>
      <c r="J775" s="62">
        <v>9</v>
      </c>
      <c r="K775" s="62" t="s">
        <v>16</v>
      </c>
      <c r="L775" s="62" t="s">
        <v>2</v>
      </c>
      <c r="M775" s="62">
        <v>828.3825000000001</v>
      </c>
      <c r="N775" s="62">
        <v>144.9669375</v>
      </c>
    </row>
    <row r="776" spans="1:14">
      <c r="A776" s="62">
        <v>2015</v>
      </c>
      <c r="B776" s="62">
        <v>10</v>
      </c>
      <c r="C776" s="62" t="s">
        <v>4</v>
      </c>
      <c r="D776" s="62" t="s">
        <v>3</v>
      </c>
      <c r="E776" s="62">
        <v>6.06</v>
      </c>
      <c r="F776" s="62">
        <v>2.4855</v>
      </c>
      <c r="I776" s="62">
        <v>2023</v>
      </c>
      <c r="J776" s="62">
        <v>10</v>
      </c>
      <c r="K776" s="62" t="s">
        <v>16</v>
      </c>
      <c r="L776" s="62" t="s">
        <v>2</v>
      </c>
      <c r="M776" s="62">
        <v>1776.4685</v>
      </c>
      <c r="N776" s="62">
        <v>310.8819875</v>
      </c>
    </row>
    <row r="777" spans="1:14">
      <c r="A777" s="62">
        <v>2015</v>
      </c>
      <c r="B777" s="62">
        <v>12</v>
      </c>
      <c r="C777" s="62" t="s">
        <v>4</v>
      </c>
      <c r="D777" s="62" t="s">
        <v>3</v>
      </c>
      <c r="E777" s="62">
        <v>1.29</v>
      </c>
      <c r="F777" s="62">
        <v>1.0965</v>
      </c>
      <c r="I777" s="62">
        <v>2023</v>
      </c>
      <c r="J777" s="62">
        <v>11</v>
      </c>
      <c r="K777" s="62" t="s">
        <v>16</v>
      </c>
      <c r="L777" s="62" t="s">
        <v>2</v>
      </c>
      <c r="M777" s="62">
        <v>648.33</v>
      </c>
      <c r="N777" s="62">
        <v>113.45775</v>
      </c>
    </row>
    <row r="778" spans="1:14">
      <c r="A778" s="62">
        <v>2016</v>
      </c>
      <c r="B778" s="62">
        <v>1</v>
      </c>
      <c r="C778" s="62" t="s">
        <v>4</v>
      </c>
      <c r="D778" s="62" t="s">
        <v>3</v>
      </c>
      <c r="E778" s="62">
        <v>158.016</v>
      </c>
      <c r="F778" s="62">
        <v>36.1139</v>
      </c>
      <c r="I778" s="62">
        <v>2023</v>
      </c>
      <c r="J778" s="62">
        <v>12</v>
      </c>
      <c r="K778" s="62" t="s">
        <v>16</v>
      </c>
      <c r="L778" s="62" t="s">
        <v>2</v>
      </c>
      <c r="M778" s="62">
        <v>10.64</v>
      </c>
      <c r="N778" s="62">
        <v>1.862</v>
      </c>
    </row>
    <row r="779" spans="1:14">
      <c r="A779" s="62">
        <v>2016</v>
      </c>
      <c r="B779" s="62">
        <v>2</v>
      </c>
      <c r="C779" s="62" t="s">
        <v>4</v>
      </c>
      <c r="D779" s="62" t="s">
        <v>3</v>
      </c>
      <c r="E779" s="62">
        <v>70.42999999999999</v>
      </c>
      <c r="F779" s="62">
        <v>16.964</v>
      </c>
      <c r="I779" s="62">
        <v>2024</v>
      </c>
      <c r="J779" s="62">
        <v>1</v>
      </c>
      <c r="K779" s="62" t="s">
        <v>16</v>
      </c>
      <c r="L779" s="62" t="s">
        <v>2</v>
      </c>
      <c r="M779" s="62">
        <v>947.25</v>
      </c>
      <c r="N779" s="62">
        <v>165.76875</v>
      </c>
    </row>
    <row r="780" spans="1:14">
      <c r="A780" s="62">
        <v>2016</v>
      </c>
      <c r="B780" s="62">
        <v>3</v>
      </c>
      <c r="C780" s="62" t="s">
        <v>4</v>
      </c>
      <c r="D780" s="62" t="s">
        <v>3</v>
      </c>
      <c r="E780" s="62">
        <v>8.640000000000001</v>
      </c>
      <c r="F780" s="62">
        <v>3.132</v>
      </c>
      <c r="I780" s="62">
        <v>2024</v>
      </c>
      <c r="J780" s="62">
        <v>2</v>
      </c>
      <c r="K780" s="62" t="s">
        <v>16</v>
      </c>
      <c r="L780" s="62" t="s">
        <v>2</v>
      </c>
      <c r="M780" s="62">
        <v>1346.52</v>
      </c>
      <c r="N780" s="62">
        <v>235.641</v>
      </c>
    </row>
    <row r="781" spans="1:14">
      <c r="A781" s="62">
        <v>2016</v>
      </c>
      <c r="B781" s="62">
        <v>4</v>
      </c>
      <c r="C781" s="62" t="s">
        <v>4</v>
      </c>
      <c r="D781" s="62" t="s">
        <v>3</v>
      </c>
      <c r="E781" s="62">
        <v>25.32</v>
      </c>
      <c r="F781" s="62">
        <v>11.166</v>
      </c>
      <c r="I781" s="62">
        <v>2024</v>
      </c>
      <c r="J781" s="62">
        <v>3</v>
      </c>
      <c r="K781" s="62" t="s">
        <v>16</v>
      </c>
      <c r="L781" s="62" t="s">
        <v>2</v>
      </c>
      <c r="M781" s="62">
        <v>952.9399999999999</v>
      </c>
      <c r="N781" s="62">
        <v>166.7645</v>
      </c>
    </row>
    <row r="782" spans="1:14">
      <c r="A782" s="62">
        <v>2016</v>
      </c>
      <c r="B782" s="62">
        <v>5</v>
      </c>
      <c r="C782" s="62" t="s">
        <v>4</v>
      </c>
      <c r="D782" s="62" t="s">
        <v>3</v>
      </c>
      <c r="E782" s="62">
        <v>24.99</v>
      </c>
      <c r="F782" s="62">
        <v>16.4655</v>
      </c>
      <c r="I782" s="62">
        <v>2024</v>
      </c>
      <c r="J782" s="62">
        <v>4</v>
      </c>
      <c r="K782" s="62" t="s">
        <v>16</v>
      </c>
      <c r="L782" s="62" t="s">
        <v>2</v>
      </c>
      <c r="M782" s="62">
        <v>1095.078</v>
      </c>
      <c r="N782" s="62">
        <v>191.63865</v>
      </c>
    </row>
    <row r="783" spans="1:14">
      <c r="A783" s="62">
        <v>2016</v>
      </c>
      <c r="B783" s="62">
        <v>6</v>
      </c>
      <c r="C783" s="62" t="s">
        <v>4</v>
      </c>
      <c r="D783" s="62" t="s">
        <v>3</v>
      </c>
      <c r="E783" s="62">
        <v>16.714</v>
      </c>
      <c r="F783" s="62">
        <v>10.8485</v>
      </c>
      <c r="I783" s="62">
        <v>2024</v>
      </c>
      <c r="J783" s="62">
        <v>5</v>
      </c>
      <c r="K783" s="62" t="s">
        <v>16</v>
      </c>
      <c r="L783" s="62" t="s">
        <v>2</v>
      </c>
      <c r="M783" s="62">
        <v>435.866</v>
      </c>
      <c r="N783" s="62">
        <v>76.27655</v>
      </c>
    </row>
    <row r="784" spans="1:14">
      <c r="A784" s="62">
        <v>2016</v>
      </c>
      <c r="B784" s="62">
        <v>7</v>
      </c>
      <c r="C784" s="62" t="s">
        <v>4</v>
      </c>
      <c r="D784" s="62" t="s">
        <v>3</v>
      </c>
      <c r="E784" s="62">
        <v>29.56</v>
      </c>
      <c r="F784" s="62">
        <v>13.6795</v>
      </c>
      <c r="I784" s="62">
        <v>2024</v>
      </c>
      <c r="J784" s="62">
        <v>6</v>
      </c>
      <c r="K784" s="62" t="s">
        <v>16</v>
      </c>
      <c r="L784" s="62" t="s">
        <v>2</v>
      </c>
      <c r="M784" s="62">
        <v>251.62</v>
      </c>
      <c r="N784" s="62">
        <v>44.0335</v>
      </c>
    </row>
    <row r="785" spans="1:14">
      <c r="A785" s="62">
        <v>2016</v>
      </c>
      <c r="B785" s="62">
        <v>8</v>
      </c>
      <c r="C785" s="62" t="s">
        <v>4</v>
      </c>
      <c r="D785" s="62" t="s">
        <v>3</v>
      </c>
      <c r="E785" s="62">
        <v>23.88</v>
      </c>
      <c r="F785" s="62">
        <v>16.898</v>
      </c>
      <c r="I785" s="62">
        <v>2024</v>
      </c>
      <c r="J785" s="62">
        <v>7</v>
      </c>
      <c r="K785" s="62" t="s">
        <v>16</v>
      </c>
      <c r="L785" s="62" t="s">
        <v>2</v>
      </c>
      <c r="M785" s="62">
        <v>249.45</v>
      </c>
      <c r="N785" s="62">
        <v>43.65374999999999</v>
      </c>
    </row>
    <row r="786" spans="1:14">
      <c r="A786" s="62">
        <v>2016</v>
      </c>
      <c r="B786" s="62">
        <v>10</v>
      </c>
      <c r="C786" s="62" t="s">
        <v>4</v>
      </c>
      <c r="D786" s="62" t="s">
        <v>3</v>
      </c>
      <c r="E786" s="62">
        <v>38.96</v>
      </c>
      <c r="F786" s="62">
        <v>20.8</v>
      </c>
      <c r="I786" s="62">
        <v>2024</v>
      </c>
      <c r="J786" s="62">
        <v>8</v>
      </c>
      <c r="K786" s="62" t="s">
        <v>16</v>
      </c>
      <c r="L786" s="62" t="s">
        <v>2</v>
      </c>
      <c r="M786" s="62">
        <v>207.65</v>
      </c>
      <c r="N786" s="62">
        <v>36.33875</v>
      </c>
    </row>
    <row r="787" spans="1:14">
      <c r="A787" s="62">
        <v>2016</v>
      </c>
      <c r="B787" s="62">
        <v>11</v>
      </c>
      <c r="C787" s="62" t="s">
        <v>4</v>
      </c>
      <c r="D787" s="62" t="s">
        <v>3</v>
      </c>
      <c r="E787" s="62">
        <v>23.6</v>
      </c>
      <c r="F787" s="62">
        <v>13</v>
      </c>
      <c r="I787" s="62">
        <v>2024</v>
      </c>
      <c r="J787" s="62">
        <v>9</v>
      </c>
      <c r="K787" s="62" t="s">
        <v>16</v>
      </c>
      <c r="L787" s="62" t="s">
        <v>2</v>
      </c>
      <c r="M787" s="62">
        <v>579.0604</v>
      </c>
      <c r="N787" s="62">
        <v>101.33557</v>
      </c>
    </row>
    <row r="788" spans="1:14">
      <c r="A788" s="62">
        <v>2016</v>
      </c>
      <c r="B788" s="62">
        <v>12</v>
      </c>
      <c r="C788" s="62" t="s">
        <v>4</v>
      </c>
      <c r="D788" s="62" t="s">
        <v>3</v>
      </c>
      <c r="E788" s="62">
        <v>31.24</v>
      </c>
      <c r="F788" s="62">
        <v>0</v>
      </c>
      <c r="I788" s="62">
        <v>2024</v>
      </c>
      <c r="J788" s="62">
        <v>10</v>
      </c>
      <c r="K788" s="62" t="s">
        <v>16</v>
      </c>
      <c r="L788" s="62" t="s">
        <v>2</v>
      </c>
      <c r="M788" s="62">
        <v>805.73</v>
      </c>
      <c r="N788" s="62">
        <v>141.00275</v>
      </c>
    </row>
    <row r="789" spans="1:14">
      <c r="A789" s="62">
        <v>2017</v>
      </c>
      <c r="B789" s="62">
        <v>1</v>
      </c>
      <c r="C789" s="62" t="s">
        <v>4</v>
      </c>
      <c r="D789" s="62" t="s">
        <v>3</v>
      </c>
      <c r="E789" s="62">
        <v>53.555</v>
      </c>
      <c r="F789" s="62">
        <v>1.911</v>
      </c>
      <c r="I789" s="62">
        <v>2024</v>
      </c>
      <c r="J789" s="62">
        <v>11</v>
      </c>
      <c r="K789" s="62" t="s">
        <v>16</v>
      </c>
      <c r="L789" s="62" t="s">
        <v>2</v>
      </c>
      <c r="M789" s="62">
        <v>466.26</v>
      </c>
      <c r="N789" s="62">
        <v>81.59549999999999</v>
      </c>
    </row>
    <row r="790" spans="1:14">
      <c r="A790" s="62">
        <v>2017</v>
      </c>
      <c r="B790" s="62">
        <v>2</v>
      </c>
      <c r="C790" s="62" t="s">
        <v>4</v>
      </c>
      <c r="D790" s="62" t="s">
        <v>3</v>
      </c>
      <c r="E790" s="62">
        <v>76.875</v>
      </c>
      <c r="F790" s="62">
        <v>4.9</v>
      </c>
      <c r="I790" s="62">
        <v>2024</v>
      </c>
      <c r="J790" s="62">
        <v>12</v>
      </c>
      <c r="K790" s="62" t="s">
        <v>16</v>
      </c>
      <c r="L790" s="62" t="s">
        <v>2</v>
      </c>
      <c r="M790" s="62">
        <v>34.72</v>
      </c>
      <c r="N790" s="62">
        <v>6.076</v>
      </c>
    </row>
    <row r="791" spans="1:14">
      <c r="A791" s="62">
        <v>2017</v>
      </c>
      <c r="B791" s="62">
        <v>3</v>
      </c>
      <c r="C791" s="62" t="s">
        <v>4</v>
      </c>
      <c r="D791" s="62" t="s">
        <v>3</v>
      </c>
      <c r="E791" s="62">
        <v>52.88500000000001</v>
      </c>
      <c r="F791" s="62">
        <v>1.568</v>
      </c>
      <c r="I791" s="62">
        <v>2025</v>
      </c>
      <c r="J791" s="62">
        <v>1</v>
      </c>
      <c r="K791" s="62" t="s">
        <v>16</v>
      </c>
      <c r="L791" s="62" t="s">
        <v>2</v>
      </c>
      <c r="M791" s="62">
        <v>757.1950000000001</v>
      </c>
      <c r="N791" s="62">
        <v>132.509125</v>
      </c>
    </row>
    <row r="792" spans="1:14">
      <c r="A792" s="62">
        <v>2017</v>
      </c>
      <c r="B792" s="62">
        <v>5</v>
      </c>
      <c r="C792" s="62" t="s">
        <v>4</v>
      </c>
      <c r="D792" s="62" t="s">
        <v>3</v>
      </c>
      <c r="E792" s="62">
        <v>17.59</v>
      </c>
      <c r="F792" s="62">
        <v>6.41275</v>
      </c>
      <c r="I792" s="62">
        <v>2025</v>
      </c>
      <c r="J792" s="62">
        <v>2</v>
      </c>
      <c r="K792" s="62" t="s">
        <v>16</v>
      </c>
      <c r="L792" s="62" t="s">
        <v>2</v>
      </c>
      <c r="M792" s="62">
        <v>1058.991</v>
      </c>
      <c r="N792" s="62">
        <v>185.323425</v>
      </c>
    </row>
    <row r="793" spans="1:14">
      <c r="A793" s="62">
        <v>2017</v>
      </c>
      <c r="B793" s="62">
        <v>6</v>
      </c>
      <c r="C793" s="62" t="s">
        <v>4</v>
      </c>
      <c r="D793" s="62" t="s">
        <v>3</v>
      </c>
      <c r="E793" s="62">
        <v>16.2</v>
      </c>
      <c r="F793" s="62">
        <v>0</v>
      </c>
      <c r="I793" s="62">
        <v>2025</v>
      </c>
      <c r="J793" s="62">
        <v>3</v>
      </c>
      <c r="K793" s="62" t="s">
        <v>16</v>
      </c>
      <c r="L793" s="62" t="s">
        <v>2</v>
      </c>
      <c r="M793" s="62">
        <v>918.77</v>
      </c>
      <c r="N793" s="62">
        <v>160.78475</v>
      </c>
    </row>
    <row r="794" spans="1:14">
      <c r="A794" s="62">
        <v>2017</v>
      </c>
      <c r="B794" s="62">
        <v>8</v>
      </c>
      <c r="C794" s="62" t="s">
        <v>4</v>
      </c>
      <c r="D794" s="62" t="s">
        <v>3</v>
      </c>
      <c r="E794" s="62">
        <v>47.775</v>
      </c>
      <c r="F794" s="62">
        <v>8.789375</v>
      </c>
      <c r="I794" s="62">
        <v>2025</v>
      </c>
      <c r="J794" s="62">
        <v>4</v>
      </c>
      <c r="K794" s="62" t="s">
        <v>16</v>
      </c>
      <c r="L794" s="62" t="s">
        <v>2</v>
      </c>
      <c r="M794" s="62">
        <v>1017.335</v>
      </c>
      <c r="N794" s="62">
        <v>178.033625</v>
      </c>
    </row>
    <row r="795" spans="1:14">
      <c r="A795" s="62">
        <v>2017</v>
      </c>
      <c r="B795" s="62">
        <v>9</v>
      </c>
      <c r="C795" s="62" t="s">
        <v>4</v>
      </c>
      <c r="D795" s="62" t="s">
        <v>3</v>
      </c>
      <c r="E795" s="62">
        <v>143.87</v>
      </c>
      <c r="F795" s="62">
        <v>26.15725</v>
      </c>
      <c r="I795" s="62">
        <v>2025</v>
      </c>
      <c r="J795" s="62">
        <v>5</v>
      </c>
      <c r="K795" s="62" t="s">
        <v>16</v>
      </c>
      <c r="L795" s="62" t="s">
        <v>2</v>
      </c>
      <c r="M795" s="62">
        <v>286.61</v>
      </c>
      <c r="N795" s="62">
        <v>50.15675</v>
      </c>
    </row>
    <row r="796" spans="1:14">
      <c r="A796" s="62">
        <v>2017</v>
      </c>
      <c r="B796" s="62">
        <v>10</v>
      </c>
      <c r="C796" s="62" t="s">
        <v>4</v>
      </c>
      <c r="D796" s="62" t="s">
        <v>3</v>
      </c>
      <c r="E796" s="62">
        <v>22.05</v>
      </c>
      <c r="F796" s="62">
        <v>18.7425</v>
      </c>
      <c r="I796" s="62">
        <v>2025</v>
      </c>
      <c r="J796" s="62">
        <v>6</v>
      </c>
      <c r="K796" s="62" t="s">
        <v>16</v>
      </c>
      <c r="L796" s="62" t="s">
        <v>2</v>
      </c>
      <c r="M796" s="62">
        <v>118.65</v>
      </c>
      <c r="N796" s="62">
        <v>20.76375</v>
      </c>
    </row>
    <row r="797" spans="1:14">
      <c r="A797" s="62">
        <v>2017</v>
      </c>
      <c r="B797" s="62">
        <v>12</v>
      </c>
      <c r="C797" s="62" t="s">
        <v>4</v>
      </c>
      <c r="D797" s="62" t="s">
        <v>3</v>
      </c>
      <c r="E797" s="62">
        <v>52.91</v>
      </c>
      <c r="F797" s="62">
        <v>6.75675</v>
      </c>
      <c r="I797" s="62">
        <v>2025</v>
      </c>
      <c r="J797" s="62">
        <v>7</v>
      </c>
      <c r="K797" s="62" t="s">
        <v>16</v>
      </c>
      <c r="L797" s="62" t="s">
        <v>2</v>
      </c>
      <c r="M797" s="62">
        <v>116.69</v>
      </c>
      <c r="N797" s="62">
        <v>20.42075</v>
      </c>
    </row>
    <row r="798" spans="1:14">
      <c r="A798" s="62">
        <v>2018</v>
      </c>
      <c r="B798" s="62">
        <v>2</v>
      </c>
      <c r="C798" s="62" t="s">
        <v>4</v>
      </c>
      <c r="D798" s="62" t="s">
        <v>3</v>
      </c>
      <c r="E798" s="62">
        <v>25.3</v>
      </c>
      <c r="F798" s="62">
        <v>4.4275</v>
      </c>
      <c r="I798" s="62">
        <v>2025</v>
      </c>
      <c r="J798" s="62">
        <v>8</v>
      </c>
      <c r="K798" s="62" t="s">
        <v>16</v>
      </c>
      <c r="L798" s="62" t="s">
        <v>2</v>
      </c>
      <c r="M798" s="62">
        <v>195.3</v>
      </c>
      <c r="N798" s="62">
        <v>34.17749999999999</v>
      </c>
    </row>
    <row r="799" spans="1:14">
      <c r="A799" s="62">
        <v>2018</v>
      </c>
      <c r="B799" s="62">
        <v>3</v>
      </c>
      <c r="C799" s="62" t="s">
        <v>4</v>
      </c>
      <c r="D799" s="62" t="s">
        <v>3</v>
      </c>
      <c r="E799" s="62">
        <v>37.05</v>
      </c>
      <c r="F799" s="62">
        <v>9.879999999999999</v>
      </c>
      <c r="I799" s="62">
        <v>2025</v>
      </c>
      <c r="J799" s="62">
        <v>9</v>
      </c>
      <c r="K799" s="62" t="s">
        <v>16</v>
      </c>
      <c r="L799" s="62" t="s">
        <v>2</v>
      </c>
      <c r="M799" s="62">
        <v>809.735</v>
      </c>
      <c r="N799" s="62">
        <v>141.703625</v>
      </c>
    </row>
    <row r="800" spans="1:14">
      <c r="A800" s="62">
        <v>2018</v>
      </c>
      <c r="B800" s="62">
        <v>4</v>
      </c>
      <c r="C800" s="62" t="s">
        <v>4</v>
      </c>
      <c r="D800" s="62" t="s">
        <v>3</v>
      </c>
      <c r="E800" s="62">
        <v>3.57</v>
      </c>
      <c r="F800" s="62">
        <v>2.3205</v>
      </c>
      <c r="I800" s="62">
        <v>2025</v>
      </c>
      <c r="J800" s="62">
        <v>10</v>
      </c>
      <c r="K800" s="62" t="s">
        <v>16</v>
      </c>
      <c r="L800" s="62" t="s">
        <v>2</v>
      </c>
      <c r="M800" s="62">
        <v>1241.085</v>
      </c>
      <c r="N800" s="62">
        <v>217.189875</v>
      </c>
    </row>
    <row r="801" spans="1:14">
      <c r="A801" s="62">
        <v>2018</v>
      </c>
      <c r="B801" s="62">
        <v>5</v>
      </c>
      <c r="C801" s="62" t="s">
        <v>4</v>
      </c>
      <c r="D801" s="62" t="s">
        <v>3</v>
      </c>
      <c r="E801" s="62">
        <v>122.8238</v>
      </c>
      <c r="F801" s="62">
        <v>36.397725</v>
      </c>
      <c r="I801" s="62">
        <v>2025</v>
      </c>
      <c r="J801" s="62">
        <v>11</v>
      </c>
      <c r="K801" s="62" t="s">
        <v>16</v>
      </c>
      <c r="L801" s="62" t="s">
        <v>2</v>
      </c>
      <c r="M801" s="62">
        <v>632.62</v>
      </c>
      <c r="N801" s="62">
        <v>110.7085</v>
      </c>
    </row>
    <row r="802" spans="1:14">
      <c r="A802" s="62">
        <v>2018</v>
      </c>
      <c r="B802" s="62">
        <v>6</v>
      </c>
      <c r="C802" s="62" t="s">
        <v>4</v>
      </c>
      <c r="D802" s="62" t="s">
        <v>3</v>
      </c>
      <c r="E802" s="62">
        <v>8.15</v>
      </c>
      <c r="F802" s="62">
        <v>4.513750000000001</v>
      </c>
      <c r="I802" s="62">
        <v>2025</v>
      </c>
      <c r="J802" s="62">
        <v>12</v>
      </c>
      <c r="K802" s="62" t="s">
        <v>16</v>
      </c>
      <c r="L802" s="62" t="s">
        <v>2</v>
      </c>
      <c r="M802" s="62">
        <v>62.58</v>
      </c>
      <c r="N802" s="62">
        <v>10.9515</v>
      </c>
    </row>
    <row r="803" spans="1:14">
      <c r="A803" s="62">
        <v>2018</v>
      </c>
      <c r="B803" s="62">
        <v>7</v>
      </c>
      <c r="C803" s="62" t="s">
        <v>4</v>
      </c>
      <c r="D803" s="62" t="s">
        <v>3</v>
      </c>
      <c r="E803" s="62">
        <v>57.2236</v>
      </c>
      <c r="F803" s="62">
        <v>16.3693</v>
      </c>
      <c r="I803" s="62">
        <v>2026</v>
      </c>
      <c r="J803" s="62">
        <v>1</v>
      </c>
      <c r="K803" s="62" t="s">
        <v>16</v>
      </c>
      <c r="L803" s="62" t="s">
        <v>2</v>
      </c>
      <c r="M803" s="62">
        <v>284.73</v>
      </c>
      <c r="N803" s="62">
        <v>49.82774999999999</v>
      </c>
    </row>
    <row r="804" spans="1:14">
      <c r="A804" s="62">
        <v>2018</v>
      </c>
      <c r="B804" s="62">
        <v>8</v>
      </c>
      <c r="C804" s="62" t="s">
        <v>4</v>
      </c>
      <c r="D804" s="62" t="s">
        <v>3</v>
      </c>
      <c r="E804" s="62">
        <v>154.47</v>
      </c>
      <c r="F804" s="62">
        <v>52.02275</v>
      </c>
      <c r="I804" s="62">
        <v>2026</v>
      </c>
      <c r="J804" s="62">
        <v>2</v>
      </c>
      <c r="K804" s="62" t="s">
        <v>16</v>
      </c>
      <c r="L804" s="62" t="s">
        <v>2</v>
      </c>
      <c r="M804" s="62">
        <v>713.63</v>
      </c>
      <c r="N804" s="62">
        <v>124.88525</v>
      </c>
    </row>
    <row r="805" spans="1:14">
      <c r="A805" s="62">
        <v>2018</v>
      </c>
      <c r="B805" s="62">
        <v>9</v>
      </c>
      <c r="C805" s="62" t="s">
        <v>4</v>
      </c>
      <c r="D805" s="62" t="s">
        <v>3</v>
      </c>
      <c r="E805" s="62">
        <v>210.5898</v>
      </c>
      <c r="F805" s="62">
        <v>84.41414999999999</v>
      </c>
      <c r="I805" s="62">
        <v>2026</v>
      </c>
      <c r="J805" s="62">
        <v>3</v>
      </c>
      <c r="K805" s="62" t="s">
        <v>16</v>
      </c>
      <c r="L805" s="62" t="s">
        <v>2</v>
      </c>
      <c r="M805" s="62">
        <v>667.401</v>
      </c>
      <c r="N805" s="62">
        <v>116.795175</v>
      </c>
    </row>
    <row r="806" spans="1:14">
      <c r="A806" s="62">
        <v>2018</v>
      </c>
      <c r="B806" s="62">
        <v>11</v>
      </c>
      <c r="C806" s="62" t="s">
        <v>4</v>
      </c>
      <c r="D806" s="62" t="s">
        <v>3</v>
      </c>
      <c r="E806" s="62">
        <v>1.29</v>
      </c>
      <c r="F806" s="62">
        <v>1.0965</v>
      </c>
      <c r="I806" s="62">
        <v>2026</v>
      </c>
      <c r="J806" s="62">
        <v>4</v>
      </c>
      <c r="K806" s="62" t="s">
        <v>16</v>
      </c>
      <c r="L806" s="62" t="s">
        <v>2</v>
      </c>
      <c r="M806" s="62">
        <v>721.16</v>
      </c>
      <c r="N806" s="62">
        <v>126.203</v>
      </c>
    </row>
    <row r="807" spans="1:14">
      <c r="A807" s="62">
        <v>2018</v>
      </c>
      <c r="B807" s="62">
        <v>12</v>
      </c>
      <c r="C807" s="62" t="s">
        <v>4</v>
      </c>
      <c r="D807" s="62" t="s">
        <v>3</v>
      </c>
      <c r="E807" s="62">
        <v>66.11</v>
      </c>
      <c r="F807" s="62">
        <v>39.38575</v>
      </c>
      <c r="I807" s="62">
        <v>2026</v>
      </c>
      <c r="J807" s="62">
        <v>5</v>
      </c>
      <c r="K807" s="62" t="s">
        <v>16</v>
      </c>
      <c r="L807" s="62" t="s">
        <v>2</v>
      </c>
      <c r="M807" s="62">
        <v>516.362</v>
      </c>
      <c r="N807" s="62">
        <v>90.36335</v>
      </c>
    </row>
    <row r="808" spans="1:14">
      <c r="A808" s="62">
        <v>2019</v>
      </c>
      <c r="B808" s="62">
        <v>1</v>
      </c>
      <c r="C808" s="62" t="s">
        <v>4</v>
      </c>
      <c r="D808" s="62" t="s">
        <v>3</v>
      </c>
      <c r="E808" s="62">
        <v>20.2</v>
      </c>
      <c r="F808" s="62">
        <v>9.9848</v>
      </c>
      <c r="I808" s="62">
        <v>2026</v>
      </c>
      <c r="J808" s="62">
        <v>6</v>
      </c>
      <c r="K808" s="62" t="s">
        <v>16</v>
      </c>
      <c r="L808" s="62" t="s">
        <v>2</v>
      </c>
      <c r="M808" s="62">
        <v>130.43</v>
      </c>
      <c r="N808" s="62">
        <v>22.82525</v>
      </c>
    </row>
    <row r="809" spans="1:14">
      <c r="A809" s="62">
        <v>2019</v>
      </c>
      <c r="B809" s="62">
        <v>2</v>
      </c>
      <c r="C809" s="62" t="s">
        <v>4</v>
      </c>
      <c r="D809" s="62" t="s">
        <v>3</v>
      </c>
      <c r="E809" s="62">
        <v>286.3704</v>
      </c>
      <c r="F809" s="62">
        <v>84.71768</v>
      </c>
      <c r="I809" s="62">
        <v>2026</v>
      </c>
      <c r="J809" s="62">
        <v>7</v>
      </c>
      <c r="K809" s="62" t="s">
        <v>16</v>
      </c>
      <c r="L809" s="62" t="s">
        <v>2</v>
      </c>
      <c r="M809" s="62">
        <v>147.092</v>
      </c>
      <c r="N809" s="62">
        <v>25.7411</v>
      </c>
    </row>
    <row r="810" spans="1:14">
      <c r="A810" s="62">
        <v>2019</v>
      </c>
      <c r="B810" s="62">
        <v>3</v>
      </c>
      <c r="C810" s="62" t="s">
        <v>4</v>
      </c>
      <c r="D810" s="62" t="s">
        <v>3</v>
      </c>
      <c r="E810" s="62">
        <v>176.803</v>
      </c>
      <c r="F810" s="62">
        <v>73.467825</v>
      </c>
      <c r="I810" s="62">
        <v>2026</v>
      </c>
      <c r="J810" s="62">
        <v>8</v>
      </c>
      <c r="K810" s="62" t="s">
        <v>16</v>
      </c>
      <c r="L810" s="62" t="s">
        <v>2</v>
      </c>
      <c r="M810" s="62">
        <v>32.4</v>
      </c>
      <c r="N810" s="62">
        <v>5.669999999999999</v>
      </c>
    </row>
    <row r="811" spans="1:14">
      <c r="A811" s="62">
        <v>2019</v>
      </c>
      <c r="B811" s="62">
        <v>4</v>
      </c>
      <c r="C811" s="62" t="s">
        <v>4</v>
      </c>
      <c r="D811" s="62" t="s">
        <v>3</v>
      </c>
      <c r="E811" s="62">
        <v>70.017</v>
      </c>
      <c r="F811" s="62">
        <v>32.985675</v>
      </c>
      <c r="I811" s="62">
        <v>2026</v>
      </c>
      <c r="J811" s="62">
        <v>9</v>
      </c>
      <c r="K811" s="62" t="s">
        <v>16</v>
      </c>
      <c r="L811" s="62" t="s">
        <v>2</v>
      </c>
      <c r="M811" s="62">
        <v>448.14</v>
      </c>
      <c r="N811" s="62">
        <v>78.42449999999999</v>
      </c>
    </row>
    <row r="812" spans="1:14">
      <c r="A812" s="62">
        <v>2019</v>
      </c>
      <c r="B812" s="62">
        <v>5</v>
      </c>
      <c r="C812" s="62" t="s">
        <v>4</v>
      </c>
      <c r="D812" s="62" t="s">
        <v>3</v>
      </c>
      <c r="E812" s="62">
        <v>12.86</v>
      </c>
      <c r="F812" s="62">
        <v>3.2875</v>
      </c>
      <c r="I812" s="62">
        <v>2026</v>
      </c>
      <c r="J812" s="62">
        <v>10</v>
      </c>
      <c r="K812" s="62" t="s">
        <v>16</v>
      </c>
      <c r="L812" s="62" t="s">
        <v>2</v>
      </c>
      <c r="M812" s="62">
        <v>661.633</v>
      </c>
      <c r="N812" s="62">
        <v>115.785775</v>
      </c>
    </row>
    <row r="813" spans="1:14">
      <c r="A813" s="62">
        <v>2019</v>
      </c>
      <c r="B813" s="62">
        <v>6</v>
      </c>
      <c r="C813" s="62" t="s">
        <v>4</v>
      </c>
      <c r="D813" s="62" t="s">
        <v>3</v>
      </c>
      <c r="E813" s="62">
        <v>329.805</v>
      </c>
      <c r="F813" s="62">
        <v>90.104</v>
      </c>
      <c r="I813" s="62">
        <v>2026</v>
      </c>
      <c r="J813" s="62">
        <v>11</v>
      </c>
      <c r="K813" s="62" t="s">
        <v>16</v>
      </c>
      <c r="L813" s="62" t="s">
        <v>2</v>
      </c>
      <c r="M813" s="62">
        <v>214.3</v>
      </c>
      <c r="N813" s="62">
        <v>37.5025</v>
      </c>
    </row>
    <row r="814" spans="1:14">
      <c r="A814" s="62">
        <v>2019</v>
      </c>
      <c r="B814" s="62">
        <v>7</v>
      </c>
      <c r="C814" s="62" t="s">
        <v>4</v>
      </c>
      <c r="D814" s="62" t="s">
        <v>3</v>
      </c>
      <c r="E814" s="62">
        <v>94.55</v>
      </c>
      <c r="F814" s="62">
        <v>26.79125</v>
      </c>
      <c r="I814" s="62">
        <v>2027</v>
      </c>
      <c r="J814" s="62">
        <v>1</v>
      </c>
      <c r="K814" s="62" t="s">
        <v>16</v>
      </c>
      <c r="L814" s="62" t="s">
        <v>2</v>
      </c>
      <c r="M814" s="62">
        <v>440.475</v>
      </c>
      <c r="N814" s="62">
        <v>77.083125</v>
      </c>
    </row>
    <row r="815" spans="1:14">
      <c r="A815" s="62">
        <v>2019</v>
      </c>
      <c r="B815" s="62">
        <v>8</v>
      </c>
      <c r="C815" s="62" t="s">
        <v>4</v>
      </c>
      <c r="D815" s="62" t="s">
        <v>3</v>
      </c>
      <c r="E815" s="62">
        <v>15.392</v>
      </c>
      <c r="F815" s="62">
        <v>6.8366</v>
      </c>
      <c r="I815" s="62">
        <v>2027</v>
      </c>
      <c r="J815" s="62">
        <v>2</v>
      </c>
      <c r="K815" s="62" t="s">
        <v>16</v>
      </c>
      <c r="L815" s="62" t="s">
        <v>2</v>
      </c>
      <c r="M815" s="62">
        <v>702.438</v>
      </c>
      <c r="N815" s="62">
        <v>122.92665</v>
      </c>
    </row>
    <row r="816" spans="1:14">
      <c r="A816" s="62">
        <v>2019</v>
      </c>
      <c r="B816" s="62">
        <v>9</v>
      </c>
      <c r="C816" s="62" t="s">
        <v>4</v>
      </c>
      <c r="D816" s="62" t="s">
        <v>3</v>
      </c>
      <c r="E816" s="62">
        <v>4.94</v>
      </c>
      <c r="F816" s="62">
        <v>0.7279999999999999</v>
      </c>
      <c r="I816" s="62">
        <v>2027</v>
      </c>
      <c r="J816" s="62">
        <v>3</v>
      </c>
      <c r="K816" s="62" t="s">
        <v>16</v>
      </c>
      <c r="L816" s="62" t="s">
        <v>2</v>
      </c>
      <c r="M816" s="62">
        <v>1062.14</v>
      </c>
      <c r="N816" s="62">
        <v>185.8745</v>
      </c>
    </row>
    <row r="817" spans="1:14">
      <c r="A817" s="62">
        <v>2019</v>
      </c>
      <c r="B817" s="62">
        <v>10</v>
      </c>
      <c r="C817" s="62" t="s">
        <v>4</v>
      </c>
      <c r="D817" s="62" t="s">
        <v>3</v>
      </c>
      <c r="E817" s="62">
        <v>69.78</v>
      </c>
      <c r="F817" s="62">
        <v>10.732</v>
      </c>
      <c r="I817" s="62">
        <v>2027</v>
      </c>
      <c r="J817" s="62">
        <v>4</v>
      </c>
      <c r="K817" s="62" t="s">
        <v>16</v>
      </c>
      <c r="L817" s="62" t="s">
        <v>2</v>
      </c>
      <c r="M817" s="62">
        <v>663.255</v>
      </c>
      <c r="N817" s="62">
        <v>116.069625</v>
      </c>
    </row>
    <row r="818" spans="1:14">
      <c r="A818" s="62">
        <v>2019</v>
      </c>
      <c r="B818" s="62">
        <v>11</v>
      </c>
      <c r="C818" s="62" t="s">
        <v>4</v>
      </c>
      <c r="D818" s="62" t="s">
        <v>3</v>
      </c>
      <c r="E818" s="62">
        <v>24.49</v>
      </c>
      <c r="F818" s="62">
        <v>4.0985</v>
      </c>
      <c r="I818" s="62">
        <v>2027</v>
      </c>
      <c r="J818" s="62">
        <v>5</v>
      </c>
      <c r="K818" s="62" t="s">
        <v>16</v>
      </c>
      <c r="L818" s="62" t="s">
        <v>2</v>
      </c>
      <c r="M818" s="62">
        <v>320.192</v>
      </c>
      <c r="N818" s="62">
        <v>56.03359999999999</v>
      </c>
    </row>
    <row r="819" spans="1:14">
      <c r="A819" s="62">
        <v>2019</v>
      </c>
      <c r="B819" s="62">
        <v>12</v>
      </c>
      <c r="C819" s="62" t="s">
        <v>4</v>
      </c>
      <c r="D819" s="62" t="s">
        <v>3</v>
      </c>
      <c r="E819" s="62">
        <v>29.77</v>
      </c>
      <c r="F819" s="62">
        <v>4.55</v>
      </c>
      <c r="I819" s="62">
        <v>2027</v>
      </c>
      <c r="J819" s="62">
        <v>6</v>
      </c>
      <c r="K819" s="62" t="s">
        <v>16</v>
      </c>
      <c r="L819" s="62" t="s">
        <v>2</v>
      </c>
      <c r="M819" s="62">
        <v>96</v>
      </c>
      <c r="N819" s="62">
        <v>16.8</v>
      </c>
    </row>
    <row r="820" spans="1:14">
      <c r="A820" s="62">
        <v>2020</v>
      </c>
      <c r="B820" s="62">
        <v>1</v>
      </c>
      <c r="C820" s="62" t="s">
        <v>4</v>
      </c>
      <c r="D820" s="62" t="s">
        <v>3</v>
      </c>
      <c r="E820" s="62">
        <v>5.98</v>
      </c>
      <c r="F820" s="62">
        <v>1.0465</v>
      </c>
      <c r="I820" s="62">
        <v>2027</v>
      </c>
      <c r="J820" s="62">
        <v>7</v>
      </c>
      <c r="K820" s="62" t="s">
        <v>16</v>
      </c>
      <c r="L820" s="62" t="s">
        <v>2</v>
      </c>
      <c r="M820" s="62">
        <v>96</v>
      </c>
      <c r="N820" s="62">
        <v>16.8</v>
      </c>
    </row>
    <row r="821" spans="1:14">
      <c r="A821" s="62">
        <v>2020</v>
      </c>
      <c r="B821" s="62">
        <v>2</v>
      </c>
      <c r="C821" s="62" t="s">
        <v>4</v>
      </c>
      <c r="D821" s="62" t="s">
        <v>3</v>
      </c>
      <c r="E821" s="62">
        <v>219.95</v>
      </c>
      <c r="F821" s="62">
        <v>93.45385</v>
      </c>
      <c r="I821" s="62">
        <v>2027</v>
      </c>
      <c r="J821" s="62">
        <v>8</v>
      </c>
      <c r="K821" s="62" t="s">
        <v>16</v>
      </c>
      <c r="L821" s="62" t="s">
        <v>2</v>
      </c>
      <c r="M821" s="62">
        <v>27.84</v>
      </c>
      <c r="N821" s="62">
        <v>4.872</v>
      </c>
    </row>
    <row r="822" spans="1:14">
      <c r="A822" s="62">
        <v>2020</v>
      </c>
      <c r="B822" s="62">
        <v>3</v>
      </c>
      <c r="C822" s="62" t="s">
        <v>4</v>
      </c>
      <c r="D822" s="62" t="s">
        <v>3</v>
      </c>
      <c r="E822" s="62">
        <v>317.567</v>
      </c>
      <c r="F822" s="62">
        <v>91.298785</v>
      </c>
      <c r="I822" s="62">
        <v>2027</v>
      </c>
      <c r="J822" s="62">
        <v>9</v>
      </c>
      <c r="K822" s="62" t="s">
        <v>16</v>
      </c>
      <c r="L822" s="62" t="s">
        <v>2</v>
      </c>
      <c r="M822" s="62">
        <v>1619.335</v>
      </c>
      <c r="N822" s="62">
        <v>283.383625</v>
      </c>
    </row>
    <row r="823" spans="1:14">
      <c r="A823" s="62">
        <v>2020</v>
      </c>
      <c r="B823" s="62">
        <v>4</v>
      </c>
      <c r="C823" s="62" t="s">
        <v>4</v>
      </c>
      <c r="D823" s="62" t="s">
        <v>3</v>
      </c>
      <c r="E823" s="62">
        <v>644.076</v>
      </c>
      <c r="F823" s="62">
        <v>159.0291</v>
      </c>
      <c r="I823" s="62">
        <v>2027</v>
      </c>
      <c r="J823" s="62">
        <v>10</v>
      </c>
      <c r="K823" s="62" t="s">
        <v>16</v>
      </c>
      <c r="L823" s="62" t="s">
        <v>2</v>
      </c>
      <c r="M823" s="62">
        <v>1744.215</v>
      </c>
      <c r="N823" s="62">
        <v>305.237625</v>
      </c>
    </row>
    <row r="824" spans="1:14">
      <c r="A824" s="62">
        <v>2020</v>
      </c>
      <c r="B824" s="62">
        <v>5</v>
      </c>
      <c r="C824" s="62" t="s">
        <v>4</v>
      </c>
      <c r="D824" s="62" t="s">
        <v>3</v>
      </c>
      <c r="E824" s="62">
        <v>666.364</v>
      </c>
      <c r="F824" s="62">
        <v>165.2658</v>
      </c>
      <c r="I824" s="62">
        <v>2027</v>
      </c>
      <c r="J824" s="62">
        <v>11</v>
      </c>
      <c r="K824" s="62" t="s">
        <v>16</v>
      </c>
      <c r="L824" s="62" t="s">
        <v>2</v>
      </c>
      <c r="M824" s="62">
        <v>283.9</v>
      </c>
      <c r="N824" s="62">
        <v>49.6825</v>
      </c>
    </row>
    <row r="825" spans="1:14">
      <c r="A825" s="62">
        <v>2020</v>
      </c>
      <c r="B825" s="62">
        <v>6</v>
      </c>
      <c r="C825" s="62" t="s">
        <v>4</v>
      </c>
      <c r="D825" s="62" t="s">
        <v>3</v>
      </c>
      <c r="E825" s="62">
        <v>675.265</v>
      </c>
      <c r="F825" s="62">
        <v>171.27075</v>
      </c>
      <c r="I825" s="62">
        <v>2014</v>
      </c>
      <c r="J825" s="62">
        <v>1</v>
      </c>
      <c r="K825" s="62" t="s">
        <v>16</v>
      </c>
      <c r="L825" s="62" t="s">
        <v>3</v>
      </c>
      <c r="M825" s="62">
        <v>375.806</v>
      </c>
      <c r="N825" s="62">
        <v>65.76605000000001</v>
      </c>
    </row>
    <row r="826" spans="1:14">
      <c r="A826" s="62">
        <v>2020</v>
      </c>
      <c r="B826" s="62">
        <v>7</v>
      </c>
      <c r="C826" s="62" t="s">
        <v>4</v>
      </c>
      <c r="D826" s="62" t="s">
        <v>3</v>
      </c>
      <c r="E826" s="62">
        <v>791.8869999999999</v>
      </c>
      <c r="F826" s="62">
        <v>192.327125</v>
      </c>
      <c r="I826" s="62">
        <v>2014</v>
      </c>
      <c r="J826" s="62">
        <v>2</v>
      </c>
      <c r="K826" s="62" t="s">
        <v>16</v>
      </c>
      <c r="L826" s="62" t="s">
        <v>3</v>
      </c>
      <c r="M826" s="62">
        <v>188.389</v>
      </c>
      <c r="N826" s="62">
        <v>32.968075</v>
      </c>
    </row>
    <row r="827" spans="1:14">
      <c r="A827" s="62">
        <v>2020</v>
      </c>
      <c r="B827" s="62">
        <v>8</v>
      </c>
      <c r="C827" s="62" t="s">
        <v>4</v>
      </c>
      <c r="D827" s="62" t="s">
        <v>3</v>
      </c>
      <c r="E827" s="62">
        <v>659.333</v>
      </c>
      <c r="F827" s="62">
        <v>144.2013125</v>
      </c>
      <c r="I827" s="62">
        <v>2014</v>
      </c>
      <c r="J827" s="62">
        <v>3</v>
      </c>
      <c r="K827" s="62" t="s">
        <v>16</v>
      </c>
      <c r="L827" s="62" t="s">
        <v>3</v>
      </c>
      <c r="M827" s="62">
        <v>340.71</v>
      </c>
      <c r="N827" s="62">
        <v>59.62425</v>
      </c>
    </row>
    <row r="828" spans="1:14">
      <c r="A828" s="62">
        <v>2020</v>
      </c>
      <c r="B828" s="62">
        <v>9</v>
      </c>
      <c r="C828" s="62" t="s">
        <v>4</v>
      </c>
      <c r="D828" s="62" t="s">
        <v>3</v>
      </c>
      <c r="E828" s="62">
        <v>759.9397</v>
      </c>
      <c r="F828" s="62">
        <v>157.7223475</v>
      </c>
      <c r="I828" s="62">
        <v>2014</v>
      </c>
      <c r="J828" s="62">
        <v>4</v>
      </c>
      <c r="K828" s="62" t="s">
        <v>16</v>
      </c>
      <c r="L828" s="62" t="s">
        <v>3</v>
      </c>
      <c r="M828" s="62">
        <v>330.1065</v>
      </c>
      <c r="N828" s="62">
        <v>57.7686375</v>
      </c>
    </row>
    <row r="829" spans="1:14">
      <c r="A829" s="62">
        <v>2020</v>
      </c>
      <c r="B829" s="62">
        <v>10</v>
      </c>
      <c r="C829" s="62" t="s">
        <v>4</v>
      </c>
      <c r="D829" s="62" t="s">
        <v>3</v>
      </c>
      <c r="E829" s="62">
        <v>731.17</v>
      </c>
      <c r="F829" s="62">
        <v>152.29405</v>
      </c>
      <c r="I829" s="62">
        <v>2014</v>
      </c>
      <c r="J829" s="62">
        <v>5</v>
      </c>
      <c r="K829" s="62" t="s">
        <v>16</v>
      </c>
      <c r="L829" s="62" t="s">
        <v>3</v>
      </c>
      <c r="M829" s="62">
        <v>167.322</v>
      </c>
      <c r="N829" s="62">
        <v>29.28135</v>
      </c>
    </row>
    <row r="830" spans="1:14">
      <c r="A830" s="62">
        <v>2020</v>
      </c>
      <c r="B830" s="62">
        <v>11</v>
      </c>
      <c r="C830" s="62" t="s">
        <v>4</v>
      </c>
      <c r="D830" s="62" t="s">
        <v>3</v>
      </c>
      <c r="E830" s="62">
        <v>576.38</v>
      </c>
      <c r="F830" s="62">
        <v>118.40425</v>
      </c>
      <c r="I830" s="62">
        <v>2014</v>
      </c>
      <c r="J830" s="62">
        <v>6</v>
      </c>
      <c r="K830" s="62" t="s">
        <v>16</v>
      </c>
      <c r="L830" s="62" t="s">
        <v>3</v>
      </c>
      <c r="M830" s="62">
        <v>510.525</v>
      </c>
      <c r="N830" s="62">
        <v>89.34187499999999</v>
      </c>
    </row>
    <row r="831" spans="1:14">
      <c r="A831" s="62">
        <v>2020</v>
      </c>
      <c r="B831" s="62">
        <v>12</v>
      </c>
      <c r="C831" s="62" t="s">
        <v>4</v>
      </c>
      <c r="D831" s="62" t="s">
        <v>3</v>
      </c>
      <c r="E831" s="62">
        <v>591.58</v>
      </c>
      <c r="F831" s="62">
        <v>132.956125</v>
      </c>
      <c r="I831" s="62">
        <v>2014</v>
      </c>
      <c r="J831" s="62">
        <v>7</v>
      </c>
      <c r="K831" s="62" t="s">
        <v>16</v>
      </c>
      <c r="L831" s="62" t="s">
        <v>3</v>
      </c>
      <c r="M831" s="62">
        <v>374.829</v>
      </c>
      <c r="N831" s="62">
        <v>65.59507499999999</v>
      </c>
    </row>
    <row r="832" spans="1:14">
      <c r="A832" s="62">
        <v>2021</v>
      </c>
      <c r="B832" s="62">
        <v>1</v>
      </c>
      <c r="C832" s="62" t="s">
        <v>4</v>
      </c>
      <c r="D832" s="62" t="s">
        <v>3</v>
      </c>
      <c r="E832" s="62">
        <v>592.38</v>
      </c>
      <c r="F832" s="62">
        <v>136.66675</v>
      </c>
      <c r="I832" s="62">
        <v>2014</v>
      </c>
      <c r="J832" s="62">
        <v>8</v>
      </c>
      <c r="K832" s="62" t="s">
        <v>16</v>
      </c>
      <c r="L832" s="62" t="s">
        <v>3</v>
      </c>
      <c r="M832" s="62">
        <v>421.287</v>
      </c>
      <c r="N832" s="62">
        <v>73.72522499999999</v>
      </c>
    </row>
    <row r="833" spans="1:14">
      <c r="A833" s="62">
        <v>2021</v>
      </c>
      <c r="B833" s="62">
        <v>2</v>
      </c>
      <c r="C833" s="62" t="s">
        <v>4</v>
      </c>
      <c r="D833" s="62" t="s">
        <v>3</v>
      </c>
      <c r="E833" s="62">
        <v>608.9348</v>
      </c>
      <c r="F833" s="62">
        <v>143.747375</v>
      </c>
      <c r="I833" s="62">
        <v>2014</v>
      </c>
      <c r="J833" s="62">
        <v>9</v>
      </c>
      <c r="K833" s="62" t="s">
        <v>16</v>
      </c>
      <c r="L833" s="62" t="s">
        <v>3</v>
      </c>
      <c r="M833" s="62">
        <v>516.29</v>
      </c>
      <c r="N833" s="62">
        <v>90.35074999999999</v>
      </c>
    </row>
    <row r="834" spans="1:14">
      <c r="A834" s="62">
        <v>2021</v>
      </c>
      <c r="B834" s="62">
        <v>3</v>
      </c>
      <c r="C834" s="62" t="s">
        <v>4</v>
      </c>
      <c r="D834" s="62" t="s">
        <v>3</v>
      </c>
      <c r="E834" s="62">
        <v>497.5517</v>
      </c>
      <c r="F834" s="62">
        <v>121.2464</v>
      </c>
      <c r="I834" s="62">
        <v>2014</v>
      </c>
      <c r="J834" s="62">
        <v>10</v>
      </c>
      <c r="K834" s="62" t="s">
        <v>16</v>
      </c>
      <c r="L834" s="62" t="s">
        <v>3</v>
      </c>
      <c r="M834" s="62">
        <v>217.661</v>
      </c>
      <c r="N834" s="62">
        <v>38.090675</v>
      </c>
    </row>
    <row r="835" spans="1:14">
      <c r="A835" s="62">
        <v>2021</v>
      </c>
      <c r="B835" s="62">
        <v>4</v>
      </c>
      <c r="C835" s="62" t="s">
        <v>4</v>
      </c>
      <c r="D835" s="62" t="s">
        <v>3</v>
      </c>
      <c r="E835" s="62">
        <v>374.394</v>
      </c>
      <c r="F835" s="62">
        <v>92.38275</v>
      </c>
      <c r="I835" s="62">
        <v>2014</v>
      </c>
      <c r="J835" s="62">
        <v>11</v>
      </c>
      <c r="K835" s="62" t="s">
        <v>16</v>
      </c>
      <c r="L835" s="62" t="s">
        <v>3</v>
      </c>
      <c r="M835" s="62">
        <v>111.9435</v>
      </c>
      <c r="N835" s="62">
        <v>19.5901125</v>
      </c>
    </row>
    <row r="836" spans="1:14">
      <c r="A836" s="62">
        <v>2021</v>
      </c>
      <c r="B836" s="62">
        <v>5</v>
      </c>
      <c r="C836" s="62" t="s">
        <v>4</v>
      </c>
      <c r="D836" s="62" t="s">
        <v>3</v>
      </c>
      <c r="E836" s="62">
        <v>268.508</v>
      </c>
      <c r="F836" s="62">
        <v>80.50705000000001</v>
      </c>
      <c r="I836" s="62">
        <v>2014</v>
      </c>
      <c r="J836" s="62">
        <v>12</v>
      </c>
      <c r="K836" s="62" t="s">
        <v>16</v>
      </c>
      <c r="L836" s="62" t="s">
        <v>3</v>
      </c>
      <c r="M836" s="62">
        <v>117.741</v>
      </c>
      <c r="N836" s="62">
        <v>20.604675</v>
      </c>
    </row>
    <row r="837" spans="1:14">
      <c r="A837" s="62">
        <v>2021</v>
      </c>
      <c r="B837" s="62">
        <v>6</v>
      </c>
      <c r="C837" s="62" t="s">
        <v>4</v>
      </c>
      <c r="D837" s="62" t="s">
        <v>3</v>
      </c>
      <c r="E837" s="62">
        <v>246.5642</v>
      </c>
      <c r="F837" s="62">
        <v>68.0297875</v>
      </c>
      <c r="I837" s="62">
        <v>2015</v>
      </c>
      <c r="J837" s="62">
        <v>1</v>
      </c>
      <c r="K837" s="62" t="s">
        <v>16</v>
      </c>
      <c r="L837" s="62" t="s">
        <v>3</v>
      </c>
      <c r="M837" s="62">
        <v>402.204</v>
      </c>
      <c r="N837" s="62">
        <v>70.3857</v>
      </c>
    </row>
    <row r="838" spans="1:14">
      <c r="A838" s="62">
        <v>2021</v>
      </c>
      <c r="B838" s="62">
        <v>7</v>
      </c>
      <c r="C838" s="62" t="s">
        <v>4</v>
      </c>
      <c r="D838" s="62" t="s">
        <v>3</v>
      </c>
      <c r="E838" s="62">
        <v>159.1516</v>
      </c>
      <c r="F838" s="62">
        <v>51.106835</v>
      </c>
      <c r="I838" s="62">
        <v>2015</v>
      </c>
      <c r="J838" s="62">
        <v>2</v>
      </c>
      <c r="K838" s="62" t="s">
        <v>16</v>
      </c>
      <c r="L838" s="62" t="s">
        <v>3</v>
      </c>
      <c r="M838" s="62">
        <v>472.095</v>
      </c>
      <c r="N838" s="62">
        <v>82.616625</v>
      </c>
    </row>
    <row r="839" spans="1:14">
      <c r="A839" s="62">
        <v>2021</v>
      </c>
      <c r="B839" s="62">
        <v>8</v>
      </c>
      <c r="C839" s="62" t="s">
        <v>4</v>
      </c>
      <c r="D839" s="62" t="s">
        <v>3</v>
      </c>
      <c r="E839" s="62">
        <v>140.35</v>
      </c>
      <c r="F839" s="62">
        <v>46.072</v>
      </c>
      <c r="I839" s="62">
        <v>2015</v>
      </c>
      <c r="J839" s="62">
        <v>3</v>
      </c>
      <c r="K839" s="62" t="s">
        <v>16</v>
      </c>
      <c r="L839" s="62" t="s">
        <v>3</v>
      </c>
      <c r="M839" s="62">
        <v>327.475</v>
      </c>
      <c r="N839" s="62">
        <v>57.308125</v>
      </c>
    </row>
    <row r="840" spans="1:14">
      <c r="A840" s="62">
        <v>2021</v>
      </c>
      <c r="B840" s="62">
        <v>9</v>
      </c>
      <c r="C840" s="62" t="s">
        <v>4</v>
      </c>
      <c r="D840" s="62" t="s">
        <v>3</v>
      </c>
      <c r="E840" s="62">
        <v>125.14</v>
      </c>
      <c r="F840" s="62">
        <v>43.4995</v>
      </c>
      <c r="I840" s="62">
        <v>2015</v>
      </c>
      <c r="J840" s="62">
        <v>4</v>
      </c>
      <c r="K840" s="62" t="s">
        <v>16</v>
      </c>
      <c r="L840" s="62" t="s">
        <v>3</v>
      </c>
      <c r="M840" s="62">
        <v>282.029</v>
      </c>
      <c r="N840" s="62">
        <v>49.355075</v>
      </c>
    </row>
    <row r="841" spans="1:14">
      <c r="A841" s="62">
        <v>2021</v>
      </c>
      <c r="B841" s="62">
        <v>10</v>
      </c>
      <c r="C841" s="62" t="s">
        <v>4</v>
      </c>
      <c r="D841" s="62" t="s">
        <v>3</v>
      </c>
      <c r="E841" s="62">
        <v>220</v>
      </c>
      <c r="F841" s="62">
        <v>60.09999999999999</v>
      </c>
      <c r="I841" s="62">
        <v>2015</v>
      </c>
      <c r="J841" s="62">
        <v>5</v>
      </c>
      <c r="K841" s="62" t="s">
        <v>16</v>
      </c>
      <c r="L841" s="62" t="s">
        <v>3</v>
      </c>
      <c r="M841" s="62">
        <v>220.6685</v>
      </c>
      <c r="N841" s="62">
        <v>38.6169875</v>
      </c>
    </row>
    <row r="842" spans="1:14">
      <c r="A842" s="62">
        <v>2021</v>
      </c>
      <c r="B842" s="62">
        <v>11</v>
      </c>
      <c r="C842" s="62" t="s">
        <v>4</v>
      </c>
      <c r="D842" s="62" t="s">
        <v>3</v>
      </c>
      <c r="E842" s="62">
        <v>146.83</v>
      </c>
      <c r="F842" s="62">
        <v>48.166</v>
      </c>
      <c r="I842" s="62">
        <v>2015</v>
      </c>
      <c r="J842" s="62">
        <v>6</v>
      </c>
      <c r="K842" s="62" t="s">
        <v>16</v>
      </c>
      <c r="L842" s="62" t="s">
        <v>3</v>
      </c>
      <c r="M842" s="62">
        <v>173.7872</v>
      </c>
      <c r="N842" s="62">
        <v>30.41276</v>
      </c>
    </row>
    <row r="843" spans="1:14">
      <c r="A843" s="62">
        <v>2021</v>
      </c>
      <c r="B843" s="62">
        <v>12</v>
      </c>
      <c r="C843" s="62" t="s">
        <v>4</v>
      </c>
      <c r="D843" s="62" t="s">
        <v>3</v>
      </c>
      <c r="E843" s="62">
        <v>119.56</v>
      </c>
      <c r="F843" s="62">
        <v>42.523</v>
      </c>
      <c r="I843" s="62">
        <v>2015</v>
      </c>
      <c r="J843" s="62">
        <v>7</v>
      </c>
      <c r="K843" s="62" t="s">
        <v>16</v>
      </c>
      <c r="L843" s="62" t="s">
        <v>3</v>
      </c>
      <c r="M843" s="62">
        <v>212.8946</v>
      </c>
      <c r="N843" s="62">
        <v>37.256555</v>
      </c>
    </row>
    <row r="844" spans="1:14">
      <c r="A844" s="62">
        <v>2022</v>
      </c>
      <c r="B844" s="62">
        <v>1</v>
      </c>
      <c r="C844" s="62" t="s">
        <v>4</v>
      </c>
      <c r="D844" s="62" t="s">
        <v>3</v>
      </c>
      <c r="E844" s="62">
        <v>122.5</v>
      </c>
      <c r="F844" s="62">
        <v>45.175</v>
      </c>
      <c r="I844" s="62">
        <v>2015</v>
      </c>
      <c r="J844" s="62">
        <v>8</v>
      </c>
      <c r="K844" s="62" t="s">
        <v>16</v>
      </c>
      <c r="L844" s="62" t="s">
        <v>3</v>
      </c>
      <c r="M844" s="62">
        <v>433.42</v>
      </c>
      <c r="N844" s="62">
        <v>75.8485</v>
      </c>
    </row>
    <row r="845" spans="1:14">
      <c r="A845" s="62">
        <v>2022</v>
      </c>
      <c r="B845" s="62">
        <v>2</v>
      </c>
      <c r="C845" s="62" t="s">
        <v>4</v>
      </c>
      <c r="D845" s="62" t="s">
        <v>3</v>
      </c>
      <c r="E845" s="62">
        <v>162.86</v>
      </c>
      <c r="F845" s="62">
        <v>66.99299999999999</v>
      </c>
      <c r="I845" s="62">
        <v>2015</v>
      </c>
      <c r="J845" s="62">
        <v>9</v>
      </c>
      <c r="K845" s="62" t="s">
        <v>16</v>
      </c>
      <c r="L845" s="62" t="s">
        <v>3</v>
      </c>
      <c r="M845" s="62">
        <v>400.4381</v>
      </c>
      <c r="N845" s="62">
        <v>70.0766675</v>
      </c>
    </row>
    <row r="846" spans="1:14">
      <c r="A846" s="62">
        <v>2022</v>
      </c>
      <c r="B846" s="62">
        <v>3</v>
      </c>
      <c r="C846" s="62" t="s">
        <v>4</v>
      </c>
      <c r="D846" s="62" t="s">
        <v>3</v>
      </c>
      <c r="E846" s="62">
        <v>128.14</v>
      </c>
      <c r="F846" s="62">
        <v>40.197</v>
      </c>
      <c r="I846" s="62">
        <v>2015</v>
      </c>
      <c r="J846" s="62">
        <v>10</v>
      </c>
      <c r="K846" s="62" t="s">
        <v>16</v>
      </c>
      <c r="L846" s="62" t="s">
        <v>3</v>
      </c>
      <c r="M846" s="62">
        <v>461.7944</v>
      </c>
      <c r="N846" s="62">
        <v>80.81402</v>
      </c>
    </row>
    <row r="847" spans="1:14">
      <c r="A847" s="62">
        <v>2022</v>
      </c>
      <c r="B847" s="62">
        <v>4</v>
      </c>
      <c r="C847" s="62" t="s">
        <v>4</v>
      </c>
      <c r="D847" s="62" t="s">
        <v>3</v>
      </c>
      <c r="E847" s="62">
        <v>86</v>
      </c>
      <c r="F847" s="62">
        <v>15.05</v>
      </c>
      <c r="I847" s="62">
        <v>2015</v>
      </c>
      <c r="J847" s="62">
        <v>11</v>
      </c>
      <c r="K847" s="62" t="s">
        <v>16</v>
      </c>
      <c r="L847" s="62" t="s">
        <v>3</v>
      </c>
      <c r="M847" s="62">
        <v>301.8175</v>
      </c>
      <c r="N847" s="62">
        <v>52.8180625</v>
      </c>
    </row>
    <row r="848" spans="1:14">
      <c r="A848" s="62">
        <v>2022</v>
      </c>
      <c r="B848" s="62">
        <v>5</v>
      </c>
      <c r="C848" s="62" t="s">
        <v>4</v>
      </c>
      <c r="D848" s="62" t="s">
        <v>3</v>
      </c>
      <c r="E848" s="62">
        <v>87.02000000000001</v>
      </c>
      <c r="F848" s="62">
        <v>15.05</v>
      </c>
      <c r="I848" s="62">
        <v>2015</v>
      </c>
      <c r="J848" s="62">
        <v>12</v>
      </c>
      <c r="K848" s="62" t="s">
        <v>16</v>
      </c>
      <c r="L848" s="62" t="s">
        <v>3</v>
      </c>
      <c r="M848" s="62">
        <v>335.695</v>
      </c>
      <c r="N848" s="62">
        <v>58.74662499999999</v>
      </c>
    </row>
    <row r="849" spans="1:14">
      <c r="A849" s="62">
        <v>2022</v>
      </c>
      <c r="B849" s="62">
        <v>6</v>
      </c>
      <c r="C849" s="62" t="s">
        <v>4</v>
      </c>
      <c r="D849" s="62" t="s">
        <v>3</v>
      </c>
      <c r="E849" s="62">
        <v>97.7</v>
      </c>
      <c r="F849" s="62">
        <v>15.05</v>
      </c>
      <c r="I849" s="62">
        <v>2016</v>
      </c>
      <c r="J849" s="62">
        <v>1</v>
      </c>
      <c r="K849" s="62" t="s">
        <v>16</v>
      </c>
      <c r="L849" s="62" t="s">
        <v>3</v>
      </c>
      <c r="M849" s="62">
        <v>505.88</v>
      </c>
      <c r="N849" s="62">
        <v>88.529</v>
      </c>
    </row>
    <row r="850" spans="1:14">
      <c r="A850" s="62">
        <v>2022</v>
      </c>
      <c r="B850" s="62">
        <v>7</v>
      </c>
      <c r="C850" s="62" t="s">
        <v>4</v>
      </c>
      <c r="D850" s="62" t="s">
        <v>3</v>
      </c>
      <c r="E850" s="62">
        <v>86</v>
      </c>
      <c r="F850" s="62">
        <v>15.05</v>
      </c>
      <c r="I850" s="62">
        <v>2016</v>
      </c>
      <c r="J850" s="62">
        <v>2</v>
      </c>
      <c r="K850" s="62" t="s">
        <v>16</v>
      </c>
      <c r="L850" s="62" t="s">
        <v>3</v>
      </c>
      <c r="M850" s="62">
        <v>222.6175</v>
      </c>
      <c r="N850" s="62">
        <v>38.9580625</v>
      </c>
    </row>
    <row r="851" spans="1:14">
      <c r="A851" s="62">
        <v>2022</v>
      </c>
      <c r="B851" s="62">
        <v>8</v>
      </c>
      <c r="C851" s="62" t="s">
        <v>4</v>
      </c>
      <c r="D851" s="62" t="s">
        <v>3</v>
      </c>
      <c r="E851" s="62">
        <v>44.72</v>
      </c>
      <c r="F851" s="62">
        <v>7.826000000000001</v>
      </c>
      <c r="I851" s="62">
        <v>2016</v>
      </c>
      <c r="J851" s="62">
        <v>3</v>
      </c>
      <c r="K851" s="62" t="s">
        <v>16</v>
      </c>
      <c r="L851" s="62" t="s">
        <v>3</v>
      </c>
      <c r="M851" s="62">
        <v>23.52</v>
      </c>
      <c r="N851" s="62">
        <v>4.116</v>
      </c>
    </row>
    <row r="852" spans="1:14">
      <c r="A852" s="62">
        <v>2022</v>
      </c>
      <c r="B852" s="62">
        <v>10</v>
      </c>
      <c r="C852" s="62" t="s">
        <v>4</v>
      </c>
      <c r="D852" s="62" t="s">
        <v>3</v>
      </c>
      <c r="E852" s="62">
        <v>3.86</v>
      </c>
      <c r="F852" s="62">
        <v>0.115</v>
      </c>
      <c r="I852" s="62">
        <v>2016</v>
      </c>
      <c r="J852" s="62">
        <v>4</v>
      </c>
      <c r="K852" s="62" t="s">
        <v>16</v>
      </c>
      <c r="L852" s="62" t="s">
        <v>3</v>
      </c>
      <c r="M852" s="62">
        <v>199.5975</v>
      </c>
      <c r="N852" s="62">
        <v>34.9295625</v>
      </c>
    </row>
    <row r="853" spans="1:14">
      <c r="A853" s="62">
        <v>2022</v>
      </c>
      <c r="B853" s="62">
        <v>11</v>
      </c>
      <c r="C853" s="62" t="s">
        <v>4</v>
      </c>
      <c r="D853" s="62" t="s">
        <v>3</v>
      </c>
      <c r="E853" s="62">
        <v>12.89</v>
      </c>
      <c r="F853" s="62">
        <v>5.23925</v>
      </c>
      <c r="I853" s="62">
        <v>2016</v>
      </c>
      <c r="J853" s="62">
        <v>5</v>
      </c>
      <c r="K853" s="62" t="s">
        <v>16</v>
      </c>
      <c r="L853" s="62" t="s">
        <v>3</v>
      </c>
      <c r="M853" s="62">
        <v>153.6371</v>
      </c>
      <c r="N853" s="62">
        <v>26.8864925</v>
      </c>
    </row>
    <row r="854" spans="1:14">
      <c r="A854" s="62">
        <v>2022</v>
      </c>
      <c r="B854" s="62">
        <v>12</v>
      </c>
      <c r="C854" s="62" t="s">
        <v>4</v>
      </c>
      <c r="D854" s="62" t="s">
        <v>3</v>
      </c>
      <c r="E854" s="62">
        <v>6.8</v>
      </c>
      <c r="F854" s="62">
        <v>4.42</v>
      </c>
      <c r="I854" s="62">
        <v>2016</v>
      </c>
      <c r="J854" s="62">
        <v>6</v>
      </c>
      <c r="K854" s="62" t="s">
        <v>16</v>
      </c>
      <c r="L854" s="62" t="s">
        <v>3</v>
      </c>
      <c r="M854" s="62">
        <v>87.93000000000001</v>
      </c>
      <c r="N854" s="62">
        <v>15.38775</v>
      </c>
    </row>
    <row r="855" spans="1:14">
      <c r="A855" s="62">
        <v>2023</v>
      </c>
      <c r="B855" s="62">
        <v>1</v>
      </c>
      <c r="C855" s="62" t="s">
        <v>4</v>
      </c>
      <c r="D855" s="62" t="s">
        <v>3</v>
      </c>
      <c r="E855" s="62">
        <v>12.95</v>
      </c>
      <c r="F855" s="62">
        <v>2.26625</v>
      </c>
      <c r="I855" s="62">
        <v>2016</v>
      </c>
      <c r="J855" s="62">
        <v>7</v>
      </c>
      <c r="K855" s="62" t="s">
        <v>16</v>
      </c>
      <c r="L855" s="62" t="s">
        <v>3</v>
      </c>
      <c r="M855" s="62">
        <v>34.675</v>
      </c>
      <c r="N855" s="62">
        <v>6.068124999999999</v>
      </c>
    </row>
    <row r="856" spans="1:14">
      <c r="A856" s="62">
        <v>2023</v>
      </c>
      <c r="B856" s="62">
        <v>3</v>
      </c>
      <c r="C856" s="62" t="s">
        <v>4</v>
      </c>
      <c r="D856" s="62" t="s">
        <v>3</v>
      </c>
      <c r="E856" s="62">
        <v>76.3</v>
      </c>
      <c r="F856" s="62">
        <v>15.1645</v>
      </c>
      <c r="I856" s="62">
        <v>2016</v>
      </c>
      <c r="J856" s="62">
        <v>8</v>
      </c>
      <c r="K856" s="62" t="s">
        <v>16</v>
      </c>
      <c r="L856" s="62" t="s">
        <v>3</v>
      </c>
      <c r="M856" s="62">
        <v>130.935</v>
      </c>
      <c r="N856" s="62">
        <v>22.913625</v>
      </c>
    </row>
    <row r="857" spans="1:14">
      <c r="A857" s="62">
        <v>2023</v>
      </c>
      <c r="B857" s="62">
        <v>4</v>
      </c>
      <c r="C857" s="62" t="s">
        <v>4</v>
      </c>
      <c r="D857" s="62" t="s">
        <v>3</v>
      </c>
      <c r="E857" s="62">
        <v>1.19</v>
      </c>
      <c r="F857" s="62">
        <v>0</v>
      </c>
      <c r="I857" s="62">
        <v>2016</v>
      </c>
      <c r="J857" s="62">
        <v>9</v>
      </c>
      <c r="K857" s="62" t="s">
        <v>16</v>
      </c>
      <c r="L857" s="62" t="s">
        <v>3</v>
      </c>
      <c r="M857" s="62">
        <v>246.18</v>
      </c>
      <c r="N857" s="62">
        <v>43.08149999999999</v>
      </c>
    </row>
    <row r="858" spans="1:14">
      <c r="A858" s="62">
        <v>2023</v>
      </c>
      <c r="B858" s="62">
        <v>6</v>
      </c>
      <c r="C858" s="62" t="s">
        <v>4</v>
      </c>
      <c r="D858" s="62" t="s">
        <v>3</v>
      </c>
      <c r="E858" s="62">
        <v>316.8375</v>
      </c>
      <c r="F858" s="62">
        <v>92.4030625</v>
      </c>
      <c r="I858" s="62">
        <v>2016</v>
      </c>
      <c r="J858" s="62">
        <v>10</v>
      </c>
      <c r="K858" s="62" t="s">
        <v>16</v>
      </c>
      <c r="L858" s="62" t="s">
        <v>3</v>
      </c>
      <c r="M858" s="62">
        <v>198.05</v>
      </c>
      <c r="N858" s="62">
        <v>34.65875</v>
      </c>
    </row>
    <row r="859" spans="1:14">
      <c r="A859" s="62">
        <v>2023</v>
      </c>
      <c r="B859" s="62">
        <v>7</v>
      </c>
      <c r="C859" s="62" t="s">
        <v>4</v>
      </c>
      <c r="D859" s="62" t="s">
        <v>3</v>
      </c>
      <c r="E859" s="62">
        <v>283.35</v>
      </c>
      <c r="F859" s="62">
        <v>83.90725</v>
      </c>
      <c r="I859" s="62">
        <v>2016</v>
      </c>
      <c r="J859" s="62">
        <v>11</v>
      </c>
      <c r="K859" s="62" t="s">
        <v>16</v>
      </c>
      <c r="L859" s="62" t="s">
        <v>3</v>
      </c>
      <c r="M859" s="62">
        <v>219.948</v>
      </c>
      <c r="N859" s="62">
        <v>38.4909</v>
      </c>
    </row>
    <row r="860" spans="1:14">
      <c r="A860" s="62">
        <v>2023</v>
      </c>
      <c r="B860" s="62">
        <v>8</v>
      </c>
      <c r="C860" s="62" t="s">
        <v>4</v>
      </c>
      <c r="D860" s="62" t="s">
        <v>3</v>
      </c>
      <c r="E860" s="62">
        <v>2.6</v>
      </c>
      <c r="F860" s="62">
        <v>0.455</v>
      </c>
      <c r="I860" s="62">
        <v>2016</v>
      </c>
      <c r="J860" s="62">
        <v>12</v>
      </c>
      <c r="K860" s="62" t="s">
        <v>16</v>
      </c>
      <c r="L860" s="62" t="s">
        <v>3</v>
      </c>
      <c r="M860" s="62">
        <v>90.324</v>
      </c>
      <c r="N860" s="62">
        <v>15.8067</v>
      </c>
    </row>
    <row r="861" spans="1:14">
      <c r="A861" s="62">
        <v>2023</v>
      </c>
      <c r="B861" s="62">
        <v>9</v>
      </c>
      <c r="C861" s="62" t="s">
        <v>4</v>
      </c>
      <c r="D861" s="62" t="s">
        <v>3</v>
      </c>
      <c r="E861" s="62">
        <v>73.301</v>
      </c>
      <c r="F861" s="62">
        <v>10.6412</v>
      </c>
      <c r="I861" s="62">
        <v>2017</v>
      </c>
      <c r="J861" s="62">
        <v>1</v>
      </c>
      <c r="K861" s="62" t="s">
        <v>16</v>
      </c>
      <c r="L861" s="62" t="s">
        <v>3</v>
      </c>
      <c r="M861" s="62">
        <v>391.5</v>
      </c>
      <c r="N861" s="62">
        <v>68.5125</v>
      </c>
    </row>
    <row r="862" spans="1:14">
      <c r="A862" s="62">
        <v>2023</v>
      </c>
      <c r="B862" s="62">
        <v>10</v>
      </c>
      <c r="C862" s="62" t="s">
        <v>4</v>
      </c>
      <c r="D862" s="62" t="s">
        <v>3</v>
      </c>
      <c r="E862" s="62">
        <v>49</v>
      </c>
      <c r="F862" s="62">
        <v>5.7</v>
      </c>
      <c r="I862" s="62">
        <v>2017</v>
      </c>
      <c r="J862" s="62">
        <v>2</v>
      </c>
      <c r="K862" s="62" t="s">
        <v>16</v>
      </c>
      <c r="L862" s="62" t="s">
        <v>3</v>
      </c>
      <c r="M862" s="62">
        <v>468.59</v>
      </c>
      <c r="N862" s="62">
        <v>82.00324999999999</v>
      </c>
    </row>
    <row r="863" spans="1:14">
      <c r="A863" s="62">
        <v>2023</v>
      </c>
      <c r="B863" s="62">
        <v>11</v>
      </c>
      <c r="C863" s="62" t="s">
        <v>4</v>
      </c>
      <c r="D863" s="62" t="s">
        <v>3</v>
      </c>
      <c r="E863" s="62">
        <v>32.9</v>
      </c>
      <c r="F863" s="62">
        <v>4.895</v>
      </c>
      <c r="I863" s="62">
        <v>2017</v>
      </c>
      <c r="J863" s="62">
        <v>3</v>
      </c>
      <c r="K863" s="62" t="s">
        <v>16</v>
      </c>
      <c r="L863" s="62" t="s">
        <v>3</v>
      </c>
      <c r="M863" s="62">
        <v>374.12</v>
      </c>
      <c r="N863" s="62">
        <v>65.47099999999999</v>
      </c>
    </row>
    <row r="864" spans="1:14">
      <c r="A864" s="62">
        <v>2023</v>
      </c>
      <c r="B864" s="62">
        <v>12</v>
      </c>
      <c r="C864" s="62" t="s">
        <v>4</v>
      </c>
      <c r="D864" s="62" t="s">
        <v>3</v>
      </c>
      <c r="E864" s="62">
        <v>30.79</v>
      </c>
      <c r="F864" s="62">
        <v>5.388249999999999</v>
      </c>
      <c r="I864" s="62">
        <v>2017</v>
      </c>
      <c r="J864" s="62">
        <v>4</v>
      </c>
      <c r="K864" s="62" t="s">
        <v>16</v>
      </c>
      <c r="L864" s="62" t="s">
        <v>3</v>
      </c>
      <c r="M864" s="62">
        <v>105.0075</v>
      </c>
      <c r="N864" s="62">
        <v>18.3763125</v>
      </c>
    </row>
    <row r="865" spans="1:14">
      <c r="A865" s="62">
        <v>2024</v>
      </c>
      <c r="B865" s="62">
        <v>1</v>
      </c>
      <c r="C865" s="62" t="s">
        <v>4</v>
      </c>
      <c r="D865" s="62" t="s">
        <v>3</v>
      </c>
      <c r="E865" s="62">
        <v>99.0698</v>
      </c>
      <c r="F865" s="62">
        <v>21.751465</v>
      </c>
      <c r="I865" s="62">
        <v>2017</v>
      </c>
      <c r="J865" s="62">
        <v>5</v>
      </c>
      <c r="K865" s="62" t="s">
        <v>16</v>
      </c>
      <c r="L865" s="62" t="s">
        <v>3</v>
      </c>
      <c r="M865" s="62">
        <v>192.1325</v>
      </c>
      <c r="N865" s="62">
        <v>33.6231875</v>
      </c>
    </row>
    <row r="866" spans="1:14">
      <c r="A866" s="62">
        <v>2024</v>
      </c>
      <c r="B866" s="62">
        <v>2</v>
      </c>
      <c r="C866" s="62" t="s">
        <v>4</v>
      </c>
      <c r="D866" s="62" t="s">
        <v>3</v>
      </c>
      <c r="E866" s="62">
        <v>62.445</v>
      </c>
      <c r="F866" s="62">
        <v>38.6275</v>
      </c>
      <c r="I866" s="62">
        <v>2017</v>
      </c>
      <c r="J866" s="62">
        <v>6</v>
      </c>
      <c r="K866" s="62" t="s">
        <v>16</v>
      </c>
      <c r="L866" s="62" t="s">
        <v>3</v>
      </c>
      <c r="M866" s="62">
        <v>75.64</v>
      </c>
      <c r="N866" s="62">
        <v>13.237</v>
      </c>
    </row>
    <row r="867" spans="1:14">
      <c r="A867" s="62">
        <v>2024</v>
      </c>
      <c r="B867" s="62">
        <v>3</v>
      </c>
      <c r="C867" s="62" t="s">
        <v>4</v>
      </c>
      <c r="D867" s="62" t="s">
        <v>3</v>
      </c>
      <c r="E867" s="62">
        <v>33.077</v>
      </c>
      <c r="F867" s="62">
        <v>6.470499999999999</v>
      </c>
      <c r="I867" s="62">
        <v>2017</v>
      </c>
      <c r="J867" s="62">
        <v>7</v>
      </c>
      <c r="K867" s="62" t="s">
        <v>16</v>
      </c>
      <c r="L867" s="62" t="s">
        <v>3</v>
      </c>
      <c r="M867" s="62">
        <v>54.7175</v>
      </c>
      <c r="N867" s="62">
        <v>9.5755625</v>
      </c>
    </row>
    <row r="868" spans="1:14">
      <c r="A868" s="62">
        <v>2024</v>
      </c>
      <c r="B868" s="62">
        <v>4</v>
      </c>
      <c r="C868" s="62" t="s">
        <v>4</v>
      </c>
      <c r="D868" s="62" t="s">
        <v>3</v>
      </c>
      <c r="E868" s="62">
        <v>9.969999999999999</v>
      </c>
      <c r="F868" s="62">
        <v>3.4765</v>
      </c>
      <c r="I868" s="62">
        <v>2017</v>
      </c>
      <c r="J868" s="62">
        <v>8</v>
      </c>
      <c r="K868" s="62" t="s">
        <v>16</v>
      </c>
      <c r="L868" s="62" t="s">
        <v>3</v>
      </c>
      <c r="M868" s="62">
        <v>663.7379999999999</v>
      </c>
      <c r="N868" s="62">
        <v>116.15415</v>
      </c>
    </row>
    <row r="869" spans="1:14">
      <c r="A869" s="62">
        <v>2024</v>
      </c>
      <c r="B869" s="62">
        <v>6</v>
      </c>
      <c r="C869" s="62" t="s">
        <v>4</v>
      </c>
      <c r="D869" s="62" t="s">
        <v>3</v>
      </c>
      <c r="E869" s="62">
        <v>1.82</v>
      </c>
      <c r="F869" s="62">
        <v>0.3185</v>
      </c>
      <c r="I869" s="62">
        <v>2017</v>
      </c>
      <c r="J869" s="62">
        <v>9</v>
      </c>
      <c r="K869" s="62" t="s">
        <v>16</v>
      </c>
      <c r="L869" s="62" t="s">
        <v>3</v>
      </c>
      <c r="M869" s="62">
        <v>1839.247</v>
      </c>
      <c r="N869" s="62">
        <v>321.868225</v>
      </c>
    </row>
    <row r="870" spans="1:14">
      <c r="A870" s="62">
        <v>2024</v>
      </c>
      <c r="B870" s="62">
        <v>7</v>
      </c>
      <c r="C870" s="62" t="s">
        <v>4</v>
      </c>
      <c r="D870" s="62" t="s">
        <v>3</v>
      </c>
      <c r="E870" s="62">
        <v>50.3</v>
      </c>
      <c r="F870" s="62">
        <v>32.695</v>
      </c>
      <c r="I870" s="62">
        <v>2017</v>
      </c>
      <c r="J870" s="62">
        <v>10</v>
      </c>
      <c r="K870" s="62" t="s">
        <v>16</v>
      </c>
      <c r="L870" s="62" t="s">
        <v>3</v>
      </c>
      <c r="M870" s="62">
        <v>273.53</v>
      </c>
      <c r="N870" s="62">
        <v>47.86775</v>
      </c>
    </row>
    <row r="871" spans="1:14">
      <c r="A871" s="62">
        <v>2024</v>
      </c>
      <c r="B871" s="62">
        <v>8</v>
      </c>
      <c r="C871" s="62" t="s">
        <v>4</v>
      </c>
      <c r="D871" s="62" t="s">
        <v>3</v>
      </c>
      <c r="E871" s="62">
        <v>10.9</v>
      </c>
      <c r="F871" s="62">
        <v>7.085</v>
      </c>
      <c r="I871" s="62">
        <v>2017</v>
      </c>
      <c r="J871" s="62">
        <v>11</v>
      </c>
      <c r="K871" s="62" t="s">
        <v>16</v>
      </c>
      <c r="L871" s="62" t="s">
        <v>3</v>
      </c>
      <c r="M871" s="62">
        <v>433.755</v>
      </c>
      <c r="N871" s="62">
        <v>75.90712499999999</v>
      </c>
    </row>
    <row r="872" spans="1:14">
      <c r="A872" s="62">
        <v>2024</v>
      </c>
      <c r="B872" s="62">
        <v>9</v>
      </c>
      <c r="C872" s="62" t="s">
        <v>4</v>
      </c>
      <c r="D872" s="62" t="s">
        <v>3</v>
      </c>
      <c r="E872" s="62">
        <v>14.07</v>
      </c>
      <c r="F872" s="62">
        <v>5.254</v>
      </c>
      <c r="I872" s="62">
        <v>2017</v>
      </c>
      <c r="J872" s="62">
        <v>12</v>
      </c>
      <c r="K872" s="62" t="s">
        <v>16</v>
      </c>
      <c r="L872" s="62" t="s">
        <v>3</v>
      </c>
      <c r="M872" s="62">
        <v>194.339</v>
      </c>
      <c r="N872" s="62">
        <v>34.009325</v>
      </c>
    </row>
    <row r="873" spans="1:14">
      <c r="A873" s="62">
        <v>2024</v>
      </c>
      <c r="B873" s="62">
        <v>10</v>
      </c>
      <c r="C873" s="62" t="s">
        <v>4</v>
      </c>
      <c r="D873" s="62" t="s">
        <v>3</v>
      </c>
      <c r="E873" s="62">
        <v>120.86</v>
      </c>
      <c r="F873" s="62">
        <v>22.73075</v>
      </c>
      <c r="I873" s="62">
        <v>2018</v>
      </c>
      <c r="J873" s="62">
        <v>1</v>
      </c>
      <c r="K873" s="62" t="s">
        <v>16</v>
      </c>
      <c r="L873" s="62" t="s">
        <v>3</v>
      </c>
      <c r="M873" s="62">
        <v>387.1675</v>
      </c>
      <c r="N873" s="62">
        <v>67.7543125</v>
      </c>
    </row>
    <row r="874" spans="1:14">
      <c r="A874" s="62">
        <v>2024</v>
      </c>
      <c r="B874" s="62">
        <v>11</v>
      </c>
      <c r="C874" s="62" t="s">
        <v>4</v>
      </c>
      <c r="D874" s="62" t="s">
        <v>3</v>
      </c>
      <c r="E874" s="62">
        <v>157.627</v>
      </c>
      <c r="F874" s="62">
        <v>29.86795</v>
      </c>
      <c r="I874" s="62">
        <v>2018</v>
      </c>
      <c r="J874" s="62">
        <v>2</v>
      </c>
      <c r="K874" s="62" t="s">
        <v>16</v>
      </c>
      <c r="L874" s="62" t="s">
        <v>3</v>
      </c>
      <c r="M874" s="62">
        <v>408.455</v>
      </c>
      <c r="N874" s="62">
        <v>71.479625</v>
      </c>
    </row>
    <row r="875" spans="1:14">
      <c r="A875" s="62">
        <v>2024</v>
      </c>
      <c r="B875" s="62">
        <v>12</v>
      </c>
      <c r="C875" s="62" t="s">
        <v>4</v>
      </c>
      <c r="D875" s="62" t="s">
        <v>3</v>
      </c>
      <c r="E875" s="62">
        <v>197.87</v>
      </c>
      <c r="F875" s="62">
        <v>33.74975</v>
      </c>
      <c r="I875" s="62">
        <v>2018</v>
      </c>
      <c r="J875" s="62">
        <v>3</v>
      </c>
      <c r="K875" s="62" t="s">
        <v>16</v>
      </c>
      <c r="L875" s="62" t="s">
        <v>3</v>
      </c>
      <c r="M875" s="62">
        <v>239.1575</v>
      </c>
      <c r="N875" s="62">
        <v>41.8525625</v>
      </c>
    </row>
    <row r="876" spans="1:14">
      <c r="A876" s="62">
        <v>2025</v>
      </c>
      <c r="B876" s="62">
        <v>1</v>
      </c>
      <c r="C876" s="62" t="s">
        <v>4</v>
      </c>
      <c r="D876" s="62" t="s">
        <v>3</v>
      </c>
      <c r="E876" s="62">
        <v>215.69</v>
      </c>
      <c r="F876" s="62">
        <v>35.9865</v>
      </c>
      <c r="I876" s="62">
        <v>2018</v>
      </c>
      <c r="J876" s="62">
        <v>4</v>
      </c>
      <c r="K876" s="62" t="s">
        <v>16</v>
      </c>
      <c r="L876" s="62" t="s">
        <v>3</v>
      </c>
      <c r="M876" s="62">
        <v>110.8255</v>
      </c>
      <c r="N876" s="62">
        <v>19.3944625</v>
      </c>
    </row>
    <row r="877" spans="1:14">
      <c r="A877" s="62">
        <v>2025</v>
      </c>
      <c r="B877" s="62">
        <v>2</v>
      </c>
      <c r="C877" s="62" t="s">
        <v>4</v>
      </c>
      <c r="D877" s="62" t="s">
        <v>3</v>
      </c>
      <c r="E877" s="62">
        <v>264.954</v>
      </c>
      <c r="F877" s="62">
        <v>39.6885</v>
      </c>
      <c r="I877" s="62">
        <v>2018</v>
      </c>
      <c r="J877" s="62">
        <v>5</v>
      </c>
      <c r="K877" s="62" t="s">
        <v>16</v>
      </c>
      <c r="L877" s="62" t="s">
        <v>3</v>
      </c>
      <c r="M877" s="62">
        <v>168.7795</v>
      </c>
      <c r="N877" s="62">
        <v>29.5364125</v>
      </c>
    </row>
    <row r="878" spans="1:14">
      <c r="A878" s="62">
        <v>2025</v>
      </c>
      <c r="B878" s="62">
        <v>3</v>
      </c>
      <c r="C878" s="62" t="s">
        <v>4</v>
      </c>
      <c r="D878" s="62" t="s">
        <v>3</v>
      </c>
      <c r="E878" s="62">
        <v>276.8</v>
      </c>
      <c r="F878" s="62">
        <v>35.665</v>
      </c>
      <c r="I878" s="62">
        <v>2018</v>
      </c>
      <c r="J878" s="62">
        <v>6</v>
      </c>
      <c r="K878" s="62" t="s">
        <v>16</v>
      </c>
      <c r="L878" s="62" t="s">
        <v>3</v>
      </c>
      <c r="M878" s="62">
        <v>139.93</v>
      </c>
      <c r="N878" s="62">
        <v>24.48775</v>
      </c>
    </row>
    <row r="879" spans="1:14">
      <c r="A879" s="62">
        <v>2025</v>
      </c>
      <c r="B879" s="62">
        <v>4</v>
      </c>
      <c r="C879" s="62" t="s">
        <v>4</v>
      </c>
      <c r="D879" s="62" t="s">
        <v>3</v>
      </c>
      <c r="E879" s="62">
        <v>267.9686</v>
      </c>
      <c r="F879" s="62">
        <v>51.773505</v>
      </c>
      <c r="I879" s="62">
        <v>2018</v>
      </c>
      <c r="J879" s="62">
        <v>7</v>
      </c>
      <c r="K879" s="62" t="s">
        <v>16</v>
      </c>
      <c r="L879" s="62" t="s">
        <v>3</v>
      </c>
      <c r="M879" s="62">
        <v>247.77</v>
      </c>
      <c r="N879" s="62">
        <v>43.35975</v>
      </c>
    </row>
    <row r="880" spans="1:14">
      <c r="A880" s="62">
        <v>2025</v>
      </c>
      <c r="B880" s="62">
        <v>5</v>
      </c>
      <c r="C880" s="62" t="s">
        <v>4</v>
      </c>
      <c r="D880" s="62" t="s">
        <v>3</v>
      </c>
      <c r="E880" s="62">
        <v>193.38</v>
      </c>
      <c r="F880" s="62">
        <v>45.4915</v>
      </c>
      <c r="I880" s="62">
        <v>2018</v>
      </c>
      <c r="J880" s="62">
        <v>8</v>
      </c>
      <c r="K880" s="62" t="s">
        <v>16</v>
      </c>
      <c r="L880" s="62" t="s">
        <v>3</v>
      </c>
      <c r="M880" s="62">
        <v>365.89</v>
      </c>
      <c r="N880" s="62">
        <v>64.03075</v>
      </c>
    </row>
    <row r="881" spans="1:14">
      <c r="A881" s="62">
        <v>2025</v>
      </c>
      <c r="B881" s="62">
        <v>6</v>
      </c>
      <c r="C881" s="62" t="s">
        <v>4</v>
      </c>
      <c r="D881" s="62" t="s">
        <v>3</v>
      </c>
      <c r="E881" s="62">
        <v>111.1246</v>
      </c>
      <c r="F881" s="62">
        <v>21.991055</v>
      </c>
      <c r="I881" s="62">
        <v>2018</v>
      </c>
      <c r="J881" s="62">
        <v>9</v>
      </c>
      <c r="K881" s="62" t="s">
        <v>16</v>
      </c>
      <c r="L881" s="62" t="s">
        <v>3</v>
      </c>
      <c r="M881" s="62">
        <v>200.85</v>
      </c>
      <c r="N881" s="62">
        <v>35.14875</v>
      </c>
    </row>
    <row r="882" spans="1:14">
      <c r="A882" s="62">
        <v>2025</v>
      </c>
      <c r="B882" s="62">
        <v>7</v>
      </c>
      <c r="C882" s="62" t="s">
        <v>4</v>
      </c>
      <c r="D882" s="62" t="s">
        <v>3</v>
      </c>
      <c r="E882" s="62">
        <v>170.166</v>
      </c>
      <c r="F882" s="62">
        <v>43.59412500000001</v>
      </c>
      <c r="I882" s="62">
        <v>2018</v>
      </c>
      <c r="J882" s="62">
        <v>10</v>
      </c>
      <c r="K882" s="62" t="s">
        <v>16</v>
      </c>
      <c r="L882" s="62" t="s">
        <v>3</v>
      </c>
      <c r="M882" s="62">
        <v>151.8664</v>
      </c>
      <c r="N882" s="62">
        <v>26.57662</v>
      </c>
    </row>
    <row r="883" spans="1:14">
      <c r="A883" s="62">
        <v>2025</v>
      </c>
      <c r="B883" s="62">
        <v>8</v>
      </c>
      <c r="C883" s="62" t="s">
        <v>4</v>
      </c>
      <c r="D883" s="62" t="s">
        <v>3</v>
      </c>
      <c r="E883" s="62">
        <v>4.58</v>
      </c>
      <c r="F883" s="62">
        <v>1.39</v>
      </c>
      <c r="I883" s="62">
        <v>2018</v>
      </c>
      <c r="J883" s="62">
        <v>11</v>
      </c>
      <c r="K883" s="62" t="s">
        <v>16</v>
      </c>
      <c r="L883" s="62" t="s">
        <v>3</v>
      </c>
      <c r="M883" s="62">
        <v>98.247</v>
      </c>
      <c r="N883" s="62">
        <v>17.193225</v>
      </c>
    </row>
    <row r="884" spans="1:14">
      <c r="A884" s="62">
        <v>2025</v>
      </c>
      <c r="B884" s="62">
        <v>9</v>
      </c>
      <c r="C884" s="62" t="s">
        <v>4</v>
      </c>
      <c r="D884" s="62" t="s">
        <v>3</v>
      </c>
      <c r="E884" s="62">
        <v>7.8</v>
      </c>
      <c r="F884" s="62">
        <v>1.365</v>
      </c>
      <c r="I884" s="62">
        <v>2018</v>
      </c>
      <c r="J884" s="62">
        <v>12</v>
      </c>
      <c r="K884" s="62" t="s">
        <v>16</v>
      </c>
      <c r="L884" s="62" t="s">
        <v>3</v>
      </c>
      <c r="M884" s="62">
        <v>102.713</v>
      </c>
      <c r="N884" s="62">
        <v>17.974775</v>
      </c>
    </row>
    <row r="885" spans="1:14">
      <c r="A885" s="62">
        <v>2025</v>
      </c>
      <c r="B885" s="62">
        <v>10</v>
      </c>
      <c r="C885" s="62" t="s">
        <v>4</v>
      </c>
      <c r="D885" s="62" t="s">
        <v>3</v>
      </c>
      <c r="E885" s="62">
        <v>10.24</v>
      </c>
      <c r="F885" s="62">
        <v>6.4</v>
      </c>
      <c r="I885" s="62">
        <v>2019</v>
      </c>
      <c r="J885" s="62">
        <v>1</v>
      </c>
      <c r="K885" s="62" t="s">
        <v>16</v>
      </c>
      <c r="L885" s="62" t="s">
        <v>3</v>
      </c>
      <c r="M885" s="62">
        <v>601.59</v>
      </c>
      <c r="N885" s="62">
        <v>105.27825</v>
      </c>
    </row>
    <row r="886" spans="1:14">
      <c r="A886" s="62">
        <v>2025</v>
      </c>
      <c r="B886" s="62">
        <v>11</v>
      </c>
      <c r="C886" s="62" t="s">
        <v>4</v>
      </c>
      <c r="D886" s="62" t="s">
        <v>3</v>
      </c>
      <c r="E886" s="62">
        <v>2.04</v>
      </c>
      <c r="F886" s="62">
        <v>1.326</v>
      </c>
      <c r="I886" s="62">
        <v>2019</v>
      </c>
      <c r="J886" s="62">
        <v>2</v>
      </c>
      <c r="K886" s="62" t="s">
        <v>16</v>
      </c>
      <c r="L886" s="62" t="s">
        <v>3</v>
      </c>
      <c r="M886" s="62">
        <v>1491.4045</v>
      </c>
      <c r="N886" s="62">
        <v>260.9957875</v>
      </c>
    </row>
    <row r="887" spans="1:14">
      <c r="A887" s="62">
        <v>2026</v>
      </c>
      <c r="B887" s="62">
        <v>1</v>
      </c>
      <c r="C887" s="62" t="s">
        <v>4</v>
      </c>
      <c r="D887" s="62" t="s">
        <v>3</v>
      </c>
      <c r="E887" s="62">
        <v>29.58</v>
      </c>
      <c r="F887" s="62">
        <v>9.308</v>
      </c>
      <c r="I887" s="62">
        <v>2019</v>
      </c>
      <c r="J887" s="62">
        <v>3</v>
      </c>
      <c r="K887" s="62" t="s">
        <v>16</v>
      </c>
      <c r="L887" s="62" t="s">
        <v>3</v>
      </c>
      <c r="M887" s="62">
        <v>962.1523</v>
      </c>
      <c r="N887" s="62">
        <v>168.3766525</v>
      </c>
    </row>
    <row r="888" spans="1:14">
      <c r="A888" s="62">
        <v>2026</v>
      </c>
      <c r="B888" s="62">
        <v>2</v>
      </c>
      <c r="C888" s="62" t="s">
        <v>4</v>
      </c>
      <c r="D888" s="62" t="s">
        <v>3</v>
      </c>
      <c r="E888" s="62">
        <v>25.1</v>
      </c>
      <c r="F888" s="62">
        <v>4.3925</v>
      </c>
      <c r="I888" s="62">
        <v>2019</v>
      </c>
      <c r="J888" s="62">
        <v>4</v>
      </c>
      <c r="K888" s="62" t="s">
        <v>16</v>
      </c>
      <c r="L888" s="62" t="s">
        <v>3</v>
      </c>
      <c r="M888" s="62">
        <v>407.53</v>
      </c>
      <c r="N888" s="62">
        <v>71.31774999999999</v>
      </c>
    </row>
    <row r="889" spans="1:14">
      <c r="A889" s="62">
        <v>2026</v>
      </c>
      <c r="B889" s="62">
        <v>3</v>
      </c>
      <c r="C889" s="62" t="s">
        <v>4</v>
      </c>
      <c r="D889" s="62" t="s">
        <v>3</v>
      </c>
      <c r="E889" s="62">
        <v>38.548</v>
      </c>
      <c r="F889" s="62">
        <v>9.54505</v>
      </c>
      <c r="I889" s="62">
        <v>2019</v>
      </c>
      <c r="J889" s="62">
        <v>5</v>
      </c>
      <c r="K889" s="62" t="s">
        <v>16</v>
      </c>
      <c r="L889" s="62" t="s">
        <v>3</v>
      </c>
      <c r="M889" s="62">
        <v>182.67</v>
      </c>
      <c r="N889" s="62">
        <v>31.96725</v>
      </c>
    </row>
    <row r="890" spans="1:14">
      <c r="A890" s="62">
        <v>2026</v>
      </c>
      <c r="B890" s="62">
        <v>4</v>
      </c>
      <c r="C890" s="62" t="s">
        <v>4</v>
      </c>
      <c r="D890" s="62" t="s">
        <v>3</v>
      </c>
      <c r="E890" s="62">
        <v>2.2</v>
      </c>
      <c r="F890" s="62">
        <v>1.87</v>
      </c>
      <c r="I890" s="62">
        <v>2019</v>
      </c>
      <c r="J890" s="62">
        <v>6</v>
      </c>
      <c r="K890" s="62" t="s">
        <v>16</v>
      </c>
      <c r="L890" s="62" t="s">
        <v>3</v>
      </c>
      <c r="M890" s="62">
        <v>232.29</v>
      </c>
      <c r="N890" s="62">
        <v>40.65075</v>
      </c>
    </row>
    <row r="891" spans="1:14">
      <c r="A891" s="62">
        <v>2026</v>
      </c>
      <c r="B891" s="62">
        <v>5</v>
      </c>
      <c r="C891" s="62" t="s">
        <v>4</v>
      </c>
      <c r="D891" s="62" t="s">
        <v>3</v>
      </c>
      <c r="E891" s="62">
        <v>21.2</v>
      </c>
      <c r="F891" s="62">
        <v>5.395</v>
      </c>
      <c r="I891" s="62">
        <v>2019</v>
      </c>
      <c r="J891" s="62">
        <v>7</v>
      </c>
      <c r="K891" s="62" t="s">
        <v>16</v>
      </c>
      <c r="L891" s="62" t="s">
        <v>3</v>
      </c>
      <c r="M891" s="62">
        <v>270.8109</v>
      </c>
      <c r="N891" s="62">
        <v>47.39190749999999</v>
      </c>
    </row>
    <row r="892" spans="1:14">
      <c r="A892" s="62">
        <v>2026</v>
      </c>
      <c r="B892" s="62">
        <v>6</v>
      </c>
      <c r="C892" s="62" t="s">
        <v>4</v>
      </c>
      <c r="D892" s="62" t="s">
        <v>3</v>
      </c>
      <c r="E892" s="62">
        <v>224.3867</v>
      </c>
      <c r="F892" s="62">
        <v>41.9411725</v>
      </c>
      <c r="I892" s="62">
        <v>2019</v>
      </c>
      <c r="J892" s="62">
        <v>8</v>
      </c>
      <c r="K892" s="62" t="s">
        <v>16</v>
      </c>
      <c r="L892" s="62" t="s">
        <v>3</v>
      </c>
      <c r="M892" s="62">
        <v>125.9739</v>
      </c>
      <c r="N892" s="62">
        <v>22.0454325</v>
      </c>
    </row>
    <row r="893" spans="1:14">
      <c r="A893" s="62">
        <v>2026</v>
      </c>
      <c r="B893" s="62">
        <v>7</v>
      </c>
      <c r="C893" s="62" t="s">
        <v>4</v>
      </c>
      <c r="D893" s="62" t="s">
        <v>3</v>
      </c>
      <c r="E893" s="62">
        <v>0.704</v>
      </c>
      <c r="F893" s="62">
        <v>0.5983999999999999</v>
      </c>
      <c r="I893" s="62">
        <v>2019</v>
      </c>
      <c r="J893" s="62">
        <v>9</v>
      </c>
      <c r="K893" s="62" t="s">
        <v>16</v>
      </c>
      <c r="L893" s="62" t="s">
        <v>3</v>
      </c>
      <c r="M893" s="62">
        <v>249.619</v>
      </c>
      <c r="N893" s="62">
        <v>43.683325</v>
      </c>
    </row>
    <row r="894" spans="1:14">
      <c r="A894" s="62">
        <v>2014</v>
      </c>
      <c r="B894" s="62">
        <v>1</v>
      </c>
      <c r="C894" s="62" t="s">
        <v>5</v>
      </c>
      <c r="D894" s="62" t="s">
        <v>1</v>
      </c>
      <c r="E894" s="62">
        <v>358.495</v>
      </c>
      <c r="F894" s="62">
        <v>76.1575</v>
      </c>
      <c r="I894" s="62">
        <v>2019</v>
      </c>
      <c r="J894" s="62">
        <v>10</v>
      </c>
      <c r="K894" s="62" t="s">
        <v>16</v>
      </c>
      <c r="L894" s="62" t="s">
        <v>3</v>
      </c>
      <c r="M894" s="62">
        <v>156.48</v>
      </c>
      <c r="N894" s="62">
        <v>27.384</v>
      </c>
    </row>
    <row r="895" spans="1:14">
      <c r="A895" s="62">
        <v>2014</v>
      </c>
      <c r="B895" s="62">
        <v>2</v>
      </c>
      <c r="C895" s="62" t="s">
        <v>5</v>
      </c>
      <c r="D895" s="62" t="s">
        <v>1</v>
      </c>
      <c r="E895" s="62">
        <v>136.7022</v>
      </c>
      <c r="F895" s="62">
        <v>30.03451</v>
      </c>
      <c r="I895" s="62">
        <v>2019</v>
      </c>
      <c r="J895" s="62">
        <v>11</v>
      </c>
      <c r="K895" s="62" t="s">
        <v>16</v>
      </c>
      <c r="L895" s="62" t="s">
        <v>3</v>
      </c>
      <c r="M895" s="62">
        <v>103.195</v>
      </c>
      <c r="N895" s="62">
        <v>18.059125</v>
      </c>
    </row>
    <row r="896" spans="1:14">
      <c r="A896" s="62">
        <v>2014</v>
      </c>
      <c r="B896" s="62">
        <v>3</v>
      </c>
      <c r="C896" s="62" t="s">
        <v>5</v>
      </c>
      <c r="D896" s="62" t="s">
        <v>1</v>
      </c>
      <c r="E896" s="62">
        <v>974.8833999999999</v>
      </c>
      <c r="F896" s="62">
        <v>235.116405</v>
      </c>
      <c r="I896" s="62">
        <v>2019</v>
      </c>
      <c r="J896" s="62">
        <v>12</v>
      </c>
      <c r="K896" s="62" t="s">
        <v>16</v>
      </c>
      <c r="L896" s="62" t="s">
        <v>3</v>
      </c>
      <c r="M896" s="62">
        <v>137.6512</v>
      </c>
      <c r="N896" s="62">
        <v>24.08896</v>
      </c>
    </row>
    <row r="897" spans="1:14">
      <c r="A897" s="62">
        <v>2014</v>
      </c>
      <c r="B897" s="62">
        <v>4</v>
      </c>
      <c r="C897" s="62" t="s">
        <v>5</v>
      </c>
      <c r="D897" s="62" t="s">
        <v>1</v>
      </c>
      <c r="E897" s="62">
        <v>716.869</v>
      </c>
      <c r="F897" s="62">
        <v>187.729075</v>
      </c>
      <c r="I897" s="62">
        <v>2020</v>
      </c>
      <c r="J897" s="62">
        <v>1</v>
      </c>
      <c r="K897" s="62" t="s">
        <v>16</v>
      </c>
      <c r="L897" s="62" t="s">
        <v>3</v>
      </c>
      <c r="M897" s="62">
        <v>440.097</v>
      </c>
      <c r="N897" s="62">
        <v>77.01697499999999</v>
      </c>
    </row>
    <row r="898" spans="1:14">
      <c r="A898" s="62">
        <v>2014</v>
      </c>
      <c r="B898" s="62">
        <v>5</v>
      </c>
      <c r="C898" s="62" t="s">
        <v>5</v>
      </c>
      <c r="D898" s="62" t="s">
        <v>1</v>
      </c>
      <c r="E898" s="62">
        <v>630.977</v>
      </c>
      <c r="F898" s="62">
        <v>162.22935</v>
      </c>
      <c r="I898" s="62">
        <v>2020</v>
      </c>
      <c r="J898" s="62">
        <v>2</v>
      </c>
      <c r="K898" s="62" t="s">
        <v>16</v>
      </c>
      <c r="L898" s="62" t="s">
        <v>3</v>
      </c>
      <c r="M898" s="62">
        <v>481.57</v>
      </c>
      <c r="N898" s="62">
        <v>84.27475</v>
      </c>
    </row>
    <row r="899" spans="1:14">
      <c r="A899" s="62">
        <v>2014</v>
      </c>
      <c r="B899" s="62">
        <v>6</v>
      </c>
      <c r="C899" s="62" t="s">
        <v>5</v>
      </c>
      <c r="D899" s="62" t="s">
        <v>1</v>
      </c>
      <c r="E899" s="62">
        <v>356.7969</v>
      </c>
      <c r="F899" s="62">
        <v>100.31854</v>
      </c>
      <c r="I899" s="62">
        <v>2020</v>
      </c>
      <c r="J899" s="62">
        <v>3</v>
      </c>
      <c r="K899" s="62" t="s">
        <v>16</v>
      </c>
      <c r="L899" s="62" t="s">
        <v>3</v>
      </c>
      <c r="M899" s="62">
        <v>766.3184</v>
      </c>
      <c r="N899" s="62">
        <v>134.10572</v>
      </c>
    </row>
    <row r="900" spans="1:14">
      <c r="A900" s="62">
        <v>2014</v>
      </c>
      <c r="B900" s="62">
        <v>7</v>
      </c>
      <c r="C900" s="62" t="s">
        <v>5</v>
      </c>
      <c r="D900" s="62" t="s">
        <v>1</v>
      </c>
      <c r="E900" s="62">
        <v>128.812</v>
      </c>
      <c r="F900" s="62">
        <v>25.451225</v>
      </c>
      <c r="I900" s="62">
        <v>2020</v>
      </c>
      <c r="J900" s="62">
        <v>4</v>
      </c>
      <c r="K900" s="62" t="s">
        <v>16</v>
      </c>
      <c r="L900" s="62" t="s">
        <v>3</v>
      </c>
      <c r="M900" s="62">
        <v>3824.0884</v>
      </c>
      <c r="N900" s="62">
        <v>669.21547</v>
      </c>
    </row>
    <row r="901" spans="1:14">
      <c r="A901" s="62">
        <v>2014</v>
      </c>
      <c r="B901" s="62">
        <v>8</v>
      </c>
      <c r="C901" s="62" t="s">
        <v>5</v>
      </c>
      <c r="D901" s="62" t="s">
        <v>1</v>
      </c>
      <c r="E901" s="62">
        <v>427.6902</v>
      </c>
      <c r="F901" s="62">
        <v>75.738225</v>
      </c>
      <c r="I901" s="62">
        <v>2020</v>
      </c>
      <c r="J901" s="62">
        <v>5</v>
      </c>
      <c r="K901" s="62" t="s">
        <v>16</v>
      </c>
      <c r="L901" s="62" t="s">
        <v>3</v>
      </c>
      <c r="M901" s="62">
        <v>3808.3942</v>
      </c>
      <c r="N901" s="62">
        <v>666.468985</v>
      </c>
    </row>
    <row r="902" spans="1:14">
      <c r="A902" s="62">
        <v>2014</v>
      </c>
      <c r="B902" s="62">
        <v>9</v>
      </c>
      <c r="C902" s="62" t="s">
        <v>5</v>
      </c>
      <c r="D902" s="62" t="s">
        <v>1</v>
      </c>
      <c r="E902" s="62">
        <v>643.972</v>
      </c>
      <c r="F902" s="62">
        <v>173.3276</v>
      </c>
      <c r="I902" s="62">
        <v>2020</v>
      </c>
      <c r="J902" s="62">
        <v>6</v>
      </c>
      <c r="K902" s="62" t="s">
        <v>16</v>
      </c>
      <c r="L902" s="62" t="s">
        <v>3</v>
      </c>
      <c r="M902" s="62">
        <v>3633.115</v>
      </c>
      <c r="N902" s="62">
        <v>635.795125</v>
      </c>
    </row>
    <row r="903" spans="1:14">
      <c r="A903" s="62">
        <v>2014</v>
      </c>
      <c r="B903" s="62">
        <v>10</v>
      </c>
      <c r="C903" s="62" t="s">
        <v>5</v>
      </c>
      <c r="D903" s="62" t="s">
        <v>1</v>
      </c>
      <c r="E903" s="62">
        <v>925.146</v>
      </c>
      <c r="F903" s="62">
        <v>263.2502</v>
      </c>
      <c r="I903" s="62">
        <v>2020</v>
      </c>
      <c r="J903" s="62">
        <v>7</v>
      </c>
      <c r="K903" s="62" t="s">
        <v>16</v>
      </c>
      <c r="L903" s="62" t="s">
        <v>3</v>
      </c>
      <c r="M903" s="62">
        <v>3695.898</v>
      </c>
      <c r="N903" s="62">
        <v>646.78215</v>
      </c>
    </row>
    <row r="904" spans="1:14">
      <c r="A904" s="62">
        <v>2014</v>
      </c>
      <c r="B904" s="62">
        <v>11</v>
      </c>
      <c r="C904" s="62" t="s">
        <v>5</v>
      </c>
      <c r="D904" s="62" t="s">
        <v>1</v>
      </c>
      <c r="E904" s="62">
        <v>696.7935</v>
      </c>
      <c r="F904" s="62">
        <v>156.3983625</v>
      </c>
      <c r="I904" s="62">
        <v>2020</v>
      </c>
      <c r="J904" s="62">
        <v>8</v>
      </c>
      <c r="K904" s="62" t="s">
        <v>16</v>
      </c>
      <c r="L904" s="62" t="s">
        <v>3</v>
      </c>
      <c r="M904" s="62">
        <v>4045.0855</v>
      </c>
      <c r="N904" s="62">
        <v>707.8899624999999</v>
      </c>
    </row>
    <row r="905" spans="1:14">
      <c r="A905" s="62">
        <v>2014</v>
      </c>
      <c r="B905" s="62">
        <v>12</v>
      </c>
      <c r="C905" s="62" t="s">
        <v>5</v>
      </c>
      <c r="D905" s="62" t="s">
        <v>1</v>
      </c>
      <c r="E905" s="62">
        <v>39.63</v>
      </c>
      <c r="F905" s="62">
        <v>3.06975</v>
      </c>
      <c r="I905" s="62">
        <v>2020</v>
      </c>
      <c r="J905" s="62">
        <v>9</v>
      </c>
      <c r="K905" s="62" t="s">
        <v>16</v>
      </c>
      <c r="L905" s="62" t="s">
        <v>3</v>
      </c>
      <c r="M905" s="62">
        <v>4296.3175</v>
      </c>
      <c r="N905" s="62">
        <v>751.8555624999999</v>
      </c>
    </row>
    <row r="906" spans="1:14">
      <c r="A906" s="62">
        <v>2015</v>
      </c>
      <c r="B906" s="62">
        <v>1</v>
      </c>
      <c r="C906" s="62" t="s">
        <v>5</v>
      </c>
      <c r="D906" s="62" t="s">
        <v>1</v>
      </c>
      <c r="E906" s="62">
        <v>566.5443</v>
      </c>
      <c r="F906" s="62">
        <v>169.604015</v>
      </c>
      <c r="I906" s="62">
        <v>2020</v>
      </c>
      <c r="J906" s="62">
        <v>10</v>
      </c>
      <c r="K906" s="62" t="s">
        <v>16</v>
      </c>
      <c r="L906" s="62" t="s">
        <v>3</v>
      </c>
      <c r="M906" s="62">
        <v>4069.7448</v>
      </c>
      <c r="N906" s="62">
        <v>712.20534</v>
      </c>
    </row>
    <row r="907" spans="1:14">
      <c r="A907" s="62">
        <v>2015</v>
      </c>
      <c r="B907" s="62">
        <v>2</v>
      </c>
      <c r="C907" s="62" t="s">
        <v>5</v>
      </c>
      <c r="D907" s="62" t="s">
        <v>1</v>
      </c>
      <c r="E907" s="62">
        <v>268.8762</v>
      </c>
      <c r="F907" s="62">
        <v>77.022335</v>
      </c>
      <c r="I907" s="62">
        <v>2020</v>
      </c>
      <c r="J907" s="62">
        <v>11</v>
      </c>
      <c r="K907" s="62" t="s">
        <v>16</v>
      </c>
      <c r="L907" s="62" t="s">
        <v>3</v>
      </c>
      <c r="M907" s="62">
        <v>3627.1555</v>
      </c>
      <c r="N907" s="62">
        <v>634.7522124999999</v>
      </c>
    </row>
    <row r="908" spans="1:14">
      <c r="A908" s="62">
        <v>2015</v>
      </c>
      <c r="B908" s="62">
        <v>3</v>
      </c>
      <c r="C908" s="62" t="s">
        <v>5</v>
      </c>
      <c r="D908" s="62" t="s">
        <v>1</v>
      </c>
      <c r="E908" s="62">
        <v>400.068</v>
      </c>
      <c r="F908" s="62">
        <v>114.92175</v>
      </c>
      <c r="I908" s="62">
        <v>2020</v>
      </c>
      <c r="J908" s="62">
        <v>12</v>
      </c>
      <c r="K908" s="62" t="s">
        <v>16</v>
      </c>
      <c r="L908" s="62" t="s">
        <v>3</v>
      </c>
      <c r="M908" s="62">
        <v>3536.6335</v>
      </c>
      <c r="N908" s="62">
        <v>618.9108625</v>
      </c>
    </row>
    <row r="909" spans="1:14">
      <c r="A909" s="62">
        <v>2015</v>
      </c>
      <c r="B909" s="62">
        <v>4</v>
      </c>
      <c r="C909" s="62" t="s">
        <v>5</v>
      </c>
      <c r="D909" s="62" t="s">
        <v>1</v>
      </c>
      <c r="E909" s="62">
        <v>457.9</v>
      </c>
      <c r="F909" s="62">
        <v>110.7275</v>
      </c>
      <c r="I909" s="62">
        <v>2021</v>
      </c>
      <c r="J909" s="62">
        <v>1</v>
      </c>
      <c r="K909" s="62" t="s">
        <v>16</v>
      </c>
      <c r="L909" s="62" t="s">
        <v>3</v>
      </c>
      <c r="M909" s="62">
        <v>3482.443</v>
      </c>
      <c r="N909" s="62">
        <v>609.4275249999999</v>
      </c>
    </row>
    <row r="910" spans="1:14">
      <c r="A910" s="62">
        <v>2015</v>
      </c>
      <c r="B910" s="62">
        <v>5</v>
      </c>
      <c r="C910" s="62" t="s">
        <v>5</v>
      </c>
      <c r="D910" s="62" t="s">
        <v>1</v>
      </c>
      <c r="E910" s="62">
        <v>327.277</v>
      </c>
      <c r="F910" s="62">
        <v>98.01885</v>
      </c>
      <c r="I910" s="62">
        <v>2021</v>
      </c>
      <c r="J910" s="62">
        <v>2</v>
      </c>
      <c r="K910" s="62" t="s">
        <v>16</v>
      </c>
      <c r="L910" s="62" t="s">
        <v>3</v>
      </c>
      <c r="M910" s="62">
        <v>5472.7352</v>
      </c>
      <c r="N910" s="62">
        <v>957.72866</v>
      </c>
    </row>
    <row r="911" spans="1:14">
      <c r="A911" s="62">
        <v>2015</v>
      </c>
      <c r="B911" s="62">
        <v>6</v>
      </c>
      <c r="C911" s="62" t="s">
        <v>5</v>
      </c>
      <c r="D911" s="62" t="s">
        <v>1</v>
      </c>
      <c r="E911" s="62">
        <v>328.0416</v>
      </c>
      <c r="F911" s="62">
        <v>97.742985</v>
      </c>
      <c r="I911" s="62">
        <v>2021</v>
      </c>
      <c r="J911" s="62">
        <v>3</v>
      </c>
      <c r="K911" s="62" t="s">
        <v>16</v>
      </c>
      <c r="L911" s="62" t="s">
        <v>3</v>
      </c>
      <c r="M911" s="62">
        <v>3403.1292</v>
      </c>
      <c r="N911" s="62">
        <v>595.54761</v>
      </c>
    </row>
    <row r="912" spans="1:14">
      <c r="A912" s="62">
        <v>2015</v>
      </c>
      <c r="B912" s="62">
        <v>7</v>
      </c>
      <c r="C912" s="62" t="s">
        <v>5</v>
      </c>
      <c r="D912" s="62" t="s">
        <v>1</v>
      </c>
      <c r="E912" s="62">
        <v>242.4085</v>
      </c>
      <c r="F912" s="62">
        <v>60.484675</v>
      </c>
      <c r="I912" s="62">
        <v>2021</v>
      </c>
      <c r="J912" s="62">
        <v>4</v>
      </c>
      <c r="K912" s="62" t="s">
        <v>16</v>
      </c>
      <c r="L912" s="62" t="s">
        <v>3</v>
      </c>
      <c r="M912" s="62">
        <v>1586.5942</v>
      </c>
      <c r="N912" s="62">
        <v>277.653985</v>
      </c>
    </row>
    <row r="913" spans="1:14">
      <c r="A913" s="62">
        <v>2015</v>
      </c>
      <c r="B913" s="62">
        <v>8</v>
      </c>
      <c r="C913" s="62" t="s">
        <v>5</v>
      </c>
      <c r="D913" s="62" t="s">
        <v>1</v>
      </c>
      <c r="E913" s="62">
        <v>514.6175000000001</v>
      </c>
      <c r="F913" s="62">
        <v>110.7665125</v>
      </c>
      <c r="I913" s="62">
        <v>2021</v>
      </c>
      <c r="J913" s="62">
        <v>5</v>
      </c>
      <c r="K913" s="62" t="s">
        <v>16</v>
      </c>
      <c r="L913" s="62" t="s">
        <v>3</v>
      </c>
      <c r="M913" s="62">
        <v>603.0228</v>
      </c>
      <c r="N913" s="62">
        <v>105.52899</v>
      </c>
    </row>
    <row r="914" spans="1:14">
      <c r="A914" s="62">
        <v>2015</v>
      </c>
      <c r="B914" s="62">
        <v>9</v>
      </c>
      <c r="C914" s="62" t="s">
        <v>5</v>
      </c>
      <c r="D914" s="62" t="s">
        <v>1</v>
      </c>
      <c r="E914" s="62">
        <v>1031.6581</v>
      </c>
      <c r="F914" s="62">
        <v>198.2402425</v>
      </c>
      <c r="I914" s="62">
        <v>2021</v>
      </c>
      <c r="J914" s="62">
        <v>6</v>
      </c>
      <c r="K914" s="62" t="s">
        <v>16</v>
      </c>
      <c r="L914" s="62" t="s">
        <v>3</v>
      </c>
      <c r="M914" s="62">
        <v>637.903</v>
      </c>
      <c r="N914" s="62">
        <v>111.633025</v>
      </c>
    </row>
    <row r="915" spans="1:14">
      <c r="A915" s="62">
        <v>2015</v>
      </c>
      <c r="B915" s="62">
        <v>10</v>
      </c>
      <c r="C915" s="62" t="s">
        <v>5</v>
      </c>
      <c r="D915" s="62" t="s">
        <v>1</v>
      </c>
      <c r="E915" s="62">
        <v>1904.4219</v>
      </c>
      <c r="F915" s="62">
        <v>385.54092</v>
      </c>
      <c r="I915" s="62">
        <v>2021</v>
      </c>
      <c r="J915" s="62">
        <v>7</v>
      </c>
      <c r="K915" s="62" t="s">
        <v>16</v>
      </c>
      <c r="L915" s="62" t="s">
        <v>3</v>
      </c>
      <c r="M915" s="62">
        <v>532.427</v>
      </c>
      <c r="N915" s="62">
        <v>93.174725</v>
      </c>
    </row>
    <row r="916" spans="1:14">
      <c r="A916" s="62">
        <v>2015</v>
      </c>
      <c r="B916" s="62">
        <v>11</v>
      </c>
      <c r="C916" s="62" t="s">
        <v>5</v>
      </c>
      <c r="D916" s="62" t="s">
        <v>1</v>
      </c>
      <c r="E916" s="62">
        <v>731.6922</v>
      </c>
      <c r="F916" s="62">
        <v>140.31513</v>
      </c>
      <c r="I916" s="62">
        <v>2021</v>
      </c>
      <c r="J916" s="62">
        <v>8</v>
      </c>
      <c r="K916" s="62" t="s">
        <v>16</v>
      </c>
      <c r="L916" s="62" t="s">
        <v>3</v>
      </c>
      <c r="M916" s="62">
        <v>632.3340000000001</v>
      </c>
      <c r="N916" s="62">
        <v>110.65845</v>
      </c>
    </row>
    <row r="917" spans="1:14">
      <c r="A917" s="62">
        <v>2015</v>
      </c>
      <c r="B917" s="62">
        <v>12</v>
      </c>
      <c r="C917" s="62" t="s">
        <v>5</v>
      </c>
      <c r="D917" s="62" t="s">
        <v>1</v>
      </c>
      <c r="E917" s="62">
        <v>400.0004</v>
      </c>
      <c r="F917" s="62">
        <v>90.96558</v>
      </c>
      <c r="I917" s="62">
        <v>2021</v>
      </c>
      <c r="J917" s="62">
        <v>9</v>
      </c>
      <c r="K917" s="62" t="s">
        <v>16</v>
      </c>
      <c r="L917" s="62" t="s">
        <v>3</v>
      </c>
      <c r="M917" s="62">
        <v>1521.577</v>
      </c>
      <c r="N917" s="62">
        <v>266.275975</v>
      </c>
    </row>
    <row r="918" spans="1:14">
      <c r="A918" s="62">
        <v>2016</v>
      </c>
      <c r="B918" s="62">
        <v>1</v>
      </c>
      <c r="C918" s="62" t="s">
        <v>5</v>
      </c>
      <c r="D918" s="62" t="s">
        <v>1</v>
      </c>
      <c r="E918" s="62">
        <v>83.36799999999999</v>
      </c>
      <c r="F918" s="62">
        <v>9.188625</v>
      </c>
      <c r="I918" s="62">
        <v>2021</v>
      </c>
      <c r="J918" s="62">
        <v>10</v>
      </c>
      <c r="K918" s="62" t="s">
        <v>16</v>
      </c>
      <c r="L918" s="62" t="s">
        <v>3</v>
      </c>
      <c r="M918" s="62">
        <v>1272.268</v>
      </c>
      <c r="N918" s="62">
        <v>222.6469</v>
      </c>
    </row>
    <row r="919" spans="1:14">
      <c r="A919" s="62">
        <v>2016</v>
      </c>
      <c r="B919" s="62">
        <v>2</v>
      </c>
      <c r="C919" s="62" t="s">
        <v>5</v>
      </c>
      <c r="D919" s="62" t="s">
        <v>1</v>
      </c>
      <c r="E919" s="62">
        <v>261</v>
      </c>
      <c r="F919" s="62">
        <v>56.296</v>
      </c>
      <c r="I919" s="62">
        <v>2021</v>
      </c>
      <c r="J919" s="62">
        <v>11</v>
      </c>
      <c r="K919" s="62" t="s">
        <v>16</v>
      </c>
      <c r="L919" s="62" t="s">
        <v>3</v>
      </c>
      <c r="M919" s="62">
        <v>920.6</v>
      </c>
      <c r="N919" s="62">
        <v>161.105</v>
      </c>
    </row>
    <row r="920" spans="1:14">
      <c r="A920" s="62">
        <v>2016</v>
      </c>
      <c r="B920" s="62">
        <v>3</v>
      </c>
      <c r="C920" s="62" t="s">
        <v>5</v>
      </c>
      <c r="D920" s="62" t="s">
        <v>1</v>
      </c>
      <c r="E920" s="62">
        <v>911.6799</v>
      </c>
      <c r="F920" s="62">
        <v>203.14438</v>
      </c>
      <c r="I920" s="62">
        <v>2021</v>
      </c>
      <c r="J920" s="62">
        <v>12</v>
      </c>
      <c r="K920" s="62" t="s">
        <v>16</v>
      </c>
      <c r="L920" s="62" t="s">
        <v>3</v>
      </c>
      <c r="M920" s="62">
        <v>724.4874</v>
      </c>
      <c r="N920" s="62">
        <v>126.785295</v>
      </c>
    </row>
    <row r="921" spans="1:14">
      <c r="A921" s="62">
        <v>2016</v>
      </c>
      <c r="B921" s="62">
        <v>4</v>
      </c>
      <c r="C921" s="62" t="s">
        <v>5</v>
      </c>
      <c r="D921" s="62" t="s">
        <v>1</v>
      </c>
      <c r="E921" s="62">
        <v>1370.5041</v>
      </c>
      <c r="F921" s="62">
        <v>357.9271675</v>
      </c>
      <c r="I921" s="62">
        <v>2022</v>
      </c>
      <c r="J921" s="62">
        <v>1</v>
      </c>
      <c r="K921" s="62" t="s">
        <v>16</v>
      </c>
      <c r="L921" s="62" t="s">
        <v>3</v>
      </c>
      <c r="M921" s="62">
        <v>642.1799999999999</v>
      </c>
      <c r="N921" s="62">
        <v>112.3815</v>
      </c>
    </row>
    <row r="922" spans="1:14">
      <c r="A922" s="62">
        <v>2016</v>
      </c>
      <c r="B922" s="62">
        <v>5</v>
      </c>
      <c r="C922" s="62" t="s">
        <v>5</v>
      </c>
      <c r="D922" s="62" t="s">
        <v>1</v>
      </c>
      <c r="E922" s="62">
        <v>823.4682</v>
      </c>
      <c r="F922" s="62">
        <v>257.575545</v>
      </c>
      <c r="I922" s="62">
        <v>2022</v>
      </c>
      <c r="J922" s="62">
        <v>2</v>
      </c>
      <c r="K922" s="62" t="s">
        <v>16</v>
      </c>
      <c r="L922" s="62" t="s">
        <v>3</v>
      </c>
      <c r="M922" s="62">
        <v>438.298</v>
      </c>
      <c r="N922" s="62">
        <v>76.70215</v>
      </c>
    </row>
    <row r="923" spans="1:14">
      <c r="A923" s="62">
        <v>2016</v>
      </c>
      <c r="B923" s="62">
        <v>6</v>
      </c>
      <c r="C923" s="62" t="s">
        <v>5</v>
      </c>
      <c r="D923" s="62" t="s">
        <v>1</v>
      </c>
      <c r="E923" s="62">
        <v>533.9375</v>
      </c>
      <c r="F923" s="62">
        <v>160.6235</v>
      </c>
      <c r="I923" s="62">
        <v>2022</v>
      </c>
      <c r="J923" s="62">
        <v>3</v>
      </c>
      <c r="K923" s="62" t="s">
        <v>16</v>
      </c>
      <c r="L923" s="62" t="s">
        <v>3</v>
      </c>
      <c r="M923" s="62">
        <v>511.397</v>
      </c>
      <c r="N923" s="62">
        <v>89.49447499999999</v>
      </c>
    </row>
    <row r="924" spans="1:14">
      <c r="A924" s="62">
        <v>2016</v>
      </c>
      <c r="B924" s="62">
        <v>7</v>
      </c>
      <c r="C924" s="62" t="s">
        <v>5</v>
      </c>
      <c r="D924" s="62" t="s">
        <v>1</v>
      </c>
      <c r="E924" s="62">
        <v>425.945</v>
      </c>
      <c r="F924" s="62">
        <v>102.096375</v>
      </c>
      <c r="I924" s="62">
        <v>2022</v>
      </c>
      <c r="J924" s="62">
        <v>4</v>
      </c>
      <c r="K924" s="62" t="s">
        <v>16</v>
      </c>
      <c r="L924" s="62" t="s">
        <v>3</v>
      </c>
      <c r="M924" s="62">
        <v>729.13</v>
      </c>
      <c r="N924" s="62">
        <v>127.59775</v>
      </c>
    </row>
    <row r="925" spans="1:14">
      <c r="A925" s="62">
        <v>2016</v>
      </c>
      <c r="B925" s="62">
        <v>8</v>
      </c>
      <c r="C925" s="62" t="s">
        <v>5</v>
      </c>
      <c r="D925" s="62" t="s">
        <v>1</v>
      </c>
      <c r="E925" s="62">
        <v>139.15</v>
      </c>
      <c r="F925" s="62">
        <v>41.05725</v>
      </c>
      <c r="I925" s="62">
        <v>2022</v>
      </c>
      <c r="J925" s="62">
        <v>5</v>
      </c>
      <c r="K925" s="62" t="s">
        <v>16</v>
      </c>
      <c r="L925" s="62" t="s">
        <v>3</v>
      </c>
      <c r="M925" s="62">
        <v>707.8579999999999</v>
      </c>
      <c r="N925" s="62">
        <v>123.87515</v>
      </c>
    </row>
    <row r="926" spans="1:14">
      <c r="A926" s="62">
        <v>2016</v>
      </c>
      <c r="B926" s="62">
        <v>9</v>
      </c>
      <c r="C926" s="62" t="s">
        <v>5</v>
      </c>
      <c r="D926" s="62" t="s">
        <v>1</v>
      </c>
      <c r="E926" s="62">
        <v>606.7538</v>
      </c>
      <c r="F926" s="62">
        <v>129.2470025</v>
      </c>
      <c r="I926" s="62">
        <v>2022</v>
      </c>
      <c r="J926" s="62">
        <v>6</v>
      </c>
      <c r="K926" s="62" t="s">
        <v>16</v>
      </c>
      <c r="L926" s="62" t="s">
        <v>3</v>
      </c>
      <c r="M926" s="62">
        <v>389.12</v>
      </c>
      <c r="N926" s="62">
        <v>68.096</v>
      </c>
    </row>
    <row r="927" spans="1:14">
      <c r="A927" s="62">
        <v>2016</v>
      </c>
      <c r="B927" s="62">
        <v>10</v>
      </c>
      <c r="C927" s="62" t="s">
        <v>5</v>
      </c>
      <c r="D927" s="62" t="s">
        <v>1</v>
      </c>
      <c r="E927" s="62">
        <v>770.3846</v>
      </c>
      <c r="F927" s="62">
        <v>203.6362675</v>
      </c>
      <c r="I927" s="62">
        <v>2022</v>
      </c>
      <c r="J927" s="62">
        <v>7</v>
      </c>
      <c r="K927" s="62" t="s">
        <v>16</v>
      </c>
      <c r="L927" s="62" t="s">
        <v>3</v>
      </c>
      <c r="M927" s="62">
        <v>280.675</v>
      </c>
      <c r="N927" s="62">
        <v>49.118125</v>
      </c>
    </row>
    <row r="928" spans="1:14">
      <c r="A928" s="62">
        <v>2016</v>
      </c>
      <c r="B928" s="62">
        <v>11</v>
      </c>
      <c r="C928" s="62" t="s">
        <v>5</v>
      </c>
      <c r="D928" s="62" t="s">
        <v>1</v>
      </c>
      <c r="E928" s="62">
        <v>430.4285</v>
      </c>
      <c r="F928" s="62">
        <v>112.4754</v>
      </c>
      <c r="I928" s="62">
        <v>2022</v>
      </c>
      <c r="J928" s="62">
        <v>8</v>
      </c>
      <c r="K928" s="62" t="s">
        <v>16</v>
      </c>
      <c r="L928" s="62" t="s">
        <v>3</v>
      </c>
      <c r="M928" s="62">
        <v>219.27</v>
      </c>
      <c r="N928" s="62">
        <v>38.37224999999999</v>
      </c>
    </row>
    <row r="929" spans="1:14">
      <c r="A929" s="62">
        <v>2016</v>
      </c>
      <c r="B929" s="62">
        <v>12</v>
      </c>
      <c r="C929" s="62" t="s">
        <v>5</v>
      </c>
      <c r="D929" s="62" t="s">
        <v>1</v>
      </c>
      <c r="E929" s="62">
        <v>66.735</v>
      </c>
      <c r="F929" s="62">
        <v>29.234625</v>
      </c>
      <c r="I929" s="62">
        <v>2022</v>
      </c>
      <c r="J929" s="62">
        <v>9</v>
      </c>
      <c r="K929" s="62" t="s">
        <v>16</v>
      </c>
      <c r="L929" s="62" t="s">
        <v>3</v>
      </c>
      <c r="M929" s="62">
        <v>340.979</v>
      </c>
      <c r="N929" s="62">
        <v>59.671325</v>
      </c>
    </row>
    <row r="930" spans="1:14">
      <c r="A930" s="62">
        <v>2017</v>
      </c>
      <c r="B930" s="62">
        <v>1</v>
      </c>
      <c r="C930" s="62" t="s">
        <v>5</v>
      </c>
      <c r="D930" s="62" t="s">
        <v>1</v>
      </c>
      <c r="E930" s="62">
        <v>192.5</v>
      </c>
      <c r="F930" s="62">
        <v>40.2125</v>
      </c>
      <c r="I930" s="62">
        <v>2022</v>
      </c>
      <c r="J930" s="62">
        <v>10</v>
      </c>
      <c r="K930" s="62" t="s">
        <v>16</v>
      </c>
      <c r="L930" s="62" t="s">
        <v>3</v>
      </c>
      <c r="M930" s="62">
        <v>228.06</v>
      </c>
      <c r="N930" s="62">
        <v>39.9105</v>
      </c>
    </row>
    <row r="931" spans="1:14">
      <c r="A931" s="62">
        <v>2017</v>
      </c>
      <c r="B931" s="62">
        <v>2</v>
      </c>
      <c r="C931" s="62" t="s">
        <v>5</v>
      </c>
      <c r="D931" s="62" t="s">
        <v>1</v>
      </c>
      <c r="E931" s="62">
        <v>204.61</v>
      </c>
      <c r="F931" s="62">
        <v>46.482375</v>
      </c>
      <c r="I931" s="62">
        <v>2022</v>
      </c>
      <c r="J931" s="62">
        <v>11</v>
      </c>
      <c r="K931" s="62" t="s">
        <v>16</v>
      </c>
      <c r="L931" s="62" t="s">
        <v>3</v>
      </c>
      <c r="M931" s="62">
        <v>350.35</v>
      </c>
      <c r="N931" s="62">
        <v>61.31125</v>
      </c>
    </row>
    <row r="932" spans="1:14">
      <c r="A932" s="62">
        <v>2017</v>
      </c>
      <c r="B932" s="62">
        <v>3</v>
      </c>
      <c r="C932" s="62" t="s">
        <v>5</v>
      </c>
      <c r="D932" s="62" t="s">
        <v>1</v>
      </c>
      <c r="E932" s="62">
        <v>510.896</v>
      </c>
      <c r="F932" s="62">
        <v>108.9853</v>
      </c>
      <c r="I932" s="62">
        <v>2022</v>
      </c>
      <c r="J932" s="62">
        <v>12</v>
      </c>
      <c r="K932" s="62" t="s">
        <v>16</v>
      </c>
      <c r="L932" s="62" t="s">
        <v>3</v>
      </c>
      <c r="M932" s="62">
        <v>988.8375</v>
      </c>
      <c r="N932" s="62">
        <v>173.0465625</v>
      </c>
    </row>
    <row r="933" spans="1:14">
      <c r="A933" s="62">
        <v>2017</v>
      </c>
      <c r="B933" s="62">
        <v>4</v>
      </c>
      <c r="C933" s="62" t="s">
        <v>5</v>
      </c>
      <c r="D933" s="62" t="s">
        <v>1</v>
      </c>
      <c r="E933" s="62">
        <v>384.678</v>
      </c>
      <c r="F933" s="62">
        <v>89.909525</v>
      </c>
      <c r="I933" s="62">
        <v>2023</v>
      </c>
      <c r="J933" s="62">
        <v>1</v>
      </c>
      <c r="K933" s="62" t="s">
        <v>16</v>
      </c>
      <c r="L933" s="62" t="s">
        <v>3</v>
      </c>
      <c r="M933" s="62">
        <v>892.9349999999999</v>
      </c>
      <c r="N933" s="62">
        <v>156.263625</v>
      </c>
    </row>
    <row r="934" spans="1:14">
      <c r="A934" s="62">
        <v>2017</v>
      </c>
      <c r="B934" s="62">
        <v>5</v>
      </c>
      <c r="C934" s="62" t="s">
        <v>5</v>
      </c>
      <c r="D934" s="62" t="s">
        <v>1</v>
      </c>
      <c r="E934" s="62">
        <v>354.6425</v>
      </c>
      <c r="F934" s="62">
        <v>87.69825</v>
      </c>
      <c r="I934" s="62">
        <v>2023</v>
      </c>
      <c r="J934" s="62">
        <v>2</v>
      </c>
      <c r="K934" s="62" t="s">
        <v>16</v>
      </c>
      <c r="L934" s="62" t="s">
        <v>3</v>
      </c>
      <c r="M934" s="62">
        <v>622.385</v>
      </c>
      <c r="N934" s="62">
        <v>108.917375</v>
      </c>
    </row>
    <row r="935" spans="1:14">
      <c r="A935" s="62">
        <v>2017</v>
      </c>
      <c r="B935" s="62">
        <v>6</v>
      </c>
      <c r="C935" s="62" t="s">
        <v>5</v>
      </c>
      <c r="D935" s="62" t="s">
        <v>1</v>
      </c>
      <c r="E935" s="62">
        <v>111.749</v>
      </c>
      <c r="F935" s="62">
        <v>42.2317</v>
      </c>
      <c r="I935" s="62">
        <v>2023</v>
      </c>
      <c r="J935" s="62">
        <v>3</v>
      </c>
      <c r="K935" s="62" t="s">
        <v>16</v>
      </c>
      <c r="L935" s="62" t="s">
        <v>3</v>
      </c>
      <c r="M935" s="62">
        <v>780.8819999999999</v>
      </c>
      <c r="N935" s="62">
        <v>136.65435</v>
      </c>
    </row>
    <row r="936" spans="1:14">
      <c r="A936" s="62">
        <v>2017</v>
      </c>
      <c r="B936" s="62">
        <v>7</v>
      </c>
      <c r="C936" s="62" t="s">
        <v>5</v>
      </c>
      <c r="D936" s="62" t="s">
        <v>1</v>
      </c>
      <c r="E936" s="62">
        <v>202.0164</v>
      </c>
      <c r="F936" s="62">
        <v>60.9172725</v>
      </c>
      <c r="I936" s="62">
        <v>2023</v>
      </c>
      <c r="J936" s="62">
        <v>4</v>
      </c>
      <c r="K936" s="62" t="s">
        <v>16</v>
      </c>
      <c r="L936" s="62" t="s">
        <v>3</v>
      </c>
      <c r="M936" s="62">
        <v>649.23</v>
      </c>
      <c r="N936" s="62">
        <v>113.61525</v>
      </c>
    </row>
    <row r="937" spans="1:14">
      <c r="A937" s="62">
        <v>2017</v>
      </c>
      <c r="B937" s="62">
        <v>8</v>
      </c>
      <c r="C937" s="62" t="s">
        <v>5</v>
      </c>
      <c r="D937" s="62" t="s">
        <v>1</v>
      </c>
      <c r="E937" s="62">
        <v>38.25</v>
      </c>
      <c r="F937" s="62">
        <v>6.69375</v>
      </c>
      <c r="I937" s="62">
        <v>2023</v>
      </c>
      <c r="J937" s="62">
        <v>5</v>
      </c>
      <c r="K937" s="62" t="s">
        <v>16</v>
      </c>
      <c r="L937" s="62" t="s">
        <v>3</v>
      </c>
      <c r="M937" s="62">
        <v>351.005</v>
      </c>
      <c r="N937" s="62">
        <v>61.425875</v>
      </c>
    </row>
    <row r="938" spans="1:14">
      <c r="A938" s="62">
        <v>2017</v>
      </c>
      <c r="B938" s="62">
        <v>9</v>
      </c>
      <c r="C938" s="62" t="s">
        <v>5</v>
      </c>
      <c r="D938" s="62" t="s">
        <v>1</v>
      </c>
      <c r="E938" s="62">
        <v>569.282</v>
      </c>
      <c r="F938" s="62">
        <v>90.30782499999999</v>
      </c>
      <c r="I938" s="62">
        <v>2023</v>
      </c>
      <c r="J938" s="62">
        <v>6</v>
      </c>
      <c r="K938" s="62" t="s">
        <v>16</v>
      </c>
      <c r="L938" s="62" t="s">
        <v>3</v>
      </c>
      <c r="M938" s="62">
        <v>586.7545</v>
      </c>
      <c r="N938" s="62">
        <v>102.6820375</v>
      </c>
    </row>
    <row r="939" spans="1:14">
      <c r="A939" s="62">
        <v>2017</v>
      </c>
      <c r="B939" s="62">
        <v>10</v>
      </c>
      <c r="C939" s="62" t="s">
        <v>5</v>
      </c>
      <c r="D939" s="62" t="s">
        <v>1</v>
      </c>
      <c r="E939" s="62">
        <v>1436.1396</v>
      </c>
      <c r="F939" s="62">
        <v>277.68886</v>
      </c>
      <c r="I939" s="62">
        <v>2023</v>
      </c>
      <c r="J939" s="62">
        <v>7</v>
      </c>
      <c r="K939" s="62" t="s">
        <v>16</v>
      </c>
      <c r="L939" s="62" t="s">
        <v>3</v>
      </c>
      <c r="M939" s="62">
        <v>452.72</v>
      </c>
      <c r="N939" s="62">
        <v>79.226</v>
      </c>
    </row>
    <row r="940" spans="1:14">
      <c r="A940" s="62">
        <v>2017</v>
      </c>
      <c r="B940" s="62">
        <v>11</v>
      </c>
      <c r="C940" s="62" t="s">
        <v>5</v>
      </c>
      <c r="D940" s="62" t="s">
        <v>1</v>
      </c>
      <c r="E940" s="62">
        <v>700.088</v>
      </c>
      <c r="F940" s="62">
        <v>129.196375</v>
      </c>
      <c r="I940" s="62">
        <v>2023</v>
      </c>
      <c r="J940" s="62">
        <v>8</v>
      </c>
      <c r="K940" s="62" t="s">
        <v>16</v>
      </c>
      <c r="L940" s="62" t="s">
        <v>3</v>
      </c>
      <c r="M940" s="62">
        <v>447.13</v>
      </c>
      <c r="N940" s="62">
        <v>78.24775</v>
      </c>
    </row>
    <row r="941" spans="1:14">
      <c r="A941" s="62">
        <v>2017</v>
      </c>
      <c r="B941" s="62">
        <v>12</v>
      </c>
      <c r="C941" s="62" t="s">
        <v>5</v>
      </c>
      <c r="D941" s="62" t="s">
        <v>1</v>
      </c>
      <c r="E941" s="62">
        <v>78.765</v>
      </c>
      <c r="F941" s="62">
        <v>31.72425</v>
      </c>
      <c r="I941" s="62">
        <v>2023</v>
      </c>
      <c r="J941" s="62">
        <v>9</v>
      </c>
      <c r="K941" s="62" t="s">
        <v>16</v>
      </c>
      <c r="L941" s="62" t="s">
        <v>3</v>
      </c>
      <c r="M941" s="62">
        <v>286.1475</v>
      </c>
      <c r="N941" s="62">
        <v>50.0758125</v>
      </c>
    </row>
    <row r="942" spans="1:14">
      <c r="A942" s="62">
        <v>2018</v>
      </c>
      <c r="B942" s="62">
        <v>1</v>
      </c>
      <c r="C942" s="62" t="s">
        <v>5</v>
      </c>
      <c r="D942" s="62" t="s">
        <v>1</v>
      </c>
      <c r="E942" s="62">
        <v>162.4475</v>
      </c>
      <c r="F942" s="62">
        <v>40.3603125</v>
      </c>
      <c r="I942" s="62">
        <v>2023</v>
      </c>
      <c r="J942" s="62">
        <v>10</v>
      </c>
      <c r="K942" s="62" t="s">
        <v>16</v>
      </c>
      <c r="L942" s="62" t="s">
        <v>3</v>
      </c>
      <c r="M942" s="62">
        <v>347.14</v>
      </c>
      <c r="N942" s="62">
        <v>60.7495</v>
      </c>
    </row>
    <row r="943" spans="1:14">
      <c r="A943" s="62">
        <v>2018</v>
      </c>
      <c r="B943" s="62">
        <v>2</v>
      </c>
      <c r="C943" s="62" t="s">
        <v>5</v>
      </c>
      <c r="D943" s="62" t="s">
        <v>1</v>
      </c>
      <c r="E943" s="62">
        <v>557.375</v>
      </c>
      <c r="F943" s="62">
        <v>136.678</v>
      </c>
      <c r="I943" s="62">
        <v>2023</v>
      </c>
      <c r="J943" s="62">
        <v>11</v>
      </c>
      <c r="K943" s="62" t="s">
        <v>16</v>
      </c>
      <c r="L943" s="62" t="s">
        <v>3</v>
      </c>
      <c r="M943" s="62">
        <v>286.73</v>
      </c>
      <c r="N943" s="62">
        <v>50.17775</v>
      </c>
    </row>
    <row r="944" spans="1:14">
      <c r="A944" s="62">
        <v>2018</v>
      </c>
      <c r="B944" s="62">
        <v>3</v>
      </c>
      <c r="C944" s="62" t="s">
        <v>5</v>
      </c>
      <c r="D944" s="62" t="s">
        <v>1</v>
      </c>
      <c r="E944" s="62">
        <v>1006.7625</v>
      </c>
      <c r="F944" s="62">
        <v>217.9669375</v>
      </c>
      <c r="I944" s="62">
        <v>2023</v>
      </c>
      <c r="J944" s="62">
        <v>12</v>
      </c>
      <c r="K944" s="62" t="s">
        <v>16</v>
      </c>
      <c r="L944" s="62" t="s">
        <v>3</v>
      </c>
      <c r="M944" s="62">
        <v>245.44</v>
      </c>
      <c r="N944" s="62">
        <v>42.952</v>
      </c>
    </row>
    <row r="945" spans="1:14">
      <c r="A945" s="62">
        <v>2018</v>
      </c>
      <c r="B945" s="62">
        <v>4</v>
      </c>
      <c r="C945" s="62" t="s">
        <v>5</v>
      </c>
      <c r="D945" s="62" t="s">
        <v>1</v>
      </c>
      <c r="E945" s="62">
        <v>613.245</v>
      </c>
      <c r="F945" s="62">
        <v>148.3595</v>
      </c>
      <c r="I945" s="62">
        <v>2024</v>
      </c>
      <c r="J945" s="62">
        <v>1</v>
      </c>
      <c r="K945" s="62" t="s">
        <v>16</v>
      </c>
      <c r="L945" s="62" t="s">
        <v>3</v>
      </c>
      <c r="M945" s="62">
        <v>636.1420000000001</v>
      </c>
      <c r="N945" s="62">
        <v>111.32485</v>
      </c>
    </row>
    <row r="946" spans="1:14">
      <c r="A946" s="62">
        <v>2018</v>
      </c>
      <c r="B946" s="62">
        <v>5</v>
      </c>
      <c r="C946" s="62" t="s">
        <v>5</v>
      </c>
      <c r="D946" s="62" t="s">
        <v>1</v>
      </c>
      <c r="E946" s="62">
        <v>168.094</v>
      </c>
      <c r="F946" s="62">
        <v>45.98</v>
      </c>
      <c r="I946" s="62">
        <v>2024</v>
      </c>
      <c r="J946" s="62">
        <v>2</v>
      </c>
      <c r="K946" s="62" t="s">
        <v>16</v>
      </c>
      <c r="L946" s="62" t="s">
        <v>3</v>
      </c>
      <c r="M946" s="62">
        <v>1135.5148</v>
      </c>
      <c r="N946" s="62">
        <v>198.71509</v>
      </c>
    </row>
    <row r="947" spans="1:14">
      <c r="A947" s="62">
        <v>2018</v>
      </c>
      <c r="B947" s="62">
        <v>6</v>
      </c>
      <c r="C947" s="62" t="s">
        <v>5</v>
      </c>
      <c r="D947" s="62" t="s">
        <v>1</v>
      </c>
      <c r="E947" s="62">
        <v>253.165</v>
      </c>
      <c r="F947" s="62">
        <v>47.382125</v>
      </c>
      <c r="I947" s="62">
        <v>2024</v>
      </c>
      <c r="J947" s="62">
        <v>3</v>
      </c>
      <c r="K947" s="62" t="s">
        <v>16</v>
      </c>
      <c r="L947" s="62" t="s">
        <v>3</v>
      </c>
      <c r="M947" s="62">
        <v>366.2546</v>
      </c>
      <c r="N947" s="62">
        <v>64.094555</v>
      </c>
    </row>
    <row r="948" spans="1:14">
      <c r="A948" s="62">
        <v>2018</v>
      </c>
      <c r="B948" s="62">
        <v>7</v>
      </c>
      <c r="C948" s="62" t="s">
        <v>5</v>
      </c>
      <c r="D948" s="62" t="s">
        <v>1</v>
      </c>
      <c r="E948" s="62">
        <v>468.669</v>
      </c>
      <c r="F948" s="62">
        <v>106.47675</v>
      </c>
      <c r="I948" s="62">
        <v>2024</v>
      </c>
      <c r="J948" s="62">
        <v>4</v>
      </c>
      <c r="K948" s="62" t="s">
        <v>16</v>
      </c>
      <c r="L948" s="62" t="s">
        <v>3</v>
      </c>
      <c r="M948" s="62">
        <v>403.6725</v>
      </c>
      <c r="N948" s="62">
        <v>70.64268749999999</v>
      </c>
    </row>
    <row r="949" spans="1:14">
      <c r="A949" s="62">
        <v>2018</v>
      </c>
      <c r="B949" s="62">
        <v>8</v>
      </c>
      <c r="C949" s="62" t="s">
        <v>5</v>
      </c>
      <c r="D949" s="62" t="s">
        <v>1</v>
      </c>
      <c r="E949" s="62">
        <v>478.7129</v>
      </c>
      <c r="F949" s="62">
        <v>94.23800749999999</v>
      </c>
      <c r="I949" s="62">
        <v>2024</v>
      </c>
      <c r="J949" s="62">
        <v>5</v>
      </c>
      <c r="K949" s="62" t="s">
        <v>16</v>
      </c>
      <c r="L949" s="62" t="s">
        <v>3</v>
      </c>
      <c r="M949" s="62">
        <v>65.52500000000001</v>
      </c>
      <c r="N949" s="62">
        <v>11.466875</v>
      </c>
    </row>
    <row r="950" spans="1:14">
      <c r="A950" s="62">
        <v>2018</v>
      </c>
      <c r="B950" s="62">
        <v>9</v>
      </c>
      <c r="C950" s="62" t="s">
        <v>5</v>
      </c>
      <c r="D950" s="62" t="s">
        <v>1</v>
      </c>
      <c r="E950" s="62">
        <v>1261.0304</v>
      </c>
      <c r="F950" s="62">
        <v>297.4494075</v>
      </c>
      <c r="I950" s="62">
        <v>2024</v>
      </c>
      <c r="J950" s="62">
        <v>6</v>
      </c>
      <c r="K950" s="62" t="s">
        <v>16</v>
      </c>
      <c r="L950" s="62" t="s">
        <v>3</v>
      </c>
      <c r="M950" s="62">
        <v>203.41</v>
      </c>
      <c r="N950" s="62">
        <v>35.59675</v>
      </c>
    </row>
    <row r="951" spans="1:14">
      <c r="A951" s="62">
        <v>2018</v>
      </c>
      <c r="B951" s="62">
        <v>10</v>
      </c>
      <c r="C951" s="62" t="s">
        <v>5</v>
      </c>
      <c r="D951" s="62" t="s">
        <v>1</v>
      </c>
      <c r="E951" s="62">
        <v>2156.0575</v>
      </c>
      <c r="F951" s="62">
        <v>499.640355</v>
      </c>
      <c r="I951" s="62">
        <v>2024</v>
      </c>
      <c r="J951" s="62">
        <v>7</v>
      </c>
      <c r="K951" s="62" t="s">
        <v>16</v>
      </c>
      <c r="L951" s="62" t="s">
        <v>3</v>
      </c>
      <c r="M951" s="62">
        <v>397.38</v>
      </c>
      <c r="N951" s="62">
        <v>69.5415</v>
      </c>
    </row>
    <row r="952" spans="1:14">
      <c r="A952" s="62">
        <v>2018</v>
      </c>
      <c r="B952" s="62">
        <v>11</v>
      </c>
      <c r="C952" s="62" t="s">
        <v>5</v>
      </c>
      <c r="D952" s="62" t="s">
        <v>1</v>
      </c>
      <c r="E952" s="62">
        <v>794.9546</v>
      </c>
      <c r="F952" s="62">
        <v>206.3765175</v>
      </c>
      <c r="I952" s="62">
        <v>2024</v>
      </c>
      <c r="J952" s="62">
        <v>8</v>
      </c>
      <c r="K952" s="62" t="s">
        <v>16</v>
      </c>
      <c r="L952" s="62" t="s">
        <v>3</v>
      </c>
      <c r="M952" s="62">
        <v>342.448</v>
      </c>
      <c r="N952" s="62">
        <v>59.9284</v>
      </c>
    </row>
    <row r="953" spans="1:14">
      <c r="A953" s="62">
        <v>2018</v>
      </c>
      <c r="B953" s="62">
        <v>12</v>
      </c>
      <c r="C953" s="62" t="s">
        <v>5</v>
      </c>
      <c r="D953" s="62" t="s">
        <v>1</v>
      </c>
      <c r="E953" s="62">
        <v>161.211</v>
      </c>
      <c r="F953" s="62">
        <v>44.123475</v>
      </c>
      <c r="I953" s="62">
        <v>2024</v>
      </c>
      <c r="J953" s="62">
        <v>9</v>
      </c>
      <c r="K953" s="62" t="s">
        <v>16</v>
      </c>
      <c r="L953" s="62" t="s">
        <v>3</v>
      </c>
      <c r="M953" s="62">
        <v>511.818</v>
      </c>
      <c r="N953" s="62">
        <v>89.56814999999999</v>
      </c>
    </row>
    <row r="954" spans="1:14">
      <c r="A954" s="62">
        <v>2019</v>
      </c>
      <c r="B954" s="62">
        <v>1</v>
      </c>
      <c r="C954" s="62" t="s">
        <v>5</v>
      </c>
      <c r="D954" s="62" t="s">
        <v>1</v>
      </c>
      <c r="E954" s="62">
        <v>322.917</v>
      </c>
      <c r="F954" s="62">
        <v>60.03465</v>
      </c>
      <c r="I954" s="62">
        <v>2024</v>
      </c>
      <c r="J954" s="62">
        <v>10</v>
      </c>
      <c r="K954" s="62" t="s">
        <v>16</v>
      </c>
      <c r="L954" s="62" t="s">
        <v>3</v>
      </c>
      <c r="M954" s="62">
        <v>316.59</v>
      </c>
      <c r="N954" s="62">
        <v>55.40324999999999</v>
      </c>
    </row>
    <row r="955" spans="1:14">
      <c r="A955" s="62">
        <v>2019</v>
      </c>
      <c r="B955" s="62">
        <v>2</v>
      </c>
      <c r="C955" s="62" t="s">
        <v>5</v>
      </c>
      <c r="D955" s="62" t="s">
        <v>1</v>
      </c>
      <c r="E955" s="62">
        <v>1022.5025</v>
      </c>
      <c r="F955" s="62">
        <v>215.6183375</v>
      </c>
      <c r="I955" s="62">
        <v>2024</v>
      </c>
      <c r="J955" s="62">
        <v>11</v>
      </c>
      <c r="K955" s="62" t="s">
        <v>16</v>
      </c>
      <c r="L955" s="62" t="s">
        <v>3</v>
      </c>
      <c r="M955" s="62">
        <v>249.34</v>
      </c>
      <c r="N955" s="62">
        <v>43.6345</v>
      </c>
    </row>
    <row r="956" spans="1:14">
      <c r="A956" s="62">
        <v>2019</v>
      </c>
      <c r="B956" s="62">
        <v>3</v>
      </c>
      <c r="C956" s="62" t="s">
        <v>5</v>
      </c>
      <c r="D956" s="62" t="s">
        <v>1</v>
      </c>
      <c r="E956" s="62">
        <v>1351.6083</v>
      </c>
      <c r="F956" s="62">
        <v>288.5112525</v>
      </c>
      <c r="I956" s="62">
        <v>2024</v>
      </c>
      <c r="J956" s="62">
        <v>12</v>
      </c>
      <c r="K956" s="62" t="s">
        <v>16</v>
      </c>
      <c r="L956" s="62" t="s">
        <v>3</v>
      </c>
      <c r="M956" s="62">
        <v>254.1326</v>
      </c>
      <c r="N956" s="62">
        <v>44.47320499999999</v>
      </c>
    </row>
    <row r="957" spans="1:14">
      <c r="A957" s="62">
        <v>2019</v>
      </c>
      <c r="B957" s="62">
        <v>4</v>
      </c>
      <c r="C957" s="62" t="s">
        <v>5</v>
      </c>
      <c r="D957" s="62" t="s">
        <v>1</v>
      </c>
      <c r="E957" s="62">
        <v>1158.659</v>
      </c>
      <c r="F957" s="62">
        <v>239.73175</v>
      </c>
      <c r="I957" s="62">
        <v>2025</v>
      </c>
      <c r="J957" s="62">
        <v>1</v>
      </c>
      <c r="K957" s="62" t="s">
        <v>16</v>
      </c>
      <c r="L957" s="62" t="s">
        <v>3</v>
      </c>
      <c r="M957" s="62">
        <v>498.95</v>
      </c>
      <c r="N957" s="62">
        <v>87.31625</v>
      </c>
    </row>
    <row r="958" spans="1:14">
      <c r="A958" s="62">
        <v>2019</v>
      </c>
      <c r="B958" s="62">
        <v>5</v>
      </c>
      <c r="C958" s="62" t="s">
        <v>5</v>
      </c>
      <c r="D958" s="62" t="s">
        <v>1</v>
      </c>
      <c r="E958" s="62">
        <v>1476.8753</v>
      </c>
      <c r="F958" s="62">
        <v>351.6710275</v>
      </c>
      <c r="I958" s="62">
        <v>2025</v>
      </c>
      <c r="J958" s="62">
        <v>2</v>
      </c>
      <c r="K958" s="62" t="s">
        <v>16</v>
      </c>
      <c r="L958" s="62" t="s">
        <v>3</v>
      </c>
      <c r="M958" s="62">
        <v>590.4160000000001</v>
      </c>
      <c r="N958" s="62">
        <v>103.3228</v>
      </c>
    </row>
    <row r="959" spans="1:14">
      <c r="A959" s="62">
        <v>2019</v>
      </c>
      <c r="B959" s="62">
        <v>6</v>
      </c>
      <c r="C959" s="62" t="s">
        <v>5</v>
      </c>
      <c r="D959" s="62" t="s">
        <v>1</v>
      </c>
      <c r="E959" s="62">
        <v>659.6799999999999</v>
      </c>
      <c r="F959" s="62">
        <v>164.369375</v>
      </c>
      <c r="I959" s="62">
        <v>2025</v>
      </c>
      <c r="J959" s="62">
        <v>3</v>
      </c>
      <c r="K959" s="62" t="s">
        <v>16</v>
      </c>
      <c r="L959" s="62" t="s">
        <v>3</v>
      </c>
      <c r="M959" s="62">
        <v>696.778</v>
      </c>
      <c r="N959" s="62">
        <v>121.93615</v>
      </c>
    </row>
    <row r="960" spans="1:14">
      <c r="A960" s="62">
        <v>2019</v>
      </c>
      <c r="B960" s="62">
        <v>7</v>
      </c>
      <c r="C960" s="62" t="s">
        <v>5</v>
      </c>
      <c r="D960" s="62" t="s">
        <v>1</v>
      </c>
      <c r="E960" s="62">
        <v>261.11</v>
      </c>
      <c r="F960" s="62">
        <v>52.7355</v>
      </c>
      <c r="I960" s="62">
        <v>2025</v>
      </c>
      <c r="J960" s="62">
        <v>4</v>
      </c>
      <c r="K960" s="62" t="s">
        <v>16</v>
      </c>
      <c r="L960" s="62" t="s">
        <v>3</v>
      </c>
      <c r="M960" s="62">
        <v>777.3711000000001</v>
      </c>
      <c r="N960" s="62">
        <v>136.0399425</v>
      </c>
    </row>
    <row r="961" spans="1:14">
      <c r="A961" s="62">
        <v>2019</v>
      </c>
      <c r="B961" s="62">
        <v>8</v>
      </c>
      <c r="C961" s="62" t="s">
        <v>5</v>
      </c>
      <c r="D961" s="62" t="s">
        <v>1</v>
      </c>
      <c r="E961" s="62">
        <v>218.945</v>
      </c>
      <c r="F961" s="62">
        <v>57.8155</v>
      </c>
      <c r="I961" s="62">
        <v>2025</v>
      </c>
      <c r="J961" s="62">
        <v>5</v>
      </c>
      <c r="K961" s="62" t="s">
        <v>16</v>
      </c>
      <c r="L961" s="62" t="s">
        <v>3</v>
      </c>
      <c r="M961" s="62">
        <v>669.7366</v>
      </c>
      <c r="N961" s="62">
        <v>117.203905</v>
      </c>
    </row>
    <row r="962" spans="1:14">
      <c r="A962" s="62">
        <v>2019</v>
      </c>
      <c r="B962" s="62">
        <v>9</v>
      </c>
      <c r="C962" s="62" t="s">
        <v>5</v>
      </c>
      <c r="D962" s="62" t="s">
        <v>1</v>
      </c>
      <c r="E962" s="62">
        <v>961.8309</v>
      </c>
      <c r="F962" s="62">
        <v>246.2174575</v>
      </c>
      <c r="I962" s="62">
        <v>2025</v>
      </c>
      <c r="J962" s="62">
        <v>6</v>
      </c>
      <c r="K962" s="62" t="s">
        <v>16</v>
      </c>
      <c r="L962" s="62" t="s">
        <v>3</v>
      </c>
      <c r="M962" s="62">
        <v>369.5271</v>
      </c>
      <c r="N962" s="62">
        <v>64.6672425</v>
      </c>
    </row>
    <row r="963" spans="1:14">
      <c r="A963" s="62">
        <v>2019</v>
      </c>
      <c r="B963" s="62">
        <v>10</v>
      </c>
      <c r="C963" s="62" t="s">
        <v>5</v>
      </c>
      <c r="D963" s="62" t="s">
        <v>1</v>
      </c>
      <c r="E963" s="62">
        <v>1565.3844</v>
      </c>
      <c r="F963" s="62">
        <v>411.494645</v>
      </c>
      <c r="I963" s="62">
        <v>2025</v>
      </c>
      <c r="J963" s="62">
        <v>7</v>
      </c>
      <c r="K963" s="62" t="s">
        <v>16</v>
      </c>
      <c r="L963" s="62" t="s">
        <v>3</v>
      </c>
      <c r="M963" s="62">
        <v>233.213</v>
      </c>
      <c r="N963" s="62">
        <v>40.81227499999999</v>
      </c>
    </row>
    <row r="964" spans="1:14">
      <c r="A964" s="62">
        <v>2019</v>
      </c>
      <c r="B964" s="62">
        <v>11</v>
      </c>
      <c r="C964" s="62" t="s">
        <v>5</v>
      </c>
      <c r="D964" s="62" t="s">
        <v>1</v>
      </c>
      <c r="E964" s="62">
        <v>856.4829999999999</v>
      </c>
      <c r="F964" s="62">
        <v>192.5571</v>
      </c>
      <c r="I964" s="62">
        <v>2025</v>
      </c>
      <c r="J964" s="62">
        <v>8</v>
      </c>
      <c r="K964" s="62" t="s">
        <v>16</v>
      </c>
      <c r="L964" s="62" t="s">
        <v>3</v>
      </c>
      <c r="M964" s="62">
        <v>198.5658</v>
      </c>
      <c r="N964" s="62">
        <v>34.749015</v>
      </c>
    </row>
    <row r="965" spans="1:14">
      <c r="A965" s="62">
        <v>2019</v>
      </c>
      <c r="B965" s="62">
        <v>12</v>
      </c>
      <c r="C965" s="62" t="s">
        <v>5</v>
      </c>
      <c r="D965" s="62" t="s">
        <v>1</v>
      </c>
      <c r="E965" s="62">
        <v>202.3072</v>
      </c>
      <c r="F965" s="62">
        <v>41.61196</v>
      </c>
      <c r="I965" s="62">
        <v>2025</v>
      </c>
      <c r="J965" s="62">
        <v>9</v>
      </c>
      <c r="K965" s="62" t="s">
        <v>16</v>
      </c>
      <c r="L965" s="62" t="s">
        <v>3</v>
      </c>
      <c r="M965" s="62">
        <v>342.975</v>
      </c>
      <c r="N965" s="62">
        <v>60.020625</v>
      </c>
    </row>
    <row r="966" spans="1:14">
      <c r="A966" s="62">
        <v>2020</v>
      </c>
      <c r="B966" s="62">
        <v>1</v>
      </c>
      <c r="C966" s="62" t="s">
        <v>5</v>
      </c>
      <c r="D966" s="62" t="s">
        <v>1</v>
      </c>
      <c r="E966" s="62">
        <v>423.864</v>
      </c>
      <c r="F966" s="62">
        <v>116.716975</v>
      </c>
      <c r="I966" s="62">
        <v>2025</v>
      </c>
      <c r="J966" s="62">
        <v>10</v>
      </c>
      <c r="K966" s="62" t="s">
        <v>16</v>
      </c>
      <c r="L966" s="62" t="s">
        <v>3</v>
      </c>
      <c r="M966" s="62">
        <v>726.04</v>
      </c>
      <c r="N966" s="62">
        <v>127.057</v>
      </c>
    </row>
    <row r="967" spans="1:14">
      <c r="A967" s="62">
        <v>2020</v>
      </c>
      <c r="B967" s="62">
        <v>2</v>
      </c>
      <c r="C967" s="62" t="s">
        <v>5</v>
      </c>
      <c r="D967" s="62" t="s">
        <v>1</v>
      </c>
      <c r="E967" s="62">
        <v>712.6401</v>
      </c>
      <c r="F967" s="62">
        <v>210.1030675</v>
      </c>
      <c r="I967" s="62">
        <v>2025</v>
      </c>
      <c r="J967" s="62">
        <v>11</v>
      </c>
      <c r="K967" s="62" t="s">
        <v>16</v>
      </c>
      <c r="L967" s="62" t="s">
        <v>3</v>
      </c>
      <c r="M967" s="62">
        <v>383.0856</v>
      </c>
      <c r="N967" s="62">
        <v>67.03997999999999</v>
      </c>
    </row>
    <row r="968" spans="1:14">
      <c r="A968" s="62">
        <v>2020</v>
      </c>
      <c r="B968" s="62">
        <v>3</v>
      </c>
      <c r="C968" s="62" t="s">
        <v>5</v>
      </c>
      <c r="D968" s="62" t="s">
        <v>1</v>
      </c>
      <c r="E968" s="62">
        <v>1551.2708</v>
      </c>
      <c r="F968" s="62">
        <v>372.7940675</v>
      </c>
      <c r="I968" s="62">
        <v>2025</v>
      </c>
      <c r="J968" s="62">
        <v>12</v>
      </c>
      <c r="K968" s="62" t="s">
        <v>16</v>
      </c>
      <c r="L968" s="62" t="s">
        <v>3</v>
      </c>
      <c r="M968" s="62">
        <v>250.726</v>
      </c>
      <c r="N968" s="62">
        <v>43.87705</v>
      </c>
    </row>
    <row r="969" spans="1:14">
      <c r="A969" s="62">
        <v>2020</v>
      </c>
      <c r="B969" s="62">
        <v>4</v>
      </c>
      <c r="C969" s="62" t="s">
        <v>5</v>
      </c>
      <c r="D969" s="62" t="s">
        <v>1</v>
      </c>
      <c r="E969" s="62">
        <v>3255.302</v>
      </c>
      <c r="F969" s="62">
        <v>807.4828924999999</v>
      </c>
      <c r="I969" s="62">
        <v>2026</v>
      </c>
      <c r="J969" s="62">
        <v>1</v>
      </c>
      <c r="K969" s="62" t="s">
        <v>16</v>
      </c>
      <c r="L969" s="62" t="s">
        <v>3</v>
      </c>
      <c r="M969" s="62">
        <v>254.37</v>
      </c>
      <c r="N969" s="62">
        <v>44.51475</v>
      </c>
    </row>
    <row r="970" spans="1:14">
      <c r="A970" s="62">
        <v>2020</v>
      </c>
      <c r="B970" s="62">
        <v>5</v>
      </c>
      <c r="C970" s="62" t="s">
        <v>5</v>
      </c>
      <c r="D970" s="62" t="s">
        <v>1</v>
      </c>
      <c r="E970" s="62">
        <v>3205.5441</v>
      </c>
      <c r="F970" s="62">
        <v>750.5864275</v>
      </c>
      <c r="I970" s="62">
        <v>2026</v>
      </c>
      <c r="J970" s="62">
        <v>2</v>
      </c>
      <c r="K970" s="62" t="s">
        <v>16</v>
      </c>
      <c r="L970" s="62" t="s">
        <v>3</v>
      </c>
      <c r="M970" s="62">
        <v>547.715</v>
      </c>
      <c r="N970" s="62">
        <v>95.85012499999999</v>
      </c>
    </row>
    <row r="971" spans="1:14">
      <c r="A971" s="62">
        <v>2020</v>
      </c>
      <c r="B971" s="62">
        <v>6</v>
      </c>
      <c r="C971" s="62" t="s">
        <v>5</v>
      </c>
      <c r="D971" s="62" t="s">
        <v>1</v>
      </c>
      <c r="E971" s="62">
        <v>3137.2836</v>
      </c>
      <c r="F971" s="62">
        <v>714.28497</v>
      </c>
      <c r="I971" s="62">
        <v>2026</v>
      </c>
      <c r="J971" s="62">
        <v>3</v>
      </c>
      <c r="K971" s="62" t="s">
        <v>16</v>
      </c>
      <c r="L971" s="62" t="s">
        <v>3</v>
      </c>
      <c r="M971" s="62">
        <v>330.12</v>
      </c>
      <c r="N971" s="62">
        <v>57.771</v>
      </c>
    </row>
    <row r="972" spans="1:14">
      <c r="A972" s="62">
        <v>2020</v>
      </c>
      <c r="B972" s="62">
        <v>7</v>
      </c>
      <c r="C972" s="62" t="s">
        <v>5</v>
      </c>
      <c r="D972" s="62" t="s">
        <v>1</v>
      </c>
      <c r="E972" s="62">
        <v>2939.6319</v>
      </c>
      <c r="F972" s="62">
        <v>645.778835</v>
      </c>
      <c r="I972" s="62">
        <v>2026</v>
      </c>
      <c r="J972" s="62">
        <v>4</v>
      </c>
      <c r="K972" s="62" t="s">
        <v>16</v>
      </c>
      <c r="L972" s="62" t="s">
        <v>3</v>
      </c>
      <c r="M972" s="62">
        <v>691.3150000000001</v>
      </c>
      <c r="N972" s="62">
        <v>120.980125</v>
      </c>
    </row>
    <row r="973" spans="1:14">
      <c r="A973" s="62">
        <v>2020</v>
      </c>
      <c r="B973" s="62">
        <v>8</v>
      </c>
      <c r="C973" s="62" t="s">
        <v>5</v>
      </c>
      <c r="D973" s="62" t="s">
        <v>1</v>
      </c>
      <c r="E973" s="62">
        <v>2873.0103</v>
      </c>
      <c r="F973" s="62">
        <v>599.775935</v>
      </c>
      <c r="I973" s="62">
        <v>2026</v>
      </c>
      <c r="J973" s="62">
        <v>5</v>
      </c>
      <c r="K973" s="62" t="s">
        <v>16</v>
      </c>
      <c r="L973" s="62" t="s">
        <v>3</v>
      </c>
      <c r="M973" s="62">
        <v>324.84</v>
      </c>
      <c r="N973" s="62">
        <v>56.847</v>
      </c>
    </row>
    <row r="974" spans="1:14">
      <c r="A974" s="62">
        <v>2020</v>
      </c>
      <c r="B974" s="62">
        <v>9</v>
      </c>
      <c r="C974" s="62" t="s">
        <v>5</v>
      </c>
      <c r="D974" s="62" t="s">
        <v>1</v>
      </c>
      <c r="E974" s="62">
        <v>3060.3576</v>
      </c>
      <c r="F974" s="62">
        <v>639.3296325</v>
      </c>
      <c r="I974" s="62">
        <v>2026</v>
      </c>
      <c r="J974" s="62">
        <v>6</v>
      </c>
      <c r="K974" s="62" t="s">
        <v>16</v>
      </c>
      <c r="L974" s="62" t="s">
        <v>3</v>
      </c>
      <c r="M974" s="62">
        <v>261.71</v>
      </c>
      <c r="N974" s="62">
        <v>45.79925</v>
      </c>
    </row>
    <row r="975" spans="1:14">
      <c r="A975" s="62">
        <v>2020</v>
      </c>
      <c r="B975" s="62">
        <v>10</v>
      </c>
      <c r="C975" s="62" t="s">
        <v>5</v>
      </c>
      <c r="D975" s="62" t="s">
        <v>1</v>
      </c>
      <c r="E975" s="62">
        <v>2984.043</v>
      </c>
      <c r="F975" s="62">
        <v>660.207625</v>
      </c>
      <c r="I975" s="62">
        <v>2026</v>
      </c>
      <c r="J975" s="62">
        <v>7</v>
      </c>
      <c r="K975" s="62" t="s">
        <v>16</v>
      </c>
      <c r="L975" s="62" t="s">
        <v>3</v>
      </c>
      <c r="M975" s="62">
        <v>24.2</v>
      </c>
      <c r="N975" s="62">
        <v>4.234999999999999</v>
      </c>
    </row>
    <row r="976" spans="1:14">
      <c r="A976" s="62">
        <v>2020</v>
      </c>
      <c r="B976" s="62">
        <v>11</v>
      </c>
      <c r="C976" s="62" t="s">
        <v>5</v>
      </c>
      <c r="D976" s="62" t="s">
        <v>1</v>
      </c>
      <c r="E976" s="62">
        <v>2848.007</v>
      </c>
      <c r="F976" s="62">
        <v>614.73775</v>
      </c>
      <c r="I976" s="62">
        <v>2014</v>
      </c>
      <c r="J976" s="62">
        <v>1</v>
      </c>
      <c r="K976" s="62" t="s">
        <v>17</v>
      </c>
      <c r="L976" s="62" t="s">
        <v>1</v>
      </c>
      <c r="M976" s="62">
        <v>623.982</v>
      </c>
      <c r="N976" s="62">
        <v>0</v>
      </c>
    </row>
    <row r="977" spans="1:14">
      <c r="A977" s="62">
        <v>2020</v>
      </c>
      <c r="B977" s="62">
        <v>12</v>
      </c>
      <c r="C977" s="62" t="s">
        <v>5</v>
      </c>
      <c r="D977" s="62" t="s">
        <v>1</v>
      </c>
      <c r="E977" s="62">
        <v>2898.1246</v>
      </c>
      <c r="F977" s="62">
        <v>643.43985</v>
      </c>
      <c r="I977" s="62">
        <v>2014</v>
      </c>
      <c r="J977" s="62">
        <v>2</v>
      </c>
      <c r="K977" s="62" t="s">
        <v>17</v>
      </c>
      <c r="L977" s="62" t="s">
        <v>1</v>
      </c>
      <c r="M977" s="62">
        <v>873.49</v>
      </c>
      <c r="N977" s="62">
        <v>0</v>
      </c>
    </row>
    <row r="978" spans="1:14">
      <c r="A978" s="62">
        <v>2021</v>
      </c>
      <c r="B978" s="62">
        <v>1</v>
      </c>
      <c r="C978" s="62" t="s">
        <v>5</v>
      </c>
      <c r="D978" s="62" t="s">
        <v>1</v>
      </c>
      <c r="E978" s="62">
        <v>2808.4655</v>
      </c>
      <c r="F978" s="62">
        <v>614.1368625</v>
      </c>
      <c r="I978" s="62">
        <v>2014</v>
      </c>
      <c r="J978" s="62">
        <v>3</v>
      </c>
      <c r="K978" s="62" t="s">
        <v>17</v>
      </c>
      <c r="L978" s="62" t="s">
        <v>1</v>
      </c>
      <c r="M978" s="62">
        <v>1005.38</v>
      </c>
      <c r="N978" s="62">
        <v>0</v>
      </c>
    </row>
    <row r="979" spans="1:14">
      <c r="A979" s="62">
        <v>2021</v>
      </c>
      <c r="B979" s="62">
        <v>2</v>
      </c>
      <c r="C979" s="62" t="s">
        <v>5</v>
      </c>
      <c r="D979" s="62" t="s">
        <v>1</v>
      </c>
      <c r="E979" s="62">
        <v>3246.038</v>
      </c>
      <c r="F979" s="62">
        <v>760.9866675</v>
      </c>
      <c r="I979" s="62">
        <v>2014</v>
      </c>
      <c r="J979" s="62">
        <v>4</v>
      </c>
      <c r="K979" s="62" t="s">
        <v>17</v>
      </c>
      <c r="L979" s="62" t="s">
        <v>1</v>
      </c>
      <c r="M979" s="62">
        <v>796.92</v>
      </c>
      <c r="N979" s="62">
        <v>0</v>
      </c>
    </row>
    <row r="980" spans="1:14">
      <c r="A980" s="62">
        <v>2021</v>
      </c>
      <c r="B980" s="62">
        <v>3</v>
      </c>
      <c r="C980" s="62" t="s">
        <v>5</v>
      </c>
      <c r="D980" s="62" t="s">
        <v>1</v>
      </c>
      <c r="E980" s="62">
        <v>2587.8589</v>
      </c>
      <c r="F980" s="62">
        <v>564.725835</v>
      </c>
      <c r="I980" s="62">
        <v>2014</v>
      </c>
      <c r="J980" s="62">
        <v>5</v>
      </c>
      <c r="K980" s="62" t="s">
        <v>17</v>
      </c>
      <c r="L980" s="62" t="s">
        <v>1</v>
      </c>
      <c r="M980" s="62">
        <v>542.242</v>
      </c>
      <c r="N980" s="62">
        <v>0</v>
      </c>
    </row>
    <row r="981" spans="1:14">
      <c r="A981" s="62">
        <v>2021</v>
      </c>
      <c r="B981" s="62">
        <v>4</v>
      </c>
      <c r="C981" s="62" t="s">
        <v>5</v>
      </c>
      <c r="D981" s="62" t="s">
        <v>1</v>
      </c>
      <c r="E981" s="62">
        <v>2036.3437</v>
      </c>
      <c r="F981" s="62">
        <v>430.667235</v>
      </c>
      <c r="I981" s="62">
        <v>2014</v>
      </c>
      <c r="J981" s="62">
        <v>6</v>
      </c>
      <c r="K981" s="62" t="s">
        <v>17</v>
      </c>
      <c r="L981" s="62" t="s">
        <v>1</v>
      </c>
      <c r="M981" s="62">
        <v>520.7845</v>
      </c>
      <c r="N981" s="62">
        <v>0</v>
      </c>
    </row>
    <row r="982" spans="1:14">
      <c r="A982" s="62">
        <v>2021</v>
      </c>
      <c r="B982" s="62">
        <v>5</v>
      </c>
      <c r="C982" s="62" t="s">
        <v>5</v>
      </c>
      <c r="D982" s="62" t="s">
        <v>1</v>
      </c>
      <c r="E982" s="62">
        <v>1126.3017</v>
      </c>
      <c r="F982" s="62">
        <v>257.07422</v>
      </c>
      <c r="I982" s="62">
        <v>2014</v>
      </c>
      <c r="J982" s="62">
        <v>7</v>
      </c>
      <c r="K982" s="62" t="s">
        <v>17</v>
      </c>
      <c r="L982" s="62" t="s">
        <v>1</v>
      </c>
      <c r="M982" s="62">
        <v>208.28</v>
      </c>
      <c r="N982" s="62">
        <v>0</v>
      </c>
    </row>
    <row r="983" spans="1:14">
      <c r="A983" s="62">
        <v>2021</v>
      </c>
      <c r="B983" s="62">
        <v>6</v>
      </c>
      <c r="C983" s="62" t="s">
        <v>5</v>
      </c>
      <c r="D983" s="62" t="s">
        <v>1</v>
      </c>
      <c r="E983" s="62">
        <v>301.257</v>
      </c>
      <c r="F983" s="62">
        <v>58.398525</v>
      </c>
      <c r="I983" s="62">
        <v>2014</v>
      </c>
      <c r="J983" s="62">
        <v>8</v>
      </c>
      <c r="K983" s="62" t="s">
        <v>17</v>
      </c>
      <c r="L983" s="62" t="s">
        <v>1</v>
      </c>
      <c r="M983" s="62">
        <v>282.622</v>
      </c>
      <c r="N983" s="62">
        <v>0</v>
      </c>
    </row>
    <row r="984" spans="1:14">
      <c r="A984" s="62">
        <v>2021</v>
      </c>
      <c r="B984" s="62">
        <v>7</v>
      </c>
      <c r="C984" s="62" t="s">
        <v>5</v>
      </c>
      <c r="D984" s="62" t="s">
        <v>1</v>
      </c>
      <c r="E984" s="62">
        <v>437.184</v>
      </c>
      <c r="F984" s="62">
        <v>95.89935</v>
      </c>
      <c r="I984" s="62">
        <v>2014</v>
      </c>
      <c r="J984" s="62">
        <v>9</v>
      </c>
      <c r="K984" s="62" t="s">
        <v>17</v>
      </c>
      <c r="L984" s="62" t="s">
        <v>1</v>
      </c>
      <c r="M984" s="62">
        <v>469.874</v>
      </c>
      <c r="N984" s="62">
        <v>0</v>
      </c>
    </row>
    <row r="985" spans="1:14">
      <c r="A985" s="62">
        <v>2021</v>
      </c>
      <c r="B985" s="62">
        <v>8</v>
      </c>
      <c r="C985" s="62" t="s">
        <v>5</v>
      </c>
      <c r="D985" s="62" t="s">
        <v>1</v>
      </c>
      <c r="E985" s="62">
        <v>521.308</v>
      </c>
      <c r="F985" s="62">
        <v>128.74785</v>
      </c>
      <c r="I985" s="62">
        <v>2014</v>
      </c>
      <c r="J985" s="62">
        <v>10</v>
      </c>
      <c r="K985" s="62" t="s">
        <v>17</v>
      </c>
      <c r="L985" s="62" t="s">
        <v>1</v>
      </c>
      <c r="M985" s="62">
        <v>965.751</v>
      </c>
      <c r="N985" s="62">
        <v>0</v>
      </c>
    </row>
    <row r="986" spans="1:14">
      <c r="A986" s="62">
        <v>2021</v>
      </c>
      <c r="B986" s="62">
        <v>9</v>
      </c>
      <c r="C986" s="62" t="s">
        <v>5</v>
      </c>
      <c r="D986" s="62" t="s">
        <v>1</v>
      </c>
      <c r="E986" s="62">
        <v>741.903</v>
      </c>
      <c r="F986" s="62">
        <v>278.91825</v>
      </c>
      <c r="I986" s="62">
        <v>2014</v>
      </c>
      <c r="J986" s="62">
        <v>11</v>
      </c>
      <c r="K986" s="62" t="s">
        <v>17</v>
      </c>
      <c r="L986" s="62" t="s">
        <v>1</v>
      </c>
      <c r="M986" s="62">
        <v>676.46</v>
      </c>
      <c r="N986" s="62">
        <v>0</v>
      </c>
    </row>
    <row r="987" spans="1:14">
      <c r="A987" s="62">
        <v>2021</v>
      </c>
      <c r="B987" s="62">
        <v>10</v>
      </c>
      <c r="C987" s="62" t="s">
        <v>5</v>
      </c>
      <c r="D987" s="62" t="s">
        <v>1</v>
      </c>
      <c r="E987" s="62">
        <v>1349.6605</v>
      </c>
      <c r="F987" s="62">
        <v>418.15625</v>
      </c>
      <c r="I987" s="62">
        <v>2014</v>
      </c>
      <c r="J987" s="62">
        <v>12</v>
      </c>
      <c r="K987" s="62" t="s">
        <v>17</v>
      </c>
      <c r="L987" s="62" t="s">
        <v>1</v>
      </c>
      <c r="M987" s="62">
        <v>197.663</v>
      </c>
      <c r="N987" s="62">
        <v>0</v>
      </c>
    </row>
    <row r="988" spans="1:14">
      <c r="A988" s="62">
        <v>2021</v>
      </c>
      <c r="B988" s="62">
        <v>11</v>
      </c>
      <c r="C988" s="62" t="s">
        <v>5</v>
      </c>
      <c r="D988" s="62" t="s">
        <v>1</v>
      </c>
      <c r="E988" s="62">
        <v>553.4699000000001</v>
      </c>
      <c r="F988" s="62">
        <v>151.749975</v>
      </c>
      <c r="I988" s="62">
        <v>2015</v>
      </c>
      <c r="J988" s="62">
        <v>1</v>
      </c>
      <c r="K988" s="62" t="s">
        <v>17</v>
      </c>
      <c r="L988" s="62" t="s">
        <v>1</v>
      </c>
      <c r="M988" s="62">
        <v>665.629</v>
      </c>
      <c r="N988" s="62">
        <v>0</v>
      </c>
    </row>
    <row r="989" spans="1:14">
      <c r="A989" s="62">
        <v>2021</v>
      </c>
      <c r="B989" s="62">
        <v>12</v>
      </c>
      <c r="C989" s="62" t="s">
        <v>5</v>
      </c>
      <c r="D989" s="62" t="s">
        <v>1</v>
      </c>
      <c r="E989" s="62">
        <v>267.44</v>
      </c>
      <c r="F989" s="62">
        <v>67.05325000000001</v>
      </c>
      <c r="I989" s="62">
        <v>2015</v>
      </c>
      <c r="J989" s="62">
        <v>2</v>
      </c>
      <c r="K989" s="62" t="s">
        <v>17</v>
      </c>
      <c r="L989" s="62" t="s">
        <v>1</v>
      </c>
      <c r="M989" s="62">
        <v>781.255</v>
      </c>
      <c r="N989" s="62">
        <v>0</v>
      </c>
    </row>
    <row r="990" spans="1:14">
      <c r="A990" s="62">
        <v>2022</v>
      </c>
      <c r="B990" s="62">
        <v>1</v>
      </c>
      <c r="C990" s="62" t="s">
        <v>5</v>
      </c>
      <c r="D990" s="62" t="s">
        <v>1</v>
      </c>
      <c r="E990" s="62">
        <v>277.855</v>
      </c>
      <c r="F990" s="62">
        <v>56.7975</v>
      </c>
      <c r="I990" s="62">
        <v>2015</v>
      </c>
      <c r="J990" s="62">
        <v>3</v>
      </c>
      <c r="K990" s="62" t="s">
        <v>17</v>
      </c>
      <c r="L990" s="62" t="s">
        <v>1</v>
      </c>
      <c r="M990" s="62">
        <v>1027.431</v>
      </c>
      <c r="N990" s="62">
        <v>0</v>
      </c>
    </row>
    <row r="991" spans="1:14">
      <c r="A991" s="62">
        <v>2022</v>
      </c>
      <c r="B991" s="62">
        <v>2</v>
      </c>
      <c r="C991" s="62" t="s">
        <v>5</v>
      </c>
      <c r="D991" s="62" t="s">
        <v>1</v>
      </c>
      <c r="E991" s="62">
        <v>277.966</v>
      </c>
      <c r="F991" s="62">
        <v>59.1147</v>
      </c>
      <c r="I991" s="62">
        <v>2015</v>
      </c>
      <c r="J991" s="62">
        <v>4</v>
      </c>
      <c r="K991" s="62" t="s">
        <v>17</v>
      </c>
      <c r="L991" s="62" t="s">
        <v>1</v>
      </c>
      <c r="M991" s="62">
        <v>723.686</v>
      </c>
      <c r="N991" s="62">
        <v>0</v>
      </c>
    </row>
    <row r="992" spans="1:14">
      <c r="A992" s="62">
        <v>2022</v>
      </c>
      <c r="B992" s="62">
        <v>3</v>
      </c>
      <c r="C992" s="62" t="s">
        <v>5</v>
      </c>
      <c r="D992" s="62" t="s">
        <v>1</v>
      </c>
      <c r="E992" s="62">
        <v>911.703</v>
      </c>
      <c r="F992" s="62">
        <v>266.8269</v>
      </c>
      <c r="I992" s="62">
        <v>2015</v>
      </c>
      <c r="J992" s="62">
        <v>5</v>
      </c>
      <c r="K992" s="62" t="s">
        <v>17</v>
      </c>
      <c r="L992" s="62" t="s">
        <v>1</v>
      </c>
      <c r="M992" s="62">
        <v>570.022</v>
      </c>
      <c r="N992" s="62">
        <v>0</v>
      </c>
    </row>
    <row r="993" spans="1:14">
      <c r="A993" s="62">
        <v>2022</v>
      </c>
      <c r="B993" s="62">
        <v>4</v>
      </c>
      <c r="C993" s="62" t="s">
        <v>5</v>
      </c>
      <c r="D993" s="62" t="s">
        <v>1</v>
      </c>
      <c r="E993" s="62">
        <v>991.1086</v>
      </c>
      <c r="F993" s="62">
        <v>245.796045</v>
      </c>
      <c r="I993" s="62">
        <v>2015</v>
      </c>
      <c r="J993" s="62">
        <v>6</v>
      </c>
      <c r="K993" s="62" t="s">
        <v>17</v>
      </c>
      <c r="L993" s="62" t="s">
        <v>1</v>
      </c>
      <c r="M993" s="62">
        <v>474.261</v>
      </c>
      <c r="N993" s="62">
        <v>0</v>
      </c>
    </row>
    <row r="994" spans="1:14">
      <c r="A994" s="62">
        <v>2022</v>
      </c>
      <c r="B994" s="62">
        <v>5</v>
      </c>
      <c r="C994" s="62" t="s">
        <v>5</v>
      </c>
      <c r="D994" s="62" t="s">
        <v>1</v>
      </c>
      <c r="E994" s="62">
        <v>897.4052</v>
      </c>
      <c r="F994" s="62">
        <v>193.59531</v>
      </c>
      <c r="I994" s="62">
        <v>2015</v>
      </c>
      <c r="J994" s="62">
        <v>7</v>
      </c>
      <c r="K994" s="62" t="s">
        <v>17</v>
      </c>
      <c r="L994" s="62" t="s">
        <v>1</v>
      </c>
      <c r="M994" s="62">
        <v>458.0985</v>
      </c>
      <c r="N994" s="62">
        <v>0</v>
      </c>
    </row>
    <row r="995" spans="1:14">
      <c r="A995" s="62">
        <v>2022</v>
      </c>
      <c r="B995" s="62">
        <v>6</v>
      </c>
      <c r="C995" s="62" t="s">
        <v>5</v>
      </c>
      <c r="D995" s="62" t="s">
        <v>1</v>
      </c>
      <c r="E995" s="62">
        <v>717.96</v>
      </c>
      <c r="F995" s="62">
        <v>172.55025</v>
      </c>
      <c r="I995" s="62">
        <v>2015</v>
      </c>
      <c r="J995" s="62">
        <v>8</v>
      </c>
      <c r="K995" s="62" t="s">
        <v>17</v>
      </c>
      <c r="L995" s="62" t="s">
        <v>1</v>
      </c>
      <c r="M995" s="62">
        <v>542.139</v>
      </c>
      <c r="N995" s="62">
        <v>0</v>
      </c>
    </row>
    <row r="996" spans="1:14">
      <c r="A996" s="62">
        <v>2022</v>
      </c>
      <c r="B996" s="62">
        <v>7</v>
      </c>
      <c r="C996" s="62" t="s">
        <v>5</v>
      </c>
      <c r="D996" s="62" t="s">
        <v>1</v>
      </c>
      <c r="E996" s="62">
        <v>998.6902</v>
      </c>
      <c r="F996" s="62">
        <v>211.96952</v>
      </c>
      <c r="I996" s="62">
        <v>2015</v>
      </c>
      <c r="J996" s="62">
        <v>9</v>
      </c>
      <c r="K996" s="62" t="s">
        <v>17</v>
      </c>
      <c r="L996" s="62" t="s">
        <v>1</v>
      </c>
      <c r="M996" s="62">
        <v>587.2686</v>
      </c>
      <c r="N996" s="62">
        <v>0</v>
      </c>
    </row>
    <row r="997" spans="1:14">
      <c r="A997" s="62">
        <v>2022</v>
      </c>
      <c r="B997" s="62">
        <v>8</v>
      </c>
      <c r="C997" s="62" t="s">
        <v>5</v>
      </c>
      <c r="D997" s="62" t="s">
        <v>1</v>
      </c>
      <c r="E997" s="62">
        <v>1106.4274</v>
      </c>
      <c r="F997" s="62">
        <v>257.860475</v>
      </c>
      <c r="I997" s="62">
        <v>2015</v>
      </c>
      <c r="J997" s="62">
        <v>10</v>
      </c>
      <c r="K997" s="62" t="s">
        <v>17</v>
      </c>
      <c r="L997" s="62" t="s">
        <v>1</v>
      </c>
      <c r="M997" s="62">
        <v>867.3655</v>
      </c>
      <c r="N997" s="62">
        <v>0</v>
      </c>
    </row>
    <row r="998" spans="1:14">
      <c r="A998" s="62">
        <v>2022</v>
      </c>
      <c r="B998" s="62">
        <v>9</v>
      </c>
      <c r="C998" s="62" t="s">
        <v>5</v>
      </c>
      <c r="D998" s="62" t="s">
        <v>1</v>
      </c>
      <c r="E998" s="62">
        <v>872.7259</v>
      </c>
      <c r="F998" s="62">
        <v>213.5013825</v>
      </c>
      <c r="I998" s="62">
        <v>2015</v>
      </c>
      <c r="J998" s="62">
        <v>11</v>
      </c>
      <c r="K998" s="62" t="s">
        <v>17</v>
      </c>
      <c r="L998" s="62" t="s">
        <v>1</v>
      </c>
      <c r="M998" s="62">
        <v>505.9525</v>
      </c>
      <c r="N998" s="62">
        <v>0</v>
      </c>
    </row>
    <row r="999" spans="1:14">
      <c r="A999" s="62">
        <v>2022</v>
      </c>
      <c r="B999" s="62">
        <v>10</v>
      </c>
      <c r="C999" s="62" t="s">
        <v>5</v>
      </c>
      <c r="D999" s="62" t="s">
        <v>1</v>
      </c>
      <c r="E999" s="62">
        <v>1456.8784</v>
      </c>
      <c r="F999" s="62">
        <v>336.84122</v>
      </c>
      <c r="I999" s="62">
        <v>2015</v>
      </c>
      <c r="J999" s="62">
        <v>12</v>
      </c>
      <c r="K999" s="62" t="s">
        <v>17</v>
      </c>
      <c r="L999" s="62" t="s">
        <v>1</v>
      </c>
      <c r="M999" s="62">
        <v>351.454</v>
      </c>
      <c r="N999" s="62">
        <v>0</v>
      </c>
    </row>
    <row r="1000" spans="1:14">
      <c r="A1000" s="62">
        <v>2022</v>
      </c>
      <c r="B1000" s="62">
        <v>11</v>
      </c>
      <c r="C1000" s="62" t="s">
        <v>5</v>
      </c>
      <c r="D1000" s="62" t="s">
        <v>1</v>
      </c>
      <c r="E1000" s="62">
        <v>1073.0279</v>
      </c>
      <c r="F1000" s="62">
        <v>225.1947325</v>
      </c>
      <c r="I1000" s="62">
        <v>2016</v>
      </c>
      <c r="J1000" s="62">
        <v>1</v>
      </c>
      <c r="K1000" s="62" t="s">
        <v>17</v>
      </c>
      <c r="L1000" s="62" t="s">
        <v>1</v>
      </c>
      <c r="M1000" s="62">
        <v>601.8325</v>
      </c>
      <c r="N1000" s="62">
        <v>0</v>
      </c>
    </row>
    <row r="1001" spans="1:14">
      <c r="A1001" s="62">
        <v>2022</v>
      </c>
      <c r="B1001" s="62">
        <v>12</v>
      </c>
      <c r="C1001" s="62" t="s">
        <v>5</v>
      </c>
      <c r="D1001" s="62" t="s">
        <v>1</v>
      </c>
      <c r="E1001" s="62">
        <v>1013.5128</v>
      </c>
      <c r="F1001" s="62">
        <v>228.750475</v>
      </c>
      <c r="I1001" s="62">
        <v>2016</v>
      </c>
      <c r="J1001" s="62">
        <v>2</v>
      </c>
      <c r="K1001" s="62" t="s">
        <v>17</v>
      </c>
      <c r="L1001" s="62" t="s">
        <v>1</v>
      </c>
      <c r="M1001" s="62">
        <v>846.688</v>
      </c>
      <c r="N1001" s="62">
        <v>0</v>
      </c>
    </row>
    <row r="1002" spans="1:14">
      <c r="A1002" s="62">
        <v>2023</v>
      </c>
      <c r="B1002" s="62">
        <v>1</v>
      </c>
      <c r="C1002" s="62" t="s">
        <v>5</v>
      </c>
      <c r="D1002" s="62" t="s">
        <v>1</v>
      </c>
      <c r="E1002" s="62">
        <v>1256.5976</v>
      </c>
      <c r="F1002" s="62">
        <v>303.822075</v>
      </c>
      <c r="I1002" s="62">
        <v>2016</v>
      </c>
      <c r="J1002" s="62">
        <v>3</v>
      </c>
      <c r="K1002" s="62" t="s">
        <v>17</v>
      </c>
      <c r="L1002" s="62" t="s">
        <v>1</v>
      </c>
      <c r="M1002" s="62">
        <v>691.5885</v>
      </c>
      <c r="N1002" s="62">
        <v>0</v>
      </c>
    </row>
    <row r="1003" spans="1:14">
      <c r="A1003" s="62">
        <v>2023</v>
      </c>
      <c r="B1003" s="62">
        <v>2</v>
      </c>
      <c r="C1003" s="62" t="s">
        <v>5</v>
      </c>
      <c r="D1003" s="62" t="s">
        <v>1</v>
      </c>
      <c r="E1003" s="62">
        <v>1088.065</v>
      </c>
      <c r="F1003" s="62">
        <v>275.5105</v>
      </c>
      <c r="I1003" s="62">
        <v>2016</v>
      </c>
      <c r="J1003" s="62">
        <v>4</v>
      </c>
      <c r="K1003" s="62" t="s">
        <v>17</v>
      </c>
      <c r="L1003" s="62" t="s">
        <v>1</v>
      </c>
      <c r="M1003" s="62">
        <v>710.1559999999999</v>
      </c>
      <c r="N1003" s="62">
        <v>0</v>
      </c>
    </row>
    <row r="1004" spans="1:14">
      <c r="A1004" s="62">
        <v>2023</v>
      </c>
      <c r="B1004" s="62">
        <v>3</v>
      </c>
      <c r="C1004" s="62" t="s">
        <v>5</v>
      </c>
      <c r="D1004" s="62" t="s">
        <v>1</v>
      </c>
      <c r="E1004" s="62">
        <v>1877.395</v>
      </c>
      <c r="F1004" s="62">
        <v>462.010125</v>
      </c>
      <c r="I1004" s="62">
        <v>2016</v>
      </c>
      <c r="J1004" s="62">
        <v>5</v>
      </c>
      <c r="K1004" s="62" t="s">
        <v>17</v>
      </c>
      <c r="L1004" s="62" t="s">
        <v>1</v>
      </c>
      <c r="M1004" s="62">
        <v>589.647</v>
      </c>
      <c r="N1004" s="62">
        <v>0</v>
      </c>
    </row>
    <row r="1005" spans="1:14">
      <c r="A1005" s="62">
        <v>2023</v>
      </c>
      <c r="B1005" s="62">
        <v>4</v>
      </c>
      <c r="C1005" s="62" t="s">
        <v>5</v>
      </c>
      <c r="D1005" s="62" t="s">
        <v>1</v>
      </c>
      <c r="E1005" s="62">
        <v>2007.8074</v>
      </c>
      <c r="F1005" s="62">
        <v>450.27517</v>
      </c>
      <c r="I1005" s="62">
        <v>2016</v>
      </c>
      <c r="J1005" s="62">
        <v>6</v>
      </c>
      <c r="K1005" s="62" t="s">
        <v>17</v>
      </c>
      <c r="L1005" s="62" t="s">
        <v>1</v>
      </c>
      <c r="M1005" s="62">
        <v>229.09</v>
      </c>
      <c r="N1005" s="62">
        <v>0</v>
      </c>
    </row>
    <row r="1006" spans="1:14">
      <c r="A1006" s="62">
        <v>2023</v>
      </c>
      <c r="B1006" s="62">
        <v>5</v>
      </c>
      <c r="C1006" s="62" t="s">
        <v>5</v>
      </c>
      <c r="D1006" s="62" t="s">
        <v>1</v>
      </c>
      <c r="E1006" s="62">
        <v>1042.2436</v>
      </c>
      <c r="F1006" s="62">
        <v>274.955255</v>
      </c>
      <c r="I1006" s="62">
        <v>2016</v>
      </c>
      <c r="J1006" s="62">
        <v>7</v>
      </c>
      <c r="K1006" s="62" t="s">
        <v>17</v>
      </c>
      <c r="L1006" s="62" t="s">
        <v>1</v>
      </c>
      <c r="M1006" s="62">
        <v>334.08</v>
      </c>
      <c r="N1006" s="62">
        <v>0</v>
      </c>
    </row>
    <row r="1007" spans="1:14">
      <c r="A1007" s="62">
        <v>2023</v>
      </c>
      <c r="B1007" s="62">
        <v>6</v>
      </c>
      <c r="C1007" s="62" t="s">
        <v>5</v>
      </c>
      <c r="D1007" s="62" t="s">
        <v>1</v>
      </c>
      <c r="E1007" s="62">
        <v>511.95</v>
      </c>
      <c r="F1007" s="62">
        <v>140.44525</v>
      </c>
      <c r="I1007" s="62">
        <v>2016</v>
      </c>
      <c r="J1007" s="62">
        <v>8</v>
      </c>
      <c r="K1007" s="62" t="s">
        <v>17</v>
      </c>
      <c r="L1007" s="62" t="s">
        <v>1</v>
      </c>
      <c r="M1007" s="62">
        <v>393.483</v>
      </c>
      <c r="N1007" s="62">
        <v>0</v>
      </c>
    </row>
    <row r="1008" spans="1:14">
      <c r="A1008" s="62">
        <v>2023</v>
      </c>
      <c r="B1008" s="62">
        <v>7</v>
      </c>
      <c r="C1008" s="62" t="s">
        <v>5</v>
      </c>
      <c r="D1008" s="62" t="s">
        <v>1</v>
      </c>
      <c r="E1008" s="62">
        <v>453.487</v>
      </c>
      <c r="F1008" s="62">
        <v>87.95665</v>
      </c>
      <c r="I1008" s="62">
        <v>2016</v>
      </c>
      <c r="J1008" s="62">
        <v>9</v>
      </c>
      <c r="K1008" s="62" t="s">
        <v>17</v>
      </c>
      <c r="L1008" s="62" t="s">
        <v>1</v>
      </c>
      <c r="M1008" s="62">
        <v>700.7954999999999</v>
      </c>
      <c r="N1008" s="62">
        <v>0</v>
      </c>
    </row>
    <row r="1009" spans="1:14">
      <c r="A1009" s="62">
        <v>2023</v>
      </c>
      <c r="B1009" s="62">
        <v>8</v>
      </c>
      <c r="C1009" s="62" t="s">
        <v>5</v>
      </c>
      <c r="D1009" s="62" t="s">
        <v>1</v>
      </c>
      <c r="E1009" s="62">
        <v>182.999</v>
      </c>
      <c r="F1009" s="62">
        <v>34.3113</v>
      </c>
      <c r="I1009" s="62">
        <v>2016</v>
      </c>
      <c r="J1009" s="62">
        <v>10</v>
      </c>
      <c r="K1009" s="62" t="s">
        <v>17</v>
      </c>
      <c r="L1009" s="62" t="s">
        <v>1</v>
      </c>
      <c r="M1009" s="62">
        <v>1252.742</v>
      </c>
      <c r="N1009" s="62">
        <v>0</v>
      </c>
    </row>
    <row r="1010" spans="1:14">
      <c r="A1010" s="62">
        <v>2023</v>
      </c>
      <c r="B1010" s="62">
        <v>9</v>
      </c>
      <c r="C1010" s="62" t="s">
        <v>5</v>
      </c>
      <c r="D1010" s="62" t="s">
        <v>1</v>
      </c>
      <c r="E1010" s="62">
        <v>1481.1244</v>
      </c>
      <c r="F1010" s="62">
        <v>241.79514</v>
      </c>
      <c r="I1010" s="62">
        <v>2016</v>
      </c>
      <c r="J1010" s="62">
        <v>11</v>
      </c>
      <c r="K1010" s="62" t="s">
        <v>17</v>
      </c>
      <c r="L1010" s="62" t="s">
        <v>1</v>
      </c>
      <c r="M1010" s="62">
        <v>441.016</v>
      </c>
      <c r="N1010" s="62">
        <v>0</v>
      </c>
    </row>
    <row r="1011" spans="1:14">
      <c r="A1011" s="62">
        <v>2023</v>
      </c>
      <c r="B1011" s="62">
        <v>10</v>
      </c>
      <c r="C1011" s="62" t="s">
        <v>5</v>
      </c>
      <c r="D1011" s="62" t="s">
        <v>1</v>
      </c>
      <c r="E1011" s="62">
        <v>1816.5088</v>
      </c>
      <c r="F1011" s="62">
        <v>300.5294225</v>
      </c>
      <c r="I1011" s="62">
        <v>2016</v>
      </c>
      <c r="J1011" s="62">
        <v>12</v>
      </c>
      <c r="K1011" s="62" t="s">
        <v>17</v>
      </c>
      <c r="L1011" s="62" t="s">
        <v>1</v>
      </c>
      <c r="M1011" s="62">
        <v>277.9279</v>
      </c>
      <c r="N1011" s="62">
        <v>0</v>
      </c>
    </row>
    <row r="1012" spans="1:14">
      <c r="A1012" s="62">
        <v>2023</v>
      </c>
      <c r="B1012" s="62">
        <v>11</v>
      </c>
      <c r="C1012" s="62" t="s">
        <v>5</v>
      </c>
      <c r="D1012" s="62" t="s">
        <v>1</v>
      </c>
      <c r="E1012" s="62">
        <v>326.1729</v>
      </c>
      <c r="F1012" s="62">
        <v>81.2295325</v>
      </c>
      <c r="I1012" s="62">
        <v>2017</v>
      </c>
      <c r="J1012" s="62">
        <v>1</v>
      </c>
      <c r="K1012" s="62" t="s">
        <v>17</v>
      </c>
      <c r="L1012" s="62" t="s">
        <v>1</v>
      </c>
      <c r="M1012" s="62">
        <v>573.4862000000001</v>
      </c>
      <c r="N1012" s="62">
        <v>0</v>
      </c>
    </row>
    <row r="1013" spans="1:14">
      <c r="A1013" s="62">
        <v>2023</v>
      </c>
      <c r="B1013" s="62">
        <v>12</v>
      </c>
      <c r="C1013" s="62" t="s">
        <v>5</v>
      </c>
      <c r="D1013" s="62" t="s">
        <v>1</v>
      </c>
      <c r="E1013" s="62">
        <v>60.5386</v>
      </c>
      <c r="F1013" s="62">
        <v>21.21408</v>
      </c>
      <c r="I1013" s="62">
        <v>2017</v>
      </c>
      <c r="J1013" s="62">
        <v>2</v>
      </c>
      <c r="K1013" s="62" t="s">
        <v>17</v>
      </c>
      <c r="L1013" s="62" t="s">
        <v>1</v>
      </c>
      <c r="M1013" s="62">
        <v>1052.694</v>
      </c>
      <c r="N1013" s="62">
        <v>0</v>
      </c>
    </row>
    <row r="1014" spans="1:14">
      <c r="A1014" s="62">
        <v>2024</v>
      </c>
      <c r="B1014" s="62">
        <v>1</v>
      </c>
      <c r="C1014" s="62" t="s">
        <v>5</v>
      </c>
      <c r="D1014" s="62" t="s">
        <v>1</v>
      </c>
      <c r="E1014" s="62">
        <v>82.622</v>
      </c>
      <c r="F1014" s="62">
        <v>24.32765</v>
      </c>
      <c r="I1014" s="62">
        <v>2017</v>
      </c>
      <c r="J1014" s="62">
        <v>3</v>
      </c>
      <c r="K1014" s="62" t="s">
        <v>17</v>
      </c>
      <c r="L1014" s="62" t="s">
        <v>1</v>
      </c>
      <c r="M1014" s="62">
        <v>1052.7505</v>
      </c>
      <c r="N1014" s="62">
        <v>0</v>
      </c>
    </row>
    <row r="1015" spans="1:14">
      <c r="A1015" s="62">
        <v>2024</v>
      </c>
      <c r="B1015" s="62">
        <v>2</v>
      </c>
      <c r="C1015" s="62" t="s">
        <v>5</v>
      </c>
      <c r="D1015" s="62" t="s">
        <v>1</v>
      </c>
      <c r="E1015" s="62">
        <v>1893.1044</v>
      </c>
      <c r="F1015" s="62">
        <v>495.905295</v>
      </c>
      <c r="I1015" s="62">
        <v>2017</v>
      </c>
      <c r="J1015" s="62">
        <v>4</v>
      </c>
      <c r="K1015" s="62" t="s">
        <v>17</v>
      </c>
      <c r="L1015" s="62" t="s">
        <v>1</v>
      </c>
      <c r="M1015" s="62">
        <v>565.64</v>
      </c>
      <c r="N1015" s="62">
        <v>0</v>
      </c>
    </row>
    <row r="1016" spans="1:14">
      <c r="A1016" s="62">
        <v>2024</v>
      </c>
      <c r="B1016" s="62">
        <v>3</v>
      </c>
      <c r="C1016" s="62" t="s">
        <v>5</v>
      </c>
      <c r="D1016" s="62" t="s">
        <v>1</v>
      </c>
      <c r="E1016" s="62">
        <v>1347.1691</v>
      </c>
      <c r="F1016" s="62">
        <v>244.5921175</v>
      </c>
      <c r="I1016" s="62">
        <v>2017</v>
      </c>
      <c r="J1016" s="62">
        <v>5</v>
      </c>
      <c r="K1016" s="62" t="s">
        <v>17</v>
      </c>
      <c r="L1016" s="62" t="s">
        <v>1</v>
      </c>
      <c r="M1016" s="62">
        <v>460.401</v>
      </c>
      <c r="N1016" s="62">
        <v>0</v>
      </c>
    </row>
    <row r="1017" spans="1:14">
      <c r="A1017" s="62">
        <v>2024</v>
      </c>
      <c r="B1017" s="62">
        <v>4</v>
      </c>
      <c r="C1017" s="62" t="s">
        <v>5</v>
      </c>
      <c r="D1017" s="62" t="s">
        <v>1</v>
      </c>
      <c r="E1017" s="62">
        <v>1456.5636</v>
      </c>
      <c r="F1017" s="62">
        <v>297.597465</v>
      </c>
      <c r="I1017" s="62">
        <v>2017</v>
      </c>
      <c r="J1017" s="62">
        <v>6</v>
      </c>
      <c r="K1017" s="62" t="s">
        <v>17</v>
      </c>
      <c r="L1017" s="62" t="s">
        <v>1</v>
      </c>
      <c r="M1017" s="62">
        <v>431.537</v>
      </c>
      <c r="N1017" s="62">
        <v>0</v>
      </c>
    </row>
    <row r="1018" spans="1:14">
      <c r="A1018" s="62">
        <v>2024</v>
      </c>
      <c r="B1018" s="62">
        <v>5</v>
      </c>
      <c r="C1018" s="62" t="s">
        <v>5</v>
      </c>
      <c r="D1018" s="62" t="s">
        <v>1</v>
      </c>
      <c r="E1018" s="62">
        <v>670.5625</v>
      </c>
      <c r="F1018" s="62">
        <v>136.7857</v>
      </c>
      <c r="I1018" s="62">
        <v>2017</v>
      </c>
      <c r="J1018" s="62">
        <v>7</v>
      </c>
      <c r="K1018" s="62" t="s">
        <v>17</v>
      </c>
      <c r="L1018" s="62" t="s">
        <v>1</v>
      </c>
      <c r="M1018" s="62">
        <v>265.3409</v>
      </c>
      <c r="N1018" s="62">
        <v>0</v>
      </c>
    </row>
    <row r="1019" spans="1:14">
      <c r="A1019" s="62">
        <v>2024</v>
      </c>
      <c r="B1019" s="62">
        <v>6</v>
      </c>
      <c r="C1019" s="62" t="s">
        <v>5</v>
      </c>
      <c r="D1019" s="62" t="s">
        <v>1</v>
      </c>
      <c r="E1019" s="62">
        <v>364.397</v>
      </c>
      <c r="F1019" s="62">
        <v>83.157</v>
      </c>
      <c r="I1019" s="62">
        <v>2017</v>
      </c>
      <c r="J1019" s="62">
        <v>8</v>
      </c>
      <c r="K1019" s="62" t="s">
        <v>17</v>
      </c>
      <c r="L1019" s="62" t="s">
        <v>1</v>
      </c>
      <c r="M1019" s="62">
        <v>875.7139</v>
      </c>
      <c r="N1019" s="62">
        <v>0</v>
      </c>
    </row>
    <row r="1020" spans="1:14">
      <c r="A1020" s="62">
        <v>2024</v>
      </c>
      <c r="B1020" s="62">
        <v>7</v>
      </c>
      <c r="C1020" s="62" t="s">
        <v>5</v>
      </c>
      <c r="D1020" s="62" t="s">
        <v>1</v>
      </c>
      <c r="E1020" s="62">
        <v>802.508</v>
      </c>
      <c r="F1020" s="62">
        <v>171.342525</v>
      </c>
      <c r="I1020" s="62">
        <v>2017</v>
      </c>
      <c r="J1020" s="62">
        <v>9</v>
      </c>
      <c r="K1020" s="62" t="s">
        <v>17</v>
      </c>
      <c r="L1020" s="62" t="s">
        <v>1</v>
      </c>
      <c r="M1020" s="62">
        <v>2488.37</v>
      </c>
      <c r="N1020" s="62">
        <v>0</v>
      </c>
    </row>
    <row r="1021" spans="1:14">
      <c r="A1021" s="62">
        <v>2024</v>
      </c>
      <c r="B1021" s="62">
        <v>8</v>
      </c>
      <c r="C1021" s="62" t="s">
        <v>5</v>
      </c>
      <c r="D1021" s="62" t="s">
        <v>1</v>
      </c>
      <c r="E1021" s="62">
        <v>516.3492</v>
      </c>
      <c r="F1021" s="62">
        <v>128.37414</v>
      </c>
      <c r="I1021" s="62">
        <v>2017</v>
      </c>
      <c r="J1021" s="62">
        <v>10</v>
      </c>
      <c r="K1021" s="62" t="s">
        <v>17</v>
      </c>
      <c r="L1021" s="62" t="s">
        <v>1</v>
      </c>
      <c r="M1021" s="62">
        <v>1437.2326</v>
      </c>
      <c r="N1021" s="62">
        <v>0</v>
      </c>
    </row>
    <row r="1022" spans="1:14">
      <c r="A1022" s="62">
        <v>2024</v>
      </c>
      <c r="B1022" s="62">
        <v>9</v>
      </c>
      <c r="C1022" s="62" t="s">
        <v>5</v>
      </c>
      <c r="D1022" s="62" t="s">
        <v>1</v>
      </c>
      <c r="E1022" s="62">
        <v>1029.2768</v>
      </c>
      <c r="F1022" s="62">
        <v>249.0501025</v>
      </c>
      <c r="I1022" s="62">
        <v>2017</v>
      </c>
      <c r="J1022" s="62">
        <v>11</v>
      </c>
      <c r="K1022" s="62" t="s">
        <v>17</v>
      </c>
      <c r="L1022" s="62" t="s">
        <v>1</v>
      </c>
      <c r="M1022" s="62">
        <v>703.25</v>
      </c>
      <c r="N1022" s="62">
        <v>0</v>
      </c>
    </row>
    <row r="1023" spans="1:14">
      <c r="A1023" s="62">
        <v>2024</v>
      </c>
      <c r="B1023" s="62">
        <v>10</v>
      </c>
      <c r="C1023" s="62" t="s">
        <v>5</v>
      </c>
      <c r="D1023" s="62" t="s">
        <v>1</v>
      </c>
      <c r="E1023" s="62">
        <v>1512.466</v>
      </c>
      <c r="F1023" s="62">
        <v>427.8332</v>
      </c>
      <c r="I1023" s="62">
        <v>2017</v>
      </c>
      <c r="J1023" s="62">
        <v>12</v>
      </c>
      <c r="K1023" s="62" t="s">
        <v>17</v>
      </c>
      <c r="L1023" s="62" t="s">
        <v>1</v>
      </c>
      <c r="M1023" s="62">
        <v>80.28999999999999</v>
      </c>
      <c r="N1023" s="62">
        <v>0</v>
      </c>
    </row>
    <row r="1024" spans="1:14">
      <c r="A1024" s="62">
        <v>2024</v>
      </c>
      <c r="B1024" s="62">
        <v>11</v>
      </c>
      <c r="C1024" s="62" t="s">
        <v>5</v>
      </c>
      <c r="D1024" s="62" t="s">
        <v>1</v>
      </c>
      <c r="E1024" s="62">
        <v>525.778</v>
      </c>
      <c r="F1024" s="62">
        <v>135.819075</v>
      </c>
      <c r="I1024" s="62">
        <v>2018</v>
      </c>
      <c r="J1024" s="62">
        <v>1</v>
      </c>
      <c r="K1024" s="62" t="s">
        <v>17</v>
      </c>
      <c r="L1024" s="62" t="s">
        <v>1</v>
      </c>
      <c r="M1024" s="62">
        <v>376.495</v>
      </c>
      <c r="N1024" s="62">
        <v>0</v>
      </c>
    </row>
    <row r="1025" spans="1:14">
      <c r="A1025" s="62">
        <v>2024</v>
      </c>
      <c r="B1025" s="62">
        <v>12</v>
      </c>
      <c r="C1025" s="62" t="s">
        <v>5</v>
      </c>
      <c r="D1025" s="62" t="s">
        <v>1</v>
      </c>
      <c r="E1025" s="62">
        <v>41.1286</v>
      </c>
      <c r="F1025" s="62">
        <v>3.428855</v>
      </c>
      <c r="I1025" s="62">
        <v>2018</v>
      </c>
      <c r="J1025" s="62">
        <v>2</v>
      </c>
      <c r="K1025" s="62" t="s">
        <v>17</v>
      </c>
      <c r="L1025" s="62" t="s">
        <v>1</v>
      </c>
      <c r="M1025" s="62">
        <v>1039.964</v>
      </c>
      <c r="N1025" s="62">
        <v>0</v>
      </c>
    </row>
    <row r="1026" spans="1:14">
      <c r="A1026" s="62">
        <v>2025</v>
      </c>
      <c r="B1026" s="62">
        <v>1</v>
      </c>
      <c r="C1026" s="62" t="s">
        <v>5</v>
      </c>
      <c r="D1026" s="62" t="s">
        <v>1</v>
      </c>
      <c r="E1026" s="62">
        <v>194.6489</v>
      </c>
      <c r="F1026" s="62">
        <v>50.331455</v>
      </c>
      <c r="I1026" s="62">
        <v>2018</v>
      </c>
      <c r="J1026" s="62">
        <v>3</v>
      </c>
      <c r="K1026" s="62" t="s">
        <v>17</v>
      </c>
      <c r="L1026" s="62" t="s">
        <v>1</v>
      </c>
      <c r="M1026" s="62">
        <v>1178.407</v>
      </c>
      <c r="N1026" s="62">
        <v>0</v>
      </c>
    </row>
    <row r="1027" spans="1:14">
      <c r="A1027" s="62">
        <v>2025</v>
      </c>
      <c r="B1027" s="62">
        <v>2</v>
      </c>
      <c r="C1027" s="62" t="s">
        <v>5</v>
      </c>
      <c r="D1027" s="62" t="s">
        <v>1</v>
      </c>
      <c r="E1027" s="62">
        <v>601.5409</v>
      </c>
      <c r="F1027" s="62">
        <v>134.26118</v>
      </c>
      <c r="I1027" s="62">
        <v>2018</v>
      </c>
      <c r="J1027" s="62">
        <v>4</v>
      </c>
      <c r="K1027" s="62" t="s">
        <v>17</v>
      </c>
      <c r="L1027" s="62" t="s">
        <v>1</v>
      </c>
      <c r="M1027" s="62">
        <v>730.022</v>
      </c>
      <c r="N1027" s="62">
        <v>0</v>
      </c>
    </row>
    <row r="1028" spans="1:14">
      <c r="A1028" s="62">
        <v>2025</v>
      </c>
      <c r="B1028" s="62">
        <v>3</v>
      </c>
      <c r="C1028" s="62" t="s">
        <v>5</v>
      </c>
      <c r="D1028" s="62" t="s">
        <v>1</v>
      </c>
      <c r="E1028" s="62">
        <v>1263.025</v>
      </c>
      <c r="F1028" s="62">
        <v>303.091</v>
      </c>
      <c r="I1028" s="62">
        <v>2018</v>
      </c>
      <c r="J1028" s="62">
        <v>5</v>
      </c>
      <c r="K1028" s="62" t="s">
        <v>17</v>
      </c>
      <c r="L1028" s="62" t="s">
        <v>1</v>
      </c>
      <c r="M1028" s="62">
        <v>596.856</v>
      </c>
      <c r="N1028" s="62">
        <v>0</v>
      </c>
    </row>
    <row r="1029" spans="1:14">
      <c r="A1029" s="62">
        <v>2025</v>
      </c>
      <c r="B1029" s="62">
        <v>4</v>
      </c>
      <c r="C1029" s="62" t="s">
        <v>5</v>
      </c>
      <c r="D1029" s="62" t="s">
        <v>1</v>
      </c>
      <c r="E1029" s="62">
        <v>2161.4255</v>
      </c>
      <c r="F1029" s="62">
        <v>510.90565</v>
      </c>
      <c r="I1029" s="62">
        <v>2018</v>
      </c>
      <c r="J1029" s="62">
        <v>6</v>
      </c>
      <c r="K1029" s="62" t="s">
        <v>17</v>
      </c>
      <c r="L1029" s="62" t="s">
        <v>1</v>
      </c>
      <c r="M1029" s="62">
        <v>436.85</v>
      </c>
      <c r="N1029" s="62">
        <v>0</v>
      </c>
    </row>
    <row r="1030" spans="1:14">
      <c r="A1030" s="62">
        <v>2025</v>
      </c>
      <c r="B1030" s="62">
        <v>5</v>
      </c>
      <c r="C1030" s="62" t="s">
        <v>5</v>
      </c>
      <c r="D1030" s="62" t="s">
        <v>1</v>
      </c>
      <c r="E1030" s="62">
        <v>919.8905999999999</v>
      </c>
      <c r="F1030" s="62">
        <v>266.801355</v>
      </c>
      <c r="I1030" s="62">
        <v>2018</v>
      </c>
      <c r="J1030" s="62">
        <v>7</v>
      </c>
      <c r="K1030" s="62" t="s">
        <v>17</v>
      </c>
      <c r="L1030" s="62" t="s">
        <v>1</v>
      </c>
      <c r="M1030" s="62">
        <v>551.134</v>
      </c>
      <c r="N1030" s="62">
        <v>0</v>
      </c>
    </row>
    <row r="1031" spans="1:14">
      <c r="A1031" s="62">
        <v>2025</v>
      </c>
      <c r="B1031" s="62">
        <v>6</v>
      </c>
      <c r="C1031" s="62" t="s">
        <v>5</v>
      </c>
      <c r="D1031" s="62" t="s">
        <v>1</v>
      </c>
      <c r="E1031" s="62">
        <v>326.2495</v>
      </c>
      <c r="F1031" s="62">
        <v>82.22887499999999</v>
      </c>
      <c r="I1031" s="62">
        <v>2018</v>
      </c>
      <c r="J1031" s="62">
        <v>8</v>
      </c>
      <c r="K1031" s="62" t="s">
        <v>17</v>
      </c>
      <c r="L1031" s="62" t="s">
        <v>1</v>
      </c>
      <c r="M1031" s="62">
        <v>406.585</v>
      </c>
      <c r="N1031" s="62">
        <v>0</v>
      </c>
    </row>
    <row r="1032" spans="1:14">
      <c r="A1032" s="62">
        <v>2025</v>
      </c>
      <c r="B1032" s="62">
        <v>7</v>
      </c>
      <c r="C1032" s="62" t="s">
        <v>5</v>
      </c>
      <c r="D1032" s="62" t="s">
        <v>1</v>
      </c>
      <c r="E1032" s="62">
        <v>260.566</v>
      </c>
      <c r="F1032" s="62">
        <v>47.314225</v>
      </c>
      <c r="I1032" s="62">
        <v>2018</v>
      </c>
      <c r="J1032" s="62">
        <v>9</v>
      </c>
      <c r="K1032" s="62" t="s">
        <v>17</v>
      </c>
      <c r="L1032" s="62" t="s">
        <v>1</v>
      </c>
      <c r="M1032" s="62">
        <v>724.3</v>
      </c>
      <c r="N1032" s="62">
        <v>0</v>
      </c>
    </row>
    <row r="1033" spans="1:14">
      <c r="A1033" s="62">
        <v>2025</v>
      </c>
      <c r="B1033" s="62">
        <v>8</v>
      </c>
      <c r="C1033" s="62" t="s">
        <v>5</v>
      </c>
      <c r="D1033" s="62" t="s">
        <v>1</v>
      </c>
      <c r="E1033" s="62">
        <v>603.6235</v>
      </c>
      <c r="F1033" s="62">
        <v>110.3852625</v>
      </c>
      <c r="I1033" s="62">
        <v>2018</v>
      </c>
      <c r="J1033" s="62">
        <v>10</v>
      </c>
      <c r="K1033" s="62" t="s">
        <v>17</v>
      </c>
      <c r="L1033" s="62" t="s">
        <v>1</v>
      </c>
      <c r="M1033" s="62">
        <v>1077.053</v>
      </c>
      <c r="N1033" s="62">
        <v>0</v>
      </c>
    </row>
    <row r="1034" spans="1:14">
      <c r="A1034" s="62">
        <v>2025</v>
      </c>
      <c r="B1034" s="62">
        <v>9</v>
      </c>
      <c r="C1034" s="62" t="s">
        <v>5</v>
      </c>
      <c r="D1034" s="62" t="s">
        <v>1</v>
      </c>
      <c r="E1034" s="62">
        <v>773.2645</v>
      </c>
      <c r="F1034" s="62">
        <v>148.7457</v>
      </c>
      <c r="I1034" s="62">
        <v>2018</v>
      </c>
      <c r="J1034" s="62">
        <v>11</v>
      </c>
      <c r="K1034" s="62" t="s">
        <v>17</v>
      </c>
      <c r="L1034" s="62" t="s">
        <v>1</v>
      </c>
      <c r="M1034" s="62">
        <v>475.195</v>
      </c>
      <c r="N1034" s="62">
        <v>0</v>
      </c>
    </row>
    <row r="1035" spans="1:14">
      <c r="A1035" s="62">
        <v>2025</v>
      </c>
      <c r="B1035" s="62">
        <v>10</v>
      </c>
      <c r="C1035" s="62" t="s">
        <v>5</v>
      </c>
      <c r="D1035" s="62" t="s">
        <v>1</v>
      </c>
      <c r="E1035" s="62">
        <v>1204.6989</v>
      </c>
      <c r="F1035" s="62">
        <v>291.5666075</v>
      </c>
      <c r="I1035" s="62">
        <v>2018</v>
      </c>
      <c r="J1035" s="62">
        <v>12</v>
      </c>
      <c r="K1035" s="62" t="s">
        <v>17</v>
      </c>
      <c r="L1035" s="62" t="s">
        <v>1</v>
      </c>
      <c r="M1035" s="62">
        <v>206.144</v>
      </c>
      <c r="N1035" s="62">
        <v>0</v>
      </c>
    </row>
    <row r="1036" spans="1:14">
      <c r="A1036" s="62">
        <v>2025</v>
      </c>
      <c r="B1036" s="62">
        <v>11</v>
      </c>
      <c r="C1036" s="62" t="s">
        <v>5</v>
      </c>
      <c r="D1036" s="62" t="s">
        <v>1</v>
      </c>
      <c r="E1036" s="62">
        <v>328.8481</v>
      </c>
      <c r="F1036" s="62">
        <v>116.59523</v>
      </c>
      <c r="I1036" s="62">
        <v>2019</v>
      </c>
      <c r="J1036" s="62">
        <v>1</v>
      </c>
      <c r="K1036" s="62" t="s">
        <v>17</v>
      </c>
      <c r="L1036" s="62" t="s">
        <v>1</v>
      </c>
      <c r="M1036" s="62">
        <v>550.4160000000001</v>
      </c>
      <c r="N1036" s="62">
        <v>0</v>
      </c>
    </row>
    <row r="1037" spans="1:14">
      <c r="A1037" s="62">
        <v>2025</v>
      </c>
      <c r="B1037" s="62">
        <v>12</v>
      </c>
      <c r="C1037" s="62" t="s">
        <v>5</v>
      </c>
      <c r="D1037" s="62" t="s">
        <v>1</v>
      </c>
      <c r="E1037" s="62">
        <v>129.87</v>
      </c>
      <c r="F1037" s="62">
        <v>15.9435</v>
      </c>
      <c r="I1037" s="62">
        <v>2019</v>
      </c>
      <c r="J1037" s="62">
        <v>2</v>
      </c>
      <c r="K1037" s="62" t="s">
        <v>17</v>
      </c>
      <c r="L1037" s="62" t="s">
        <v>1</v>
      </c>
      <c r="M1037" s="62">
        <v>965.5146</v>
      </c>
      <c r="N1037" s="62">
        <v>0</v>
      </c>
    </row>
    <row r="1038" spans="1:14">
      <c r="A1038" s="62">
        <v>2026</v>
      </c>
      <c r="B1038" s="62">
        <v>1</v>
      </c>
      <c r="C1038" s="62" t="s">
        <v>5</v>
      </c>
      <c r="D1038" s="62" t="s">
        <v>1</v>
      </c>
      <c r="E1038" s="62">
        <v>161.3505</v>
      </c>
      <c r="F1038" s="62">
        <v>31.452975</v>
      </c>
      <c r="I1038" s="62">
        <v>2019</v>
      </c>
      <c r="J1038" s="62">
        <v>3</v>
      </c>
      <c r="K1038" s="62" t="s">
        <v>17</v>
      </c>
      <c r="L1038" s="62" t="s">
        <v>1</v>
      </c>
      <c r="M1038" s="62">
        <v>1118.009</v>
      </c>
      <c r="N1038" s="62">
        <v>0</v>
      </c>
    </row>
    <row r="1039" spans="1:14">
      <c r="A1039" s="62">
        <v>2026</v>
      </c>
      <c r="B1039" s="62">
        <v>2</v>
      </c>
      <c r="C1039" s="62" t="s">
        <v>5</v>
      </c>
      <c r="D1039" s="62" t="s">
        <v>1</v>
      </c>
      <c r="E1039" s="62">
        <v>720.4935</v>
      </c>
      <c r="F1039" s="62">
        <v>164.435375</v>
      </c>
      <c r="I1039" s="62">
        <v>2019</v>
      </c>
      <c r="J1039" s="62">
        <v>4</v>
      </c>
      <c r="K1039" s="62" t="s">
        <v>17</v>
      </c>
      <c r="L1039" s="62" t="s">
        <v>1</v>
      </c>
      <c r="M1039" s="62">
        <v>1615.668</v>
      </c>
      <c r="N1039" s="62">
        <v>0</v>
      </c>
    </row>
    <row r="1040" spans="1:14">
      <c r="A1040" s="62">
        <v>2026</v>
      </c>
      <c r="B1040" s="62">
        <v>3</v>
      </c>
      <c r="C1040" s="62" t="s">
        <v>5</v>
      </c>
      <c r="D1040" s="62" t="s">
        <v>1</v>
      </c>
      <c r="E1040" s="62">
        <v>1236.0397</v>
      </c>
      <c r="F1040" s="62">
        <v>238.8490475</v>
      </c>
      <c r="I1040" s="62">
        <v>2019</v>
      </c>
      <c r="J1040" s="62">
        <v>5</v>
      </c>
      <c r="K1040" s="62" t="s">
        <v>17</v>
      </c>
      <c r="L1040" s="62" t="s">
        <v>1</v>
      </c>
      <c r="M1040" s="62">
        <v>1056.274</v>
      </c>
      <c r="N1040" s="62">
        <v>0</v>
      </c>
    </row>
    <row r="1041" spans="1:14">
      <c r="A1041" s="62">
        <v>2026</v>
      </c>
      <c r="B1041" s="62">
        <v>4</v>
      </c>
      <c r="C1041" s="62" t="s">
        <v>5</v>
      </c>
      <c r="D1041" s="62" t="s">
        <v>1</v>
      </c>
      <c r="E1041" s="62">
        <v>1514.833</v>
      </c>
      <c r="F1041" s="62">
        <v>262.7458</v>
      </c>
      <c r="I1041" s="62">
        <v>2019</v>
      </c>
      <c r="J1041" s="62">
        <v>6</v>
      </c>
      <c r="K1041" s="62" t="s">
        <v>17</v>
      </c>
      <c r="L1041" s="62" t="s">
        <v>1</v>
      </c>
      <c r="M1041" s="62">
        <v>696.25</v>
      </c>
      <c r="N1041" s="62">
        <v>0</v>
      </c>
    </row>
    <row r="1042" spans="1:14">
      <c r="A1042" s="62">
        <v>2026</v>
      </c>
      <c r="B1042" s="62">
        <v>5</v>
      </c>
      <c r="C1042" s="62" t="s">
        <v>5</v>
      </c>
      <c r="D1042" s="62" t="s">
        <v>1</v>
      </c>
      <c r="E1042" s="62">
        <v>829.96</v>
      </c>
      <c r="F1042" s="62">
        <v>218.02485</v>
      </c>
      <c r="I1042" s="62">
        <v>2019</v>
      </c>
      <c r="J1042" s="62">
        <v>7</v>
      </c>
      <c r="K1042" s="62" t="s">
        <v>17</v>
      </c>
      <c r="L1042" s="62" t="s">
        <v>1</v>
      </c>
      <c r="M1042" s="62">
        <v>514.148</v>
      </c>
      <c r="N1042" s="62">
        <v>0</v>
      </c>
    </row>
    <row r="1043" spans="1:14">
      <c r="A1043" s="62">
        <v>2026</v>
      </c>
      <c r="B1043" s="62">
        <v>6</v>
      </c>
      <c r="C1043" s="62" t="s">
        <v>5</v>
      </c>
      <c r="D1043" s="62" t="s">
        <v>1</v>
      </c>
      <c r="E1043" s="62">
        <v>163.075</v>
      </c>
      <c r="F1043" s="62">
        <v>62.718</v>
      </c>
      <c r="I1043" s="62">
        <v>2019</v>
      </c>
      <c r="J1043" s="62">
        <v>8</v>
      </c>
      <c r="K1043" s="62" t="s">
        <v>17</v>
      </c>
      <c r="L1043" s="62" t="s">
        <v>1</v>
      </c>
      <c r="M1043" s="62">
        <v>237.873</v>
      </c>
      <c r="N1043" s="62">
        <v>0</v>
      </c>
    </row>
    <row r="1044" spans="1:14">
      <c r="A1044" s="62">
        <v>2026</v>
      </c>
      <c r="B1044" s="62">
        <v>7</v>
      </c>
      <c r="C1044" s="62" t="s">
        <v>5</v>
      </c>
      <c r="D1044" s="62" t="s">
        <v>1</v>
      </c>
      <c r="E1044" s="62">
        <v>21.715</v>
      </c>
      <c r="F1044" s="62">
        <v>4.63975</v>
      </c>
      <c r="I1044" s="62">
        <v>2019</v>
      </c>
      <c r="J1044" s="62">
        <v>9</v>
      </c>
      <c r="K1044" s="62" t="s">
        <v>17</v>
      </c>
      <c r="L1044" s="62" t="s">
        <v>1</v>
      </c>
      <c r="M1044" s="62">
        <v>910.716</v>
      </c>
      <c r="N1044" s="62">
        <v>0</v>
      </c>
    </row>
    <row r="1045" spans="1:14">
      <c r="A1045" s="62">
        <v>2026</v>
      </c>
      <c r="B1045" s="62">
        <v>9</v>
      </c>
      <c r="C1045" s="62" t="s">
        <v>5</v>
      </c>
      <c r="D1045" s="62" t="s">
        <v>1</v>
      </c>
      <c r="E1045" s="62">
        <v>572.9400000000001</v>
      </c>
      <c r="F1045" s="62">
        <v>144.03425</v>
      </c>
      <c r="I1045" s="62">
        <v>2019</v>
      </c>
      <c r="J1045" s="62">
        <v>10</v>
      </c>
      <c r="K1045" s="62" t="s">
        <v>17</v>
      </c>
      <c r="L1045" s="62" t="s">
        <v>1</v>
      </c>
      <c r="M1045" s="62">
        <v>1263.3452</v>
      </c>
      <c r="N1045" s="62">
        <v>0</v>
      </c>
    </row>
    <row r="1046" spans="1:14">
      <c r="A1046" s="62">
        <v>2026</v>
      </c>
      <c r="B1046" s="62">
        <v>10</v>
      </c>
      <c r="C1046" s="62" t="s">
        <v>5</v>
      </c>
      <c r="D1046" s="62" t="s">
        <v>1</v>
      </c>
      <c r="E1046" s="62">
        <v>705.146</v>
      </c>
      <c r="F1046" s="62">
        <v>187.99715</v>
      </c>
      <c r="I1046" s="62">
        <v>2019</v>
      </c>
      <c r="J1046" s="62">
        <v>11</v>
      </c>
      <c r="K1046" s="62" t="s">
        <v>17</v>
      </c>
      <c r="L1046" s="62" t="s">
        <v>1</v>
      </c>
      <c r="M1046" s="62">
        <v>830.975</v>
      </c>
      <c r="N1046" s="62">
        <v>0</v>
      </c>
    </row>
    <row r="1047" spans="1:14">
      <c r="A1047" s="62">
        <v>2026</v>
      </c>
      <c r="B1047" s="62">
        <v>11</v>
      </c>
      <c r="C1047" s="62" t="s">
        <v>5</v>
      </c>
      <c r="D1047" s="62" t="s">
        <v>1</v>
      </c>
      <c r="E1047" s="62">
        <v>397.5</v>
      </c>
      <c r="F1047" s="62">
        <v>103.15</v>
      </c>
      <c r="I1047" s="62">
        <v>2019</v>
      </c>
      <c r="J1047" s="62">
        <v>12</v>
      </c>
      <c r="K1047" s="62" t="s">
        <v>17</v>
      </c>
      <c r="L1047" s="62" t="s">
        <v>1</v>
      </c>
      <c r="M1047" s="62">
        <v>209.3056</v>
      </c>
      <c r="N1047" s="62">
        <v>0</v>
      </c>
    </row>
    <row r="1048" spans="1:14">
      <c r="A1048" s="62">
        <v>2027</v>
      </c>
      <c r="B1048" s="62">
        <v>2</v>
      </c>
      <c r="C1048" s="62" t="s">
        <v>5</v>
      </c>
      <c r="D1048" s="62" t="s">
        <v>1</v>
      </c>
      <c r="E1048" s="62">
        <v>192.48</v>
      </c>
      <c r="F1048" s="62">
        <v>51.804</v>
      </c>
      <c r="I1048" s="62">
        <v>2020</v>
      </c>
      <c r="J1048" s="62">
        <v>1</v>
      </c>
      <c r="K1048" s="62" t="s">
        <v>17</v>
      </c>
      <c r="L1048" s="62" t="s">
        <v>1</v>
      </c>
      <c r="M1048" s="62">
        <v>410.9372</v>
      </c>
      <c r="N1048" s="62">
        <v>0</v>
      </c>
    </row>
    <row r="1049" spans="1:14">
      <c r="A1049" s="62">
        <v>2027</v>
      </c>
      <c r="B1049" s="62">
        <v>3</v>
      </c>
      <c r="C1049" s="62" t="s">
        <v>5</v>
      </c>
      <c r="D1049" s="62" t="s">
        <v>1</v>
      </c>
      <c r="E1049" s="62">
        <v>614.741</v>
      </c>
      <c r="F1049" s="62">
        <v>115.32875</v>
      </c>
      <c r="I1049" s="62">
        <v>2020</v>
      </c>
      <c r="J1049" s="62">
        <v>2</v>
      </c>
      <c r="K1049" s="62" t="s">
        <v>17</v>
      </c>
      <c r="L1049" s="62" t="s">
        <v>1</v>
      </c>
      <c r="M1049" s="62">
        <v>746.891</v>
      </c>
      <c r="N1049" s="62">
        <v>0</v>
      </c>
    </row>
    <row r="1050" spans="1:14">
      <c r="A1050" s="62">
        <v>2027</v>
      </c>
      <c r="B1050" s="62">
        <v>4</v>
      </c>
      <c r="C1050" s="62" t="s">
        <v>5</v>
      </c>
      <c r="D1050" s="62" t="s">
        <v>1</v>
      </c>
      <c r="E1050" s="62">
        <v>961.0699999999999</v>
      </c>
      <c r="F1050" s="62">
        <v>186.9595</v>
      </c>
      <c r="I1050" s="62">
        <v>2020</v>
      </c>
      <c r="J1050" s="62">
        <v>3</v>
      </c>
      <c r="K1050" s="62" t="s">
        <v>17</v>
      </c>
      <c r="L1050" s="62" t="s">
        <v>1</v>
      </c>
      <c r="M1050" s="62">
        <v>1309.5472</v>
      </c>
      <c r="N1050" s="62">
        <v>0</v>
      </c>
    </row>
    <row r="1051" spans="1:14">
      <c r="A1051" s="62">
        <v>2027</v>
      </c>
      <c r="B1051" s="62">
        <v>5</v>
      </c>
      <c r="C1051" s="62" t="s">
        <v>5</v>
      </c>
      <c r="D1051" s="62" t="s">
        <v>1</v>
      </c>
      <c r="E1051" s="62">
        <v>473.25</v>
      </c>
      <c r="F1051" s="62">
        <v>105.7875</v>
      </c>
      <c r="I1051" s="62">
        <v>2020</v>
      </c>
      <c r="J1051" s="62">
        <v>4</v>
      </c>
      <c r="K1051" s="62" t="s">
        <v>17</v>
      </c>
      <c r="L1051" s="62" t="s">
        <v>1</v>
      </c>
      <c r="M1051" s="62">
        <v>3790.4744</v>
      </c>
      <c r="N1051" s="62">
        <v>0</v>
      </c>
    </row>
    <row r="1052" spans="1:14">
      <c r="A1052" s="62">
        <v>2027</v>
      </c>
      <c r="B1052" s="62">
        <v>9</v>
      </c>
      <c r="C1052" s="62" t="s">
        <v>5</v>
      </c>
      <c r="D1052" s="62" t="s">
        <v>1</v>
      </c>
      <c r="E1052" s="62">
        <v>1168.516</v>
      </c>
      <c r="F1052" s="62">
        <v>294.192125</v>
      </c>
      <c r="I1052" s="62">
        <v>2020</v>
      </c>
      <c r="J1052" s="62">
        <v>5</v>
      </c>
      <c r="K1052" s="62" t="s">
        <v>17</v>
      </c>
      <c r="L1052" s="62" t="s">
        <v>1</v>
      </c>
      <c r="M1052" s="62">
        <v>3868.1194</v>
      </c>
      <c r="N1052" s="62">
        <v>0</v>
      </c>
    </row>
    <row r="1053" spans="1:14">
      <c r="A1053" s="62">
        <v>2027</v>
      </c>
      <c r="B1053" s="62">
        <v>10</v>
      </c>
      <c r="C1053" s="62" t="s">
        <v>5</v>
      </c>
      <c r="D1053" s="62" t="s">
        <v>1</v>
      </c>
      <c r="E1053" s="62">
        <v>583.63</v>
      </c>
      <c r="F1053" s="62">
        <v>186.155375</v>
      </c>
      <c r="I1053" s="62">
        <v>2020</v>
      </c>
      <c r="J1053" s="62">
        <v>6</v>
      </c>
      <c r="K1053" s="62" t="s">
        <v>17</v>
      </c>
      <c r="L1053" s="62" t="s">
        <v>1</v>
      </c>
      <c r="M1053" s="62">
        <v>3759.0007</v>
      </c>
      <c r="N1053" s="62">
        <v>0</v>
      </c>
    </row>
    <row r="1054" spans="1:14">
      <c r="A1054" s="62">
        <v>2027</v>
      </c>
      <c r="B1054" s="62">
        <v>11</v>
      </c>
      <c r="C1054" s="62" t="s">
        <v>5</v>
      </c>
      <c r="D1054" s="62" t="s">
        <v>1</v>
      </c>
      <c r="E1054" s="62">
        <v>1.8</v>
      </c>
      <c r="F1054" s="62">
        <v>1.53</v>
      </c>
      <c r="I1054" s="62">
        <v>2020</v>
      </c>
      <c r="J1054" s="62">
        <v>7</v>
      </c>
      <c r="K1054" s="62" t="s">
        <v>17</v>
      </c>
      <c r="L1054" s="62" t="s">
        <v>1</v>
      </c>
      <c r="M1054" s="62">
        <v>3675.2619</v>
      </c>
      <c r="N1054" s="62">
        <v>0</v>
      </c>
    </row>
    <row r="1055" spans="1:14">
      <c r="A1055" s="62">
        <v>2014</v>
      </c>
      <c r="B1055" s="62">
        <v>1</v>
      </c>
      <c r="C1055" s="62" t="s">
        <v>5</v>
      </c>
      <c r="D1055" s="62" t="s">
        <v>2</v>
      </c>
      <c r="E1055" s="62">
        <v>14.28</v>
      </c>
      <c r="F1055" s="62">
        <v>4.118</v>
      </c>
      <c r="I1055" s="62">
        <v>2020</v>
      </c>
      <c r="J1055" s="62">
        <v>8</v>
      </c>
      <c r="K1055" s="62" t="s">
        <v>17</v>
      </c>
      <c r="L1055" s="62" t="s">
        <v>1</v>
      </c>
      <c r="M1055" s="62">
        <v>3847.2847</v>
      </c>
      <c r="N1055" s="62">
        <v>0</v>
      </c>
    </row>
    <row r="1056" spans="1:14">
      <c r="A1056" s="62">
        <v>2014</v>
      </c>
      <c r="B1056" s="62">
        <v>2</v>
      </c>
      <c r="C1056" s="62" t="s">
        <v>5</v>
      </c>
      <c r="D1056" s="62" t="s">
        <v>2</v>
      </c>
      <c r="E1056" s="62">
        <v>57.72</v>
      </c>
      <c r="F1056" s="62">
        <v>13.48625</v>
      </c>
      <c r="I1056" s="62">
        <v>2020</v>
      </c>
      <c r="J1056" s="62">
        <v>9</v>
      </c>
      <c r="K1056" s="62" t="s">
        <v>17</v>
      </c>
      <c r="L1056" s="62" t="s">
        <v>1</v>
      </c>
      <c r="M1056" s="62">
        <v>4340.6689</v>
      </c>
      <c r="N1056" s="62">
        <v>0</v>
      </c>
    </row>
    <row r="1057" spans="1:14">
      <c r="A1057" s="62">
        <v>2014</v>
      </c>
      <c r="B1057" s="62">
        <v>3</v>
      </c>
      <c r="C1057" s="62" t="s">
        <v>5</v>
      </c>
      <c r="D1057" s="62" t="s">
        <v>2</v>
      </c>
      <c r="E1057" s="62">
        <v>475.305</v>
      </c>
      <c r="F1057" s="62">
        <v>125.054875</v>
      </c>
      <c r="I1057" s="62">
        <v>2020</v>
      </c>
      <c r="J1057" s="62">
        <v>10</v>
      </c>
      <c r="K1057" s="62" t="s">
        <v>17</v>
      </c>
      <c r="L1057" s="62" t="s">
        <v>1</v>
      </c>
      <c r="M1057" s="62">
        <v>4200.7322</v>
      </c>
      <c r="N1057" s="62">
        <v>0</v>
      </c>
    </row>
    <row r="1058" spans="1:14">
      <c r="A1058" s="62">
        <v>2014</v>
      </c>
      <c r="B1058" s="62">
        <v>4</v>
      </c>
      <c r="C1058" s="62" t="s">
        <v>5</v>
      </c>
      <c r="D1058" s="62" t="s">
        <v>2</v>
      </c>
      <c r="E1058" s="62">
        <v>441.31</v>
      </c>
      <c r="F1058" s="62">
        <v>139.564375</v>
      </c>
      <c r="I1058" s="62">
        <v>2020</v>
      </c>
      <c r="J1058" s="62">
        <v>11</v>
      </c>
      <c r="K1058" s="62" t="s">
        <v>17</v>
      </c>
      <c r="L1058" s="62" t="s">
        <v>1</v>
      </c>
      <c r="M1058" s="62">
        <v>3684.0243</v>
      </c>
      <c r="N1058" s="62">
        <v>0</v>
      </c>
    </row>
    <row r="1059" spans="1:14">
      <c r="A1059" s="62">
        <v>2014</v>
      </c>
      <c r="B1059" s="62">
        <v>5</v>
      </c>
      <c r="C1059" s="62" t="s">
        <v>5</v>
      </c>
      <c r="D1059" s="62" t="s">
        <v>2</v>
      </c>
      <c r="E1059" s="62">
        <v>521.34</v>
      </c>
      <c r="F1059" s="62">
        <v>141.5525</v>
      </c>
      <c r="I1059" s="62">
        <v>2020</v>
      </c>
      <c r="J1059" s="62">
        <v>12</v>
      </c>
      <c r="K1059" s="62" t="s">
        <v>17</v>
      </c>
      <c r="L1059" s="62" t="s">
        <v>1</v>
      </c>
      <c r="M1059" s="62">
        <v>3659.1248</v>
      </c>
      <c r="N1059" s="62">
        <v>0</v>
      </c>
    </row>
    <row r="1060" spans="1:14">
      <c r="A1060" s="62">
        <v>2014</v>
      </c>
      <c r="B1060" s="62">
        <v>6</v>
      </c>
      <c r="C1060" s="62" t="s">
        <v>5</v>
      </c>
      <c r="D1060" s="62" t="s">
        <v>2</v>
      </c>
      <c r="E1060" s="62">
        <v>142.8875</v>
      </c>
      <c r="F1060" s="62">
        <v>42.209</v>
      </c>
      <c r="I1060" s="62">
        <v>2021</v>
      </c>
      <c r="J1060" s="62">
        <v>1</v>
      </c>
      <c r="K1060" s="62" t="s">
        <v>17</v>
      </c>
      <c r="L1060" s="62" t="s">
        <v>1</v>
      </c>
      <c r="M1060" s="62">
        <v>3594.626</v>
      </c>
      <c r="N1060" s="62">
        <v>0</v>
      </c>
    </row>
    <row r="1061" spans="1:14">
      <c r="A1061" s="62">
        <v>2014</v>
      </c>
      <c r="B1061" s="62">
        <v>9</v>
      </c>
      <c r="C1061" s="62" t="s">
        <v>5</v>
      </c>
      <c r="D1061" s="62" t="s">
        <v>2</v>
      </c>
      <c r="E1061" s="62">
        <v>257.182</v>
      </c>
      <c r="F1061" s="62">
        <v>86.09625000000001</v>
      </c>
      <c r="I1061" s="62">
        <v>2021</v>
      </c>
      <c r="J1061" s="62">
        <v>2</v>
      </c>
      <c r="K1061" s="62" t="s">
        <v>17</v>
      </c>
      <c r="L1061" s="62" t="s">
        <v>1</v>
      </c>
      <c r="M1061" s="62">
        <v>4440.5167</v>
      </c>
      <c r="N1061" s="62">
        <v>0</v>
      </c>
    </row>
    <row r="1062" spans="1:14">
      <c r="A1062" s="62">
        <v>2014</v>
      </c>
      <c r="B1062" s="62">
        <v>10</v>
      </c>
      <c r="C1062" s="62" t="s">
        <v>5</v>
      </c>
      <c r="D1062" s="62" t="s">
        <v>2</v>
      </c>
      <c r="E1062" s="62">
        <v>837.05</v>
      </c>
      <c r="F1062" s="62">
        <v>233.61925</v>
      </c>
      <c r="I1062" s="62">
        <v>2021</v>
      </c>
      <c r="J1062" s="62">
        <v>3</v>
      </c>
      <c r="K1062" s="62" t="s">
        <v>17</v>
      </c>
      <c r="L1062" s="62" t="s">
        <v>1</v>
      </c>
      <c r="M1062" s="62">
        <v>3437.4148</v>
      </c>
      <c r="N1062" s="62">
        <v>0</v>
      </c>
    </row>
    <row r="1063" spans="1:14">
      <c r="A1063" s="62">
        <v>2014</v>
      </c>
      <c r="B1063" s="62">
        <v>11</v>
      </c>
      <c r="C1063" s="62" t="s">
        <v>5</v>
      </c>
      <c r="D1063" s="62" t="s">
        <v>2</v>
      </c>
      <c r="E1063" s="62">
        <v>538.16</v>
      </c>
      <c r="F1063" s="62">
        <v>128.11925</v>
      </c>
      <c r="I1063" s="62">
        <v>2021</v>
      </c>
      <c r="J1063" s="62">
        <v>4</v>
      </c>
      <c r="K1063" s="62" t="s">
        <v>17</v>
      </c>
      <c r="L1063" s="62" t="s">
        <v>1</v>
      </c>
      <c r="M1063" s="62">
        <v>1873.9125</v>
      </c>
      <c r="N1063" s="62">
        <v>0</v>
      </c>
    </row>
    <row r="1064" spans="1:14">
      <c r="A1064" s="62">
        <v>2015</v>
      </c>
      <c r="B1064" s="62">
        <v>1</v>
      </c>
      <c r="C1064" s="62" t="s">
        <v>5</v>
      </c>
      <c r="D1064" s="62" t="s">
        <v>2</v>
      </c>
      <c r="E1064" s="62">
        <v>10.545</v>
      </c>
      <c r="F1064" s="62">
        <v>2.109</v>
      </c>
      <c r="I1064" s="62">
        <v>2021</v>
      </c>
      <c r="J1064" s="62">
        <v>5</v>
      </c>
      <c r="K1064" s="62" t="s">
        <v>17</v>
      </c>
      <c r="L1064" s="62" t="s">
        <v>1</v>
      </c>
      <c r="M1064" s="62">
        <v>935.9475</v>
      </c>
      <c r="N1064" s="62">
        <v>0</v>
      </c>
    </row>
    <row r="1065" spans="1:14">
      <c r="A1065" s="62">
        <v>2015</v>
      </c>
      <c r="B1065" s="62">
        <v>2</v>
      </c>
      <c r="C1065" s="62" t="s">
        <v>5</v>
      </c>
      <c r="D1065" s="62" t="s">
        <v>2</v>
      </c>
      <c r="E1065" s="62">
        <v>24.94</v>
      </c>
      <c r="F1065" s="62">
        <v>4.3645</v>
      </c>
      <c r="I1065" s="62">
        <v>2021</v>
      </c>
      <c r="J1065" s="62">
        <v>6</v>
      </c>
      <c r="K1065" s="62" t="s">
        <v>17</v>
      </c>
      <c r="L1065" s="62" t="s">
        <v>1</v>
      </c>
      <c r="M1065" s="62">
        <v>701.7356</v>
      </c>
      <c r="N1065" s="62">
        <v>0</v>
      </c>
    </row>
    <row r="1066" spans="1:14">
      <c r="A1066" s="62">
        <v>2015</v>
      </c>
      <c r="B1066" s="62">
        <v>3</v>
      </c>
      <c r="C1066" s="62" t="s">
        <v>5</v>
      </c>
      <c r="D1066" s="62" t="s">
        <v>2</v>
      </c>
      <c r="E1066" s="62">
        <v>172.125</v>
      </c>
      <c r="F1066" s="62">
        <v>33.467875</v>
      </c>
      <c r="I1066" s="62">
        <v>2021</v>
      </c>
      <c r="J1066" s="62">
        <v>7</v>
      </c>
      <c r="K1066" s="62" t="s">
        <v>17</v>
      </c>
      <c r="L1066" s="62" t="s">
        <v>1</v>
      </c>
      <c r="M1066" s="62">
        <v>549.8849</v>
      </c>
      <c r="N1066" s="62">
        <v>0</v>
      </c>
    </row>
    <row r="1067" spans="1:14">
      <c r="A1067" s="62">
        <v>2015</v>
      </c>
      <c r="B1067" s="62">
        <v>4</v>
      </c>
      <c r="C1067" s="62" t="s">
        <v>5</v>
      </c>
      <c r="D1067" s="62" t="s">
        <v>2</v>
      </c>
      <c r="E1067" s="62">
        <v>359.65</v>
      </c>
      <c r="F1067" s="62">
        <v>91.28750000000001</v>
      </c>
      <c r="I1067" s="62">
        <v>2021</v>
      </c>
      <c r="J1067" s="62">
        <v>8</v>
      </c>
      <c r="K1067" s="62" t="s">
        <v>17</v>
      </c>
      <c r="L1067" s="62" t="s">
        <v>1</v>
      </c>
      <c r="M1067" s="62">
        <v>659.702</v>
      </c>
      <c r="N1067" s="62">
        <v>0</v>
      </c>
    </row>
    <row r="1068" spans="1:14">
      <c r="A1068" s="62">
        <v>2015</v>
      </c>
      <c r="B1068" s="62">
        <v>5</v>
      </c>
      <c r="C1068" s="62" t="s">
        <v>5</v>
      </c>
      <c r="D1068" s="62" t="s">
        <v>2</v>
      </c>
      <c r="E1068" s="62">
        <v>110.352</v>
      </c>
      <c r="F1068" s="62">
        <v>25.5496</v>
      </c>
      <c r="I1068" s="62">
        <v>2021</v>
      </c>
      <c r="J1068" s="62">
        <v>9</v>
      </c>
      <c r="K1068" s="62" t="s">
        <v>17</v>
      </c>
      <c r="L1068" s="62" t="s">
        <v>1</v>
      </c>
      <c r="M1068" s="62">
        <v>1574.3612</v>
      </c>
      <c r="N1068" s="62">
        <v>0</v>
      </c>
    </row>
    <row r="1069" spans="1:14">
      <c r="A1069" s="62">
        <v>2015</v>
      </c>
      <c r="B1069" s="62">
        <v>6</v>
      </c>
      <c r="C1069" s="62" t="s">
        <v>5</v>
      </c>
      <c r="D1069" s="62" t="s">
        <v>2</v>
      </c>
      <c r="E1069" s="62">
        <v>167.755</v>
      </c>
      <c r="F1069" s="62">
        <v>51.054625</v>
      </c>
      <c r="I1069" s="62">
        <v>2021</v>
      </c>
      <c r="J1069" s="62">
        <v>10</v>
      </c>
      <c r="K1069" s="62" t="s">
        <v>17</v>
      </c>
      <c r="L1069" s="62" t="s">
        <v>1</v>
      </c>
      <c r="M1069" s="62">
        <v>1367.2417</v>
      </c>
      <c r="N1069" s="62">
        <v>0</v>
      </c>
    </row>
    <row r="1070" spans="1:14">
      <c r="A1070" s="62">
        <v>2015</v>
      </c>
      <c r="B1070" s="62">
        <v>7</v>
      </c>
      <c r="C1070" s="62" t="s">
        <v>5</v>
      </c>
      <c r="D1070" s="62" t="s">
        <v>2</v>
      </c>
      <c r="E1070" s="62">
        <v>153.663</v>
      </c>
      <c r="F1070" s="62">
        <v>38.71125000000001</v>
      </c>
      <c r="I1070" s="62">
        <v>2021</v>
      </c>
      <c r="J1070" s="62">
        <v>11</v>
      </c>
      <c r="K1070" s="62" t="s">
        <v>17</v>
      </c>
      <c r="L1070" s="62" t="s">
        <v>1</v>
      </c>
      <c r="M1070" s="62">
        <v>704.4579</v>
      </c>
      <c r="N1070" s="62">
        <v>0</v>
      </c>
    </row>
    <row r="1071" spans="1:14">
      <c r="A1071" s="62">
        <v>2015</v>
      </c>
      <c r="B1071" s="62">
        <v>8</v>
      </c>
      <c r="C1071" s="62" t="s">
        <v>5</v>
      </c>
      <c r="D1071" s="62" t="s">
        <v>2</v>
      </c>
      <c r="E1071" s="62">
        <v>70.38500000000001</v>
      </c>
      <c r="F1071" s="62">
        <v>6.983875</v>
      </c>
      <c r="I1071" s="62">
        <v>2021</v>
      </c>
      <c r="J1071" s="62">
        <v>12</v>
      </c>
      <c r="K1071" s="62" t="s">
        <v>17</v>
      </c>
      <c r="L1071" s="62" t="s">
        <v>1</v>
      </c>
      <c r="M1071" s="62">
        <v>370.928</v>
      </c>
      <c r="N1071" s="62">
        <v>0</v>
      </c>
    </row>
    <row r="1072" spans="1:14">
      <c r="A1072" s="62">
        <v>2015</v>
      </c>
      <c r="B1072" s="62">
        <v>9</v>
      </c>
      <c r="C1072" s="62" t="s">
        <v>5</v>
      </c>
      <c r="D1072" s="62" t="s">
        <v>2</v>
      </c>
      <c r="E1072" s="62">
        <v>666.606</v>
      </c>
      <c r="F1072" s="62">
        <v>108.70175</v>
      </c>
      <c r="I1072" s="62">
        <v>2022</v>
      </c>
      <c r="J1072" s="62">
        <v>1</v>
      </c>
      <c r="K1072" s="62" t="s">
        <v>17</v>
      </c>
      <c r="L1072" s="62" t="s">
        <v>1</v>
      </c>
      <c r="M1072" s="62">
        <v>785.673</v>
      </c>
      <c r="N1072" s="62">
        <v>0</v>
      </c>
    </row>
    <row r="1073" spans="1:14">
      <c r="A1073" s="62">
        <v>2015</v>
      </c>
      <c r="B1073" s="62">
        <v>10</v>
      </c>
      <c r="C1073" s="62" t="s">
        <v>5</v>
      </c>
      <c r="D1073" s="62" t="s">
        <v>2</v>
      </c>
      <c r="E1073" s="62">
        <v>1311.5825</v>
      </c>
      <c r="F1073" s="62">
        <v>249.979525</v>
      </c>
      <c r="I1073" s="62">
        <v>2022</v>
      </c>
      <c r="J1073" s="62">
        <v>2</v>
      </c>
      <c r="K1073" s="62" t="s">
        <v>17</v>
      </c>
      <c r="L1073" s="62" t="s">
        <v>1</v>
      </c>
      <c r="M1073" s="62">
        <v>1225.648</v>
      </c>
      <c r="N1073" s="62">
        <v>0</v>
      </c>
    </row>
    <row r="1074" spans="1:14">
      <c r="A1074" s="62">
        <v>2015</v>
      </c>
      <c r="B1074" s="62">
        <v>11</v>
      </c>
      <c r="C1074" s="62" t="s">
        <v>5</v>
      </c>
      <c r="D1074" s="62" t="s">
        <v>2</v>
      </c>
      <c r="E1074" s="62">
        <v>522.8697999999999</v>
      </c>
      <c r="F1074" s="62">
        <v>98.569835</v>
      </c>
      <c r="I1074" s="62">
        <v>2022</v>
      </c>
      <c r="J1074" s="62">
        <v>3</v>
      </c>
      <c r="K1074" s="62" t="s">
        <v>17</v>
      </c>
      <c r="L1074" s="62" t="s">
        <v>1</v>
      </c>
      <c r="M1074" s="62">
        <v>791.8720000000001</v>
      </c>
      <c r="N1074" s="62">
        <v>0</v>
      </c>
    </row>
    <row r="1075" spans="1:14">
      <c r="A1075" s="62">
        <v>2015</v>
      </c>
      <c r="B1075" s="62">
        <v>12</v>
      </c>
      <c r="C1075" s="62" t="s">
        <v>5</v>
      </c>
      <c r="D1075" s="62" t="s">
        <v>2</v>
      </c>
      <c r="E1075" s="62">
        <v>218.1004</v>
      </c>
      <c r="F1075" s="62">
        <v>37.04908</v>
      </c>
      <c r="I1075" s="62">
        <v>2022</v>
      </c>
      <c r="J1075" s="62">
        <v>4</v>
      </c>
      <c r="K1075" s="62" t="s">
        <v>17</v>
      </c>
      <c r="L1075" s="62" t="s">
        <v>1</v>
      </c>
      <c r="M1075" s="62">
        <v>883.484</v>
      </c>
      <c r="N1075" s="62">
        <v>0</v>
      </c>
    </row>
    <row r="1076" spans="1:14">
      <c r="A1076" s="62">
        <v>2016</v>
      </c>
      <c r="B1076" s="62">
        <v>1</v>
      </c>
      <c r="C1076" s="62" t="s">
        <v>5</v>
      </c>
      <c r="D1076" s="62" t="s">
        <v>2</v>
      </c>
      <c r="E1076" s="62">
        <v>16.628</v>
      </c>
      <c r="F1076" s="62">
        <v>3.964375</v>
      </c>
      <c r="I1076" s="62">
        <v>2022</v>
      </c>
      <c r="J1076" s="62">
        <v>5</v>
      </c>
      <c r="K1076" s="62" t="s">
        <v>17</v>
      </c>
      <c r="L1076" s="62" t="s">
        <v>1</v>
      </c>
      <c r="M1076" s="62">
        <v>836.052</v>
      </c>
      <c r="N1076" s="62">
        <v>0</v>
      </c>
    </row>
    <row r="1077" spans="1:14">
      <c r="A1077" s="62">
        <v>2016</v>
      </c>
      <c r="B1077" s="62">
        <v>2</v>
      </c>
      <c r="C1077" s="62" t="s">
        <v>5</v>
      </c>
      <c r="D1077" s="62" t="s">
        <v>2</v>
      </c>
      <c r="E1077" s="62">
        <v>223.06</v>
      </c>
      <c r="F1077" s="62">
        <v>49.1895</v>
      </c>
      <c r="I1077" s="62">
        <v>2022</v>
      </c>
      <c r="J1077" s="62">
        <v>6</v>
      </c>
      <c r="K1077" s="62" t="s">
        <v>17</v>
      </c>
      <c r="L1077" s="62" t="s">
        <v>1</v>
      </c>
      <c r="M1077" s="62">
        <v>704.9418000000001</v>
      </c>
      <c r="N1077" s="62">
        <v>0</v>
      </c>
    </row>
    <row r="1078" spans="1:14">
      <c r="A1078" s="62">
        <v>2016</v>
      </c>
      <c r="B1078" s="62">
        <v>3</v>
      </c>
      <c r="C1078" s="62" t="s">
        <v>5</v>
      </c>
      <c r="D1078" s="62" t="s">
        <v>2</v>
      </c>
      <c r="E1078" s="62">
        <v>812.2692999999999</v>
      </c>
      <c r="F1078" s="62">
        <v>162.430125</v>
      </c>
      <c r="I1078" s="62">
        <v>2022</v>
      </c>
      <c r="J1078" s="62">
        <v>7</v>
      </c>
      <c r="K1078" s="62" t="s">
        <v>17</v>
      </c>
      <c r="L1078" s="62" t="s">
        <v>1</v>
      </c>
      <c r="M1078" s="62">
        <v>745.821</v>
      </c>
      <c r="N1078" s="62">
        <v>0</v>
      </c>
    </row>
    <row r="1079" spans="1:14">
      <c r="A1079" s="62">
        <v>2016</v>
      </c>
      <c r="B1079" s="62">
        <v>4</v>
      </c>
      <c r="C1079" s="62" t="s">
        <v>5</v>
      </c>
      <c r="D1079" s="62" t="s">
        <v>2</v>
      </c>
      <c r="E1079" s="62">
        <v>1120.983</v>
      </c>
      <c r="F1079" s="62">
        <v>240.61975</v>
      </c>
      <c r="I1079" s="62">
        <v>2022</v>
      </c>
      <c r="J1079" s="62">
        <v>8</v>
      </c>
      <c r="K1079" s="62" t="s">
        <v>17</v>
      </c>
      <c r="L1079" s="62" t="s">
        <v>1</v>
      </c>
      <c r="M1079" s="62">
        <v>686.494</v>
      </c>
      <c r="N1079" s="62">
        <v>0</v>
      </c>
    </row>
    <row r="1080" spans="1:14">
      <c r="A1080" s="62">
        <v>2016</v>
      </c>
      <c r="B1080" s="62">
        <v>5</v>
      </c>
      <c r="C1080" s="62" t="s">
        <v>5</v>
      </c>
      <c r="D1080" s="62" t="s">
        <v>2</v>
      </c>
      <c r="E1080" s="62">
        <v>596.138</v>
      </c>
      <c r="F1080" s="62">
        <v>146.8025</v>
      </c>
      <c r="I1080" s="62">
        <v>2022</v>
      </c>
      <c r="J1080" s="62">
        <v>9</v>
      </c>
      <c r="K1080" s="62" t="s">
        <v>17</v>
      </c>
      <c r="L1080" s="62" t="s">
        <v>1</v>
      </c>
      <c r="M1080" s="62">
        <v>690.332</v>
      </c>
      <c r="N1080" s="62">
        <v>0</v>
      </c>
    </row>
    <row r="1081" spans="1:14">
      <c r="A1081" s="62">
        <v>2016</v>
      </c>
      <c r="B1081" s="62">
        <v>6</v>
      </c>
      <c r="C1081" s="62" t="s">
        <v>5</v>
      </c>
      <c r="D1081" s="62" t="s">
        <v>2</v>
      </c>
      <c r="E1081" s="62">
        <v>449.2075</v>
      </c>
      <c r="F1081" s="62">
        <v>123.3365</v>
      </c>
      <c r="I1081" s="62">
        <v>2022</v>
      </c>
      <c r="J1081" s="62">
        <v>10</v>
      </c>
      <c r="K1081" s="62" t="s">
        <v>17</v>
      </c>
      <c r="L1081" s="62" t="s">
        <v>1</v>
      </c>
      <c r="M1081" s="62">
        <v>1227.89</v>
      </c>
      <c r="N1081" s="62">
        <v>0</v>
      </c>
    </row>
    <row r="1082" spans="1:14">
      <c r="A1082" s="62">
        <v>2016</v>
      </c>
      <c r="B1082" s="62">
        <v>7</v>
      </c>
      <c r="C1082" s="62" t="s">
        <v>5</v>
      </c>
      <c r="D1082" s="62" t="s">
        <v>2</v>
      </c>
      <c r="E1082" s="62">
        <v>323.645</v>
      </c>
      <c r="F1082" s="62">
        <v>82.62925</v>
      </c>
      <c r="I1082" s="62">
        <v>2022</v>
      </c>
      <c r="J1082" s="62">
        <v>11</v>
      </c>
      <c r="K1082" s="62" t="s">
        <v>17</v>
      </c>
      <c r="L1082" s="62" t="s">
        <v>1</v>
      </c>
      <c r="M1082" s="62">
        <v>910.01</v>
      </c>
      <c r="N1082" s="62">
        <v>0</v>
      </c>
    </row>
    <row r="1083" spans="1:14">
      <c r="A1083" s="62">
        <v>2016</v>
      </c>
      <c r="B1083" s="62">
        <v>8</v>
      </c>
      <c r="C1083" s="62" t="s">
        <v>5</v>
      </c>
      <c r="D1083" s="62" t="s">
        <v>2</v>
      </c>
      <c r="E1083" s="62">
        <v>26.345</v>
      </c>
      <c r="F1083" s="62">
        <v>7.782999999999999</v>
      </c>
      <c r="I1083" s="62">
        <v>2022</v>
      </c>
      <c r="J1083" s="62">
        <v>12</v>
      </c>
      <c r="K1083" s="62" t="s">
        <v>17</v>
      </c>
      <c r="L1083" s="62" t="s">
        <v>1</v>
      </c>
      <c r="M1083" s="62">
        <v>971.8022</v>
      </c>
      <c r="N1083" s="62">
        <v>0</v>
      </c>
    </row>
    <row r="1084" spans="1:14">
      <c r="A1084" s="62">
        <v>2016</v>
      </c>
      <c r="B1084" s="62">
        <v>9</v>
      </c>
      <c r="C1084" s="62" t="s">
        <v>5</v>
      </c>
      <c r="D1084" s="62" t="s">
        <v>2</v>
      </c>
      <c r="E1084" s="62">
        <v>481.3268</v>
      </c>
      <c r="F1084" s="62">
        <v>104.8281525</v>
      </c>
      <c r="I1084" s="62">
        <v>2023</v>
      </c>
      <c r="J1084" s="62">
        <v>1</v>
      </c>
      <c r="K1084" s="62" t="s">
        <v>17</v>
      </c>
      <c r="L1084" s="62" t="s">
        <v>1</v>
      </c>
      <c r="M1084" s="62">
        <v>1174.4278</v>
      </c>
      <c r="N1084" s="62">
        <v>0</v>
      </c>
    </row>
    <row r="1085" spans="1:14">
      <c r="A1085" s="62">
        <v>2016</v>
      </c>
      <c r="B1085" s="62">
        <v>10</v>
      </c>
      <c r="C1085" s="62" t="s">
        <v>5</v>
      </c>
      <c r="D1085" s="62" t="s">
        <v>2</v>
      </c>
      <c r="E1085" s="62">
        <v>624.7425000000001</v>
      </c>
      <c r="F1085" s="62">
        <v>166.96275</v>
      </c>
      <c r="I1085" s="62">
        <v>2023</v>
      </c>
      <c r="J1085" s="62">
        <v>2</v>
      </c>
      <c r="K1085" s="62" t="s">
        <v>17</v>
      </c>
      <c r="L1085" s="62" t="s">
        <v>1</v>
      </c>
      <c r="M1085" s="62">
        <v>1298.8772</v>
      </c>
      <c r="N1085" s="62">
        <v>0</v>
      </c>
    </row>
    <row r="1086" spans="1:14">
      <c r="A1086" s="62">
        <v>2016</v>
      </c>
      <c r="B1086" s="62">
        <v>11</v>
      </c>
      <c r="C1086" s="62" t="s">
        <v>5</v>
      </c>
      <c r="D1086" s="62" t="s">
        <v>2</v>
      </c>
      <c r="E1086" s="62">
        <v>344.869</v>
      </c>
      <c r="F1086" s="62">
        <v>95.7428</v>
      </c>
      <c r="I1086" s="62">
        <v>2023</v>
      </c>
      <c r="J1086" s="62">
        <v>3</v>
      </c>
      <c r="K1086" s="62" t="s">
        <v>17</v>
      </c>
      <c r="L1086" s="62" t="s">
        <v>1</v>
      </c>
      <c r="M1086" s="62">
        <v>1423.9024</v>
      </c>
      <c r="N1086" s="62">
        <v>0</v>
      </c>
    </row>
    <row r="1087" spans="1:14">
      <c r="A1087" s="62">
        <v>2016</v>
      </c>
      <c r="B1087" s="62">
        <v>12</v>
      </c>
      <c r="C1087" s="62" t="s">
        <v>5</v>
      </c>
      <c r="D1087" s="62" t="s">
        <v>2</v>
      </c>
      <c r="E1087" s="62">
        <v>7.32</v>
      </c>
      <c r="F1087" s="62">
        <v>1.464</v>
      </c>
      <c r="I1087" s="62">
        <v>2023</v>
      </c>
      <c r="J1087" s="62">
        <v>4</v>
      </c>
      <c r="K1087" s="62" t="s">
        <v>17</v>
      </c>
      <c r="L1087" s="62" t="s">
        <v>1</v>
      </c>
      <c r="M1087" s="62">
        <v>1674.95</v>
      </c>
      <c r="N1087" s="62">
        <v>0</v>
      </c>
    </row>
    <row r="1088" spans="1:14">
      <c r="A1088" s="62">
        <v>2017</v>
      </c>
      <c r="B1088" s="62">
        <v>2</v>
      </c>
      <c r="C1088" s="62" t="s">
        <v>5</v>
      </c>
      <c r="D1088" s="62" t="s">
        <v>2</v>
      </c>
      <c r="E1088" s="62">
        <v>1.4</v>
      </c>
      <c r="F1088" s="62">
        <v>0.06999999999999999</v>
      </c>
      <c r="I1088" s="62">
        <v>2023</v>
      </c>
      <c r="J1088" s="62">
        <v>5</v>
      </c>
      <c r="K1088" s="62" t="s">
        <v>17</v>
      </c>
      <c r="L1088" s="62" t="s">
        <v>1</v>
      </c>
      <c r="M1088" s="62">
        <v>947.5</v>
      </c>
      <c r="N1088" s="62">
        <v>0</v>
      </c>
    </row>
    <row r="1089" spans="1:14">
      <c r="A1089" s="62">
        <v>2017</v>
      </c>
      <c r="B1089" s="62">
        <v>3</v>
      </c>
      <c r="C1089" s="62" t="s">
        <v>5</v>
      </c>
      <c r="D1089" s="62" t="s">
        <v>2</v>
      </c>
      <c r="E1089" s="62">
        <v>358.436</v>
      </c>
      <c r="F1089" s="62">
        <v>67.6088</v>
      </c>
      <c r="I1089" s="62">
        <v>2023</v>
      </c>
      <c r="J1089" s="62">
        <v>6</v>
      </c>
      <c r="K1089" s="62" t="s">
        <v>17</v>
      </c>
      <c r="L1089" s="62" t="s">
        <v>1</v>
      </c>
      <c r="M1089" s="62">
        <v>468.051</v>
      </c>
      <c r="N1089" s="62">
        <v>0</v>
      </c>
    </row>
    <row r="1090" spans="1:14">
      <c r="A1090" s="62">
        <v>2017</v>
      </c>
      <c r="B1090" s="62">
        <v>4</v>
      </c>
      <c r="C1090" s="62" t="s">
        <v>5</v>
      </c>
      <c r="D1090" s="62" t="s">
        <v>2</v>
      </c>
      <c r="E1090" s="62">
        <v>304.25</v>
      </c>
      <c r="F1090" s="62">
        <v>75.09125</v>
      </c>
      <c r="I1090" s="62">
        <v>2023</v>
      </c>
      <c r="J1090" s="62">
        <v>7</v>
      </c>
      <c r="K1090" s="62" t="s">
        <v>17</v>
      </c>
      <c r="L1090" s="62" t="s">
        <v>1</v>
      </c>
      <c r="M1090" s="62">
        <v>385.6154</v>
      </c>
      <c r="N1090" s="62">
        <v>0</v>
      </c>
    </row>
    <row r="1091" spans="1:14">
      <c r="A1091" s="62">
        <v>2017</v>
      </c>
      <c r="B1091" s="62">
        <v>5</v>
      </c>
      <c r="C1091" s="62" t="s">
        <v>5</v>
      </c>
      <c r="D1091" s="62" t="s">
        <v>2</v>
      </c>
      <c r="E1091" s="62">
        <v>248.0375</v>
      </c>
      <c r="F1091" s="62">
        <v>64.02025</v>
      </c>
      <c r="I1091" s="62">
        <v>2023</v>
      </c>
      <c r="J1091" s="62">
        <v>8</v>
      </c>
      <c r="K1091" s="62" t="s">
        <v>17</v>
      </c>
      <c r="L1091" s="62" t="s">
        <v>1</v>
      </c>
      <c r="M1091" s="62">
        <v>338.52</v>
      </c>
      <c r="N1091" s="62">
        <v>0</v>
      </c>
    </row>
    <row r="1092" spans="1:14">
      <c r="A1092" s="62">
        <v>2017</v>
      </c>
      <c r="B1092" s="62">
        <v>6</v>
      </c>
      <c r="C1092" s="62" t="s">
        <v>5</v>
      </c>
      <c r="D1092" s="62" t="s">
        <v>2</v>
      </c>
      <c r="E1092" s="62">
        <v>67.10899999999999</v>
      </c>
      <c r="F1092" s="62">
        <v>14.6557</v>
      </c>
      <c r="I1092" s="62">
        <v>2023</v>
      </c>
      <c r="J1092" s="62">
        <v>9</v>
      </c>
      <c r="K1092" s="62" t="s">
        <v>17</v>
      </c>
      <c r="L1092" s="62" t="s">
        <v>1</v>
      </c>
      <c r="M1092" s="62">
        <v>1217.003</v>
      </c>
      <c r="N1092" s="62">
        <v>0</v>
      </c>
    </row>
    <row r="1093" spans="1:14">
      <c r="A1093" s="62">
        <v>2017</v>
      </c>
      <c r="B1093" s="62">
        <v>7</v>
      </c>
      <c r="C1093" s="62" t="s">
        <v>5</v>
      </c>
      <c r="D1093" s="62" t="s">
        <v>2</v>
      </c>
      <c r="E1093" s="62">
        <v>25.48</v>
      </c>
      <c r="F1093" s="62">
        <v>5.096</v>
      </c>
      <c r="I1093" s="62">
        <v>2023</v>
      </c>
      <c r="J1093" s="62">
        <v>10</v>
      </c>
      <c r="K1093" s="62" t="s">
        <v>17</v>
      </c>
      <c r="L1093" s="62" t="s">
        <v>1</v>
      </c>
      <c r="M1093" s="62">
        <v>1960.689</v>
      </c>
      <c r="N1093" s="62">
        <v>0</v>
      </c>
    </row>
    <row r="1094" spans="1:14">
      <c r="A1094" s="62">
        <v>2017</v>
      </c>
      <c r="B1094" s="62">
        <v>9</v>
      </c>
      <c r="C1094" s="62" t="s">
        <v>5</v>
      </c>
      <c r="D1094" s="62" t="s">
        <v>2</v>
      </c>
      <c r="E1094" s="62">
        <v>501.91</v>
      </c>
      <c r="F1094" s="62">
        <v>70.20762499999999</v>
      </c>
      <c r="I1094" s="62">
        <v>2023</v>
      </c>
      <c r="J1094" s="62">
        <v>11</v>
      </c>
      <c r="K1094" s="62" t="s">
        <v>17</v>
      </c>
      <c r="L1094" s="62" t="s">
        <v>1</v>
      </c>
      <c r="M1094" s="62">
        <v>675.026</v>
      </c>
      <c r="N1094" s="62">
        <v>0</v>
      </c>
    </row>
    <row r="1095" spans="1:14">
      <c r="A1095" s="62">
        <v>2017</v>
      </c>
      <c r="B1095" s="62">
        <v>10</v>
      </c>
      <c r="C1095" s="62" t="s">
        <v>5</v>
      </c>
      <c r="D1095" s="62" t="s">
        <v>2</v>
      </c>
      <c r="E1095" s="62">
        <v>1284.078</v>
      </c>
      <c r="F1095" s="62">
        <v>193.8785</v>
      </c>
      <c r="I1095" s="62">
        <v>2023</v>
      </c>
      <c r="J1095" s="62">
        <v>12</v>
      </c>
      <c r="K1095" s="62" t="s">
        <v>17</v>
      </c>
      <c r="L1095" s="62" t="s">
        <v>1</v>
      </c>
      <c r="M1095" s="62">
        <v>147.884</v>
      </c>
      <c r="N1095" s="62">
        <v>0</v>
      </c>
    </row>
    <row r="1096" spans="1:14">
      <c r="A1096" s="62">
        <v>2017</v>
      </c>
      <c r="B1096" s="62">
        <v>11</v>
      </c>
      <c r="C1096" s="62" t="s">
        <v>5</v>
      </c>
      <c r="D1096" s="62" t="s">
        <v>2</v>
      </c>
      <c r="E1096" s="62">
        <v>552.203</v>
      </c>
      <c r="F1096" s="62">
        <v>78.2315</v>
      </c>
      <c r="I1096" s="62">
        <v>2024</v>
      </c>
      <c r="J1096" s="62">
        <v>1</v>
      </c>
      <c r="K1096" s="62" t="s">
        <v>17</v>
      </c>
      <c r="L1096" s="62" t="s">
        <v>1</v>
      </c>
      <c r="M1096" s="62">
        <v>758.962</v>
      </c>
      <c r="N1096" s="62">
        <v>0</v>
      </c>
    </row>
    <row r="1097" spans="1:14">
      <c r="A1097" s="62">
        <v>2017</v>
      </c>
      <c r="B1097" s="62">
        <v>12</v>
      </c>
      <c r="C1097" s="62" t="s">
        <v>5</v>
      </c>
      <c r="D1097" s="62" t="s">
        <v>2</v>
      </c>
      <c r="E1097" s="62">
        <v>3.885</v>
      </c>
      <c r="F1097" s="62">
        <v>0.98175</v>
      </c>
      <c r="I1097" s="62">
        <v>2024</v>
      </c>
      <c r="J1097" s="62">
        <v>2</v>
      </c>
      <c r="K1097" s="62" t="s">
        <v>17</v>
      </c>
      <c r="L1097" s="62" t="s">
        <v>1</v>
      </c>
      <c r="M1097" s="62">
        <v>1796.7158</v>
      </c>
      <c r="N1097" s="62">
        <v>0</v>
      </c>
    </row>
    <row r="1098" spans="1:14">
      <c r="A1098" s="62">
        <v>2018</v>
      </c>
      <c r="B1098" s="62">
        <v>2</v>
      </c>
      <c r="C1098" s="62" t="s">
        <v>5</v>
      </c>
      <c r="D1098" s="62" t="s">
        <v>2</v>
      </c>
      <c r="E1098" s="62">
        <v>443.505</v>
      </c>
      <c r="F1098" s="62">
        <v>80.63575</v>
      </c>
      <c r="I1098" s="62">
        <v>2024</v>
      </c>
      <c r="J1098" s="62">
        <v>3</v>
      </c>
      <c r="K1098" s="62" t="s">
        <v>17</v>
      </c>
      <c r="L1098" s="62" t="s">
        <v>1</v>
      </c>
      <c r="M1098" s="62">
        <v>1071.4806</v>
      </c>
      <c r="N1098" s="62">
        <v>0</v>
      </c>
    </row>
    <row r="1099" spans="1:14">
      <c r="A1099" s="62">
        <v>2018</v>
      </c>
      <c r="B1099" s="62">
        <v>3</v>
      </c>
      <c r="C1099" s="62" t="s">
        <v>5</v>
      </c>
      <c r="D1099" s="62" t="s">
        <v>2</v>
      </c>
      <c r="E1099" s="62">
        <v>883.9</v>
      </c>
      <c r="F1099" s="62">
        <v>178.425</v>
      </c>
      <c r="I1099" s="62">
        <v>2024</v>
      </c>
      <c r="J1099" s="62">
        <v>4</v>
      </c>
      <c r="K1099" s="62" t="s">
        <v>17</v>
      </c>
      <c r="L1099" s="62" t="s">
        <v>1</v>
      </c>
      <c r="M1099" s="62">
        <v>1115.6923</v>
      </c>
      <c r="N1099" s="62">
        <v>0</v>
      </c>
    </row>
    <row r="1100" spans="1:14">
      <c r="A1100" s="62">
        <v>2018</v>
      </c>
      <c r="B1100" s="62">
        <v>4</v>
      </c>
      <c r="C1100" s="62" t="s">
        <v>5</v>
      </c>
      <c r="D1100" s="62" t="s">
        <v>2</v>
      </c>
      <c r="E1100" s="62">
        <v>486.326</v>
      </c>
      <c r="F1100" s="62">
        <v>98.02687499999999</v>
      </c>
      <c r="I1100" s="62">
        <v>2024</v>
      </c>
      <c r="J1100" s="62">
        <v>5</v>
      </c>
      <c r="K1100" s="62" t="s">
        <v>17</v>
      </c>
      <c r="L1100" s="62" t="s">
        <v>1</v>
      </c>
      <c r="M1100" s="62">
        <v>886.196</v>
      </c>
      <c r="N1100" s="62">
        <v>0</v>
      </c>
    </row>
    <row r="1101" spans="1:14">
      <c r="A1101" s="62">
        <v>2018</v>
      </c>
      <c r="B1101" s="62">
        <v>5</v>
      </c>
      <c r="C1101" s="62" t="s">
        <v>5</v>
      </c>
      <c r="D1101" s="62" t="s">
        <v>2</v>
      </c>
      <c r="E1101" s="62">
        <v>17.31</v>
      </c>
      <c r="F1101" s="62">
        <v>9.991500000000002</v>
      </c>
      <c r="I1101" s="62">
        <v>2024</v>
      </c>
      <c r="J1101" s="62">
        <v>6</v>
      </c>
      <c r="K1101" s="62" t="s">
        <v>17</v>
      </c>
      <c r="L1101" s="62" t="s">
        <v>1</v>
      </c>
      <c r="M1101" s="62">
        <v>700.6799999999999</v>
      </c>
      <c r="N1101" s="62">
        <v>0</v>
      </c>
    </row>
    <row r="1102" spans="1:14">
      <c r="A1102" s="62">
        <v>2018</v>
      </c>
      <c r="B1102" s="62">
        <v>6</v>
      </c>
      <c r="C1102" s="62" t="s">
        <v>5</v>
      </c>
      <c r="D1102" s="62" t="s">
        <v>2</v>
      </c>
      <c r="E1102" s="62">
        <v>3.315</v>
      </c>
      <c r="F1102" s="62">
        <v>0.663</v>
      </c>
      <c r="I1102" s="62">
        <v>2024</v>
      </c>
      <c r="J1102" s="62">
        <v>7</v>
      </c>
      <c r="K1102" s="62" t="s">
        <v>17</v>
      </c>
      <c r="L1102" s="62" t="s">
        <v>1</v>
      </c>
      <c r="M1102" s="62">
        <v>429.917</v>
      </c>
      <c r="N1102" s="62">
        <v>0</v>
      </c>
    </row>
    <row r="1103" spans="1:14">
      <c r="A1103" s="62">
        <v>2018</v>
      </c>
      <c r="B1103" s="62">
        <v>7</v>
      </c>
      <c r="C1103" s="62" t="s">
        <v>5</v>
      </c>
      <c r="D1103" s="62" t="s">
        <v>2</v>
      </c>
      <c r="E1103" s="62">
        <v>183.34</v>
      </c>
      <c r="F1103" s="62">
        <v>31.742</v>
      </c>
      <c r="I1103" s="62">
        <v>2024</v>
      </c>
      <c r="J1103" s="62">
        <v>8</v>
      </c>
      <c r="K1103" s="62" t="s">
        <v>17</v>
      </c>
      <c r="L1103" s="62" t="s">
        <v>1</v>
      </c>
      <c r="M1103" s="62">
        <v>321.019</v>
      </c>
      <c r="N1103" s="62">
        <v>0</v>
      </c>
    </row>
    <row r="1104" spans="1:14">
      <c r="A1104" s="62">
        <v>2018</v>
      </c>
      <c r="B1104" s="62">
        <v>8</v>
      </c>
      <c r="C1104" s="62" t="s">
        <v>5</v>
      </c>
      <c r="D1104" s="62" t="s">
        <v>2</v>
      </c>
      <c r="E1104" s="62">
        <v>162.125</v>
      </c>
      <c r="F1104" s="62">
        <v>29.048</v>
      </c>
      <c r="I1104" s="62">
        <v>2024</v>
      </c>
      <c r="J1104" s="62">
        <v>9</v>
      </c>
      <c r="K1104" s="62" t="s">
        <v>17</v>
      </c>
      <c r="L1104" s="62" t="s">
        <v>1</v>
      </c>
      <c r="M1104" s="62">
        <v>761.133</v>
      </c>
      <c r="N1104" s="62">
        <v>0</v>
      </c>
    </row>
    <row r="1105" spans="1:14">
      <c r="A1105" s="62">
        <v>2018</v>
      </c>
      <c r="B1105" s="62">
        <v>9</v>
      </c>
      <c r="C1105" s="62" t="s">
        <v>5</v>
      </c>
      <c r="D1105" s="62" t="s">
        <v>2</v>
      </c>
      <c r="E1105" s="62">
        <v>838.1625</v>
      </c>
      <c r="F1105" s="62">
        <v>211.76915</v>
      </c>
      <c r="I1105" s="62">
        <v>2024</v>
      </c>
      <c r="J1105" s="62">
        <v>10</v>
      </c>
      <c r="K1105" s="62" t="s">
        <v>17</v>
      </c>
      <c r="L1105" s="62" t="s">
        <v>1</v>
      </c>
      <c r="M1105" s="62">
        <v>1046.482</v>
      </c>
      <c r="N1105" s="62">
        <v>0</v>
      </c>
    </row>
    <row r="1106" spans="1:14">
      <c r="A1106" s="62">
        <v>2018</v>
      </c>
      <c r="B1106" s="62">
        <v>10</v>
      </c>
      <c r="C1106" s="62" t="s">
        <v>5</v>
      </c>
      <c r="D1106" s="62" t="s">
        <v>2</v>
      </c>
      <c r="E1106" s="62">
        <v>1659.544</v>
      </c>
      <c r="F1106" s="62">
        <v>362.56075</v>
      </c>
      <c r="I1106" s="62">
        <v>2024</v>
      </c>
      <c r="J1106" s="62">
        <v>11</v>
      </c>
      <c r="K1106" s="62" t="s">
        <v>17</v>
      </c>
      <c r="L1106" s="62" t="s">
        <v>1</v>
      </c>
      <c r="M1106" s="62">
        <v>428.58</v>
      </c>
      <c r="N1106" s="62">
        <v>0</v>
      </c>
    </row>
    <row r="1107" spans="1:14">
      <c r="A1107" s="62">
        <v>2018</v>
      </c>
      <c r="B1107" s="62">
        <v>11</v>
      </c>
      <c r="C1107" s="62" t="s">
        <v>5</v>
      </c>
      <c r="D1107" s="62" t="s">
        <v>2</v>
      </c>
      <c r="E1107" s="62">
        <v>435.296</v>
      </c>
      <c r="F1107" s="62">
        <v>85.658</v>
      </c>
      <c r="I1107" s="62">
        <v>2024</v>
      </c>
      <c r="J1107" s="62">
        <v>12</v>
      </c>
      <c r="K1107" s="62" t="s">
        <v>17</v>
      </c>
      <c r="L1107" s="62" t="s">
        <v>1</v>
      </c>
      <c r="M1107" s="62">
        <v>84.648</v>
      </c>
      <c r="N1107" s="62">
        <v>0</v>
      </c>
    </row>
    <row r="1108" spans="1:14">
      <c r="A1108" s="62">
        <v>2019</v>
      </c>
      <c r="B1108" s="62">
        <v>1</v>
      </c>
      <c r="C1108" s="62" t="s">
        <v>5</v>
      </c>
      <c r="D1108" s="62" t="s">
        <v>2</v>
      </c>
      <c r="E1108" s="62">
        <v>84.795</v>
      </c>
      <c r="F1108" s="62">
        <v>11.2845</v>
      </c>
      <c r="I1108" s="62">
        <v>2025</v>
      </c>
      <c r="J1108" s="62">
        <v>1</v>
      </c>
      <c r="K1108" s="62" t="s">
        <v>17</v>
      </c>
      <c r="L1108" s="62" t="s">
        <v>1</v>
      </c>
      <c r="M1108" s="62">
        <v>838.135</v>
      </c>
      <c r="N1108" s="62">
        <v>0</v>
      </c>
    </row>
    <row r="1109" spans="1:14">
      <c r="A1109" s="62">
        <v>2019</v>
      </c>
      <c r="B1109" s="62">
        <v>2</v>
      </c>
      <c r="C1109" s="62" t="s">
        <v>5</v>
      </c>
      <c r="D1109" s="62" t="s">
        <v>2</v>
      </c>
      <c r="E1109" s="62">
        <v>266.09</v>
      </c>
      <c r="F1109" s="62">
        <v>43.925375</v>
      </c>
      <c r="I1109" s="62">
        <v>2025</v>
      </c>
      <c r="J1109" s="62">
        <v>2</v>
      </c>
      <c r="K1109" s="62" t="s">
        <v>17</v>
      </c>
      <c r="L1109" s="62" t="s">
        <v>1</v>
      </c>
      <c r="M1109" s="62">
        <v>1354.302</v>
      </c>
      <c r="N1109" s="62">
        <v>0</v>
      </c>
    </row>
    <row r="1110" spans="1:14">
      <c r="A1110" s="62">
        <v>2019</v>
      </c>
      <c r="B1110" s="62">
        <v>3</v>
      </c>
      <c r="C1110" s="62" t="s">
        <v>5</v>
      </c>
      <c r="D1110" s="62" t="s">
        <v>2</v>
      </c>
      <c r="E1110" s="62">
        <v>601.409</v>
      </c>
      <c r="F1110" s="62">
        <v>106.68725</v>
      </c>
      <c r="I1110" s="62">
        <v>2025</v>
      </c>
      <c r="J1110" s="62">
        <v>3</v>
      </c>
      <c r="K1110" s="62" t="s">
        <v>17</v>
      </c>
      <c r="L1110" s="62" t="s">
        <v>1</v>
      </c>
      <c r="M1110" s="62">
        <v>969.808</v>
      </c>
      <c r="N1110" s="62">
        <v>0</v>
      </c>
    </row>
    <row r="1111" spans="1:14">
      <c r="A1111" s="62">
        <v>2019</v>
      </c>
      <c r="B1111" s="62">
        <v>4</v>
      </c>
      <c r="C1111" s="62" t="s">
        <v>5</v>
      </c>
      <c r="D1111" s="62" t="s">
        <v>2</v>
      </c>
      <c r="E1111" s="62">
        <v>787.998</v>
      </c>
      <c r="F1111" s="62">
        <v>173.20075</v>
      </c>
      <c r="I1111" s="62">
        <v>2025</v>
      </c>
      <c r="J1111" s="62">
        <v>4</v>
      </c>
      <c r="K1111" s="62" t="s">
        <v>17</v>
      </c>
      <c r="L1111" s="62" t="s">
        <v>1</v>
      </c>
      <c r="M1111" s="62">
        <v>1192.463</v>
      </c>
      <c r="N1111" s="62">
        <v>0</v>
      </c>
    </row>
    <row r="1112" spans="1:14">
      <c r="A1112" s="62">
        <v>2019</v>
      </c>
      <c r="B1112" s="62">
        <v>5</v>
      </c>
      <c r="C1112" s="62" t="s">
        <v>5</v>
      </c>
      <c r="D1112" s="62" t="s">
        <v>2</v>
      </c>
      <c r="E1112" s="62">
        <v>947.222</v>
      </c>
      <c r="F1112" s="62">
        <v>214.088325</v>
      </c>
      <c r="I1112" s="62">
        <v>2025</v>
      </c>
      <c r="J1112" s="62">
        <v>5</v>
      </c>
      <c r="K1112" s="62" t="s">
        <v>17</v>
      </c>
      <c r="L1112" s="62" t="s">
        <v>1</v>
      </c>
      <c r="M1112" s="62">
        <v>499.3066</v>
      </c>
      <c r="N1112" s="62">
        <v>0</v>
      </c>
    </row>
    <row r="1113" spans="1:14">
      <c r="A1113" s="62">
        <v>2019</v>
      </c>
      <c r="B1113" s="62">
        <v>6</v>
      </c>
      <c r="C1113" s="62" t="s">
        <v>5</v>
      </c>
      <c r="D1113" s="62" t="s">
        <v>2</v>
      </c>
      <c r="E1113" s="62">
        <v>418.455</v>
      </c>
      <c r="F1113" s="62">
        <v>111.434125</v>
      </c>
      <c r="I1113" s="62">
        <v>2025</v>
      </c>
      <c r="J1113" s="62">
        <v>6</v>
      </c>
      <c r="K1113" s="62" t="s">
        <v>17</v>
      </c>
      <c r="L1113" s="62" t="s">
        <v>1</v>
      </c>
      <c r="M1113" s="62">
        <v>318.111</v>
      </c>
      <c r="N1113" s="62">
        <v>0</v>
      </c>
    </row>
    <row r="1114" spans="1:14">
      <c r="A1114" s="62">
        <v>2019</v>
      </c>
      <c r="B1114" s="62">
        <v>7</v>
      </c>
      <c r="C1114" s="62" t="s">
        <v>5</v>
      </c>
      <c r="D1114" s="62" t="s">
        <v>2</v>
      </c>
      <c r="E1114" s="62">
        <v>7.9</v>
      </c>
      <c r="F1114" s="62">
        <v>1.3</v>
      </c>
      <c r="I1114" s="62">
        <v>2025</v>
      </c>
      <c r="J1114" s="62">
        <v>7</v>
      </c>
      <c r="K1114" s="62" t="s">
        <v>17</v>
      </c>
      <c r="L1114" s="62" t="s">
        <v>1</v>
      </c>
      <c r="M1114" s="62">
        <v>279.162</v>
      </c>
      <c r="N1114" s="62">
        <v>0</v>
      </c>
    </row>
    <row r="1115" spans="1:14">
      <c r="A1115" s="62">
        <v>2019</v>
      </c>
      <c r="B1115" s="62">
        <v>9</v>
      </c>
      <c r="C1115" s="62" t="s">
        <v>5</v>
      </c>
      <c r="D1115" s="62" t="s">
        <v>2</v>
      </c>
      <c r="E1115" s="62">
        <v>710.494</v>
      </c>
      <c r="F1115" s="62">
        <v>190.021825</v>
      </c>
      <c r="I1115" s="62">
        <v>2025</v>
      </c>
      <c r="J1115" s="62">
        <v>8</v>
      </c>
      <c r="K1115" s="62" t="s">
        <v>17</v>
      </c>
      <c r="L1115" s="62" t="s">
        <v>1</v>
      </c>
      <c r="M1115" s="62">
        <v>464.893</v>
      </c>
      <c r="N1115" s="62">
        <v>0</v>
      </c>
    </row>
    <row r="1116" spans="1:14">
      <c r="A1116" s="62">
        <v>2019</v>
      </c>
      <c r="B1116" s="62">
        <v>10</v>
      </c>
      <c r="C1116" s="62" t="s">
        <v>5</v>
      </c>
      <c r="D1116" s="62" t="s">
        <v>2</v>
      </c>
      <c r="E1116" s="62">
        <v>1261.38</v>
      </c>
      <c r="F1116" s="62">
        <v>318.629</v>
      </c>
      <c r="I1116" s="62">
        <v>2025</v>
      </c>
      <c r="J1116" s="62">
        <v>9</v>
      </c>
      <c r="K1116" s="62" t="s">
        <v>17</v>
      </c>
      <c r="L1116" s="62" t="s">
        <v>1</v>
      </c>
      <c r="M1116" s="62">
        <v>881.735</v>
      </c>
      <c r="N1116" s="62">
        <v>0</v>
      </c>
    </row>
    <row r="1117" spans="1:14">
      <c r="A1117" s="62">
        <v>2019</v>
      </c>
      <c r="B1117" s="62">
        <v>11</v>
      </c>
      <c r="C1117" s="62" t="s">
        <v>5</v>
      </c>
      <c r="D1117" s="62" t="s">
        <v>2</v>
      </c>
      <c r="E1117" s="62">
        <v>671.625</v>
      </c>
      <c r="F1117" s="62">
        <v>150.771</v>
      </c>
      <c r="I1117" s="62">
        <v>2025</v>
      </c>
      <c r="J1117" s="62">
        <v>10</v>
      </c>
      <c r="K1117" s="62" t="s">
        <v>17</v>
      </c>
      <c r="L1117" s="62" t="s">
        <v>1</v>
      </c>
      <c r="M1117" s="62">
        <v>1356.0891</v>
      </c>
      <c r="N1117" s="62">
        <v>0</v>
      </c>
    </row>
    <row r="1118" spans="1:14">
      <c r="A1118" s="62">
        <v>2019</v>
      </c>
      <c r="B1118" s="62">
        <v>12</v>
      </c>
      <c r="C1118" s="62" t="s">
        <v>5</v>
      </c>
      <c r="D1118" s="62" t="s">
        <v>2</v>
      </c>
      <c r="E1118" s="62">
        <v>20.648</v>
      </c>
      <c r="F1118" s="62">
        <v>3.28715</v>
      </c>
      <c r="I1118" s="62">
        <v>2025</v>
      </c>
      <c r="J1118" s="62">
        <v>11</v>
      </c>
      <c r="K1118" s="62" t="s">
        <v>17</v>
      </c>
      <c r="L1118" s="62" t="s">
        <v>1</v>
      </c>
      <c r="M1118" s="62">
        <v>600.3195000000001</v>
      </c>
      <c r="N1118" s="62">
        <v>0</v>
      </c>
    </row>
    <row r="1119" spans="1:14">
      <c r="A1119" s="62">
        <v>2020</v>
      </c>
      <c r="B1119" s="62">
        <v>2</v>
      </c>
      <c r="C1119" s="62" t="s">
        <v>5</v>
      </c>
      <c r="D1119" s="62" t="s">
        <v>2</v>
      </c>
      <c r="E1119" s="62">
        <v>324.38</v>
      </c>
      <c r="F1119" s="62">
        <v>71.53687499999999</v>
      </c>
      <c r="I1119" s="62">
        <v>2025</v>
      </c>
      <c r="J1119" s="62">
        <v>12</v>
      </c>
      <c r="K1119" s="62" t="s">
        <v>17</v>
      </c>
      <c r="L1119" s="62" t="s">
        <v>1</v>
      </c>
      <c r="M1119" s="62">
        <v>257.991</v>
      </c>
      <c r="N1119" s="62">
        <v>0</v>
      </c>
    </row>
    <row r="1120" spans="1:14">
      <c r="A1120" s="62">
        <v>2020</v>
      </c>
      <c r="B1120" s="62">
        <v>3</v>
      </c>
      <c r="C1120" s="62" t="s">
        <v>5</v>
      </c>
      <c r="D1120" s="62" t="s">
        <v>2</v>
      </c>
      <c r="E1120" s="62">
        <v>777.35</v>
      </c>
      <c r="F1120" s="62">
        <v>182.533375</v>
      </c>
      <c r="I1120" s="62">
        <v>2026</v>
      </c>
      <c r="J1120" s="62">
        <v>1</v>
      </c>
      <c r="K1120" s="62" t="s">
        <v>17</v>
      </c>
      <c r="L1120" s="62" t="s">
        <v>1</v>
      </c>
      <c r="M1120" s="62">
        <v>467.6011</v>
      </c>
      <c r="N1120" s="62">
        <v>0</v>
      </c>
    </row>
    <row r="1121" spans="1:14">
      <c r="A1121" s="62">
        <v>2020</v>
      </c>
      <c r="B1121" s="62">
        <v>4</v>
      </c>
      <c r="C1121" s="62" t="s">
        <v>5</v>
      </c>
      <c r="D1121" s="62" t="s">
        <v>2</v>
      </c>
      <c r="E1121" s="62">
        <v>151.6725</v>
      </c>
      <c r="F1121" s="62">
        <v>36.26825</v>
      </c>
      <c r="I1121" s="62">
        <v>2026</v>
      </c>
      <c r="J1121" s="62">
        <v>2</v>
      </c>
      <c r="K1121" s="62" t="s">
        <v>17</v>
      </c>
      <c r="L1121" s="62" t="s">
        <v>1</v>
      </c>
      <c r="M1121" s="62">
        <v>703.5248</v>
      </c>
      <c r="N1121" s="62">
        <v>0</v>
      </c>
    </row>
    <row r="1122" spans="1:14">
      <c r="A1122" s="62">
        <v>2020</v>
      </c>
      <c r="B1122" s="62">
        <v>5</v>
      </c>
      <c r="C1122" s="62" t="s">
        <v>5</v>
      </c>
      <c r="D1122" s="62" t="s">
        <v>2</v>
      </c>
      <c r="E1122" s="62">
        <v>128.128</v>
      </c>
      <c r="F1122" s="62">
        <v>30.3092</v>
      </c>
      <c r="I1122" s="62">
        <v>2026</v>
      </c>
      <c r="J1122" s="62">
        <v>3</v>
      </c>
      <c r="K1122" s="62" t="s">
        <v>17</v>
      </c>
      <c r="L1122" s="62" t="s">
        <v>1</v>
      </c>
      <c r="M1122" s="62">
        <v>722.4239</v>
      </c>
      <c r="N1122" s="62">
        <v>0</v>
      </c>
    </row>
    <row r="1123" spans="1:14">
      <c r="A1123" s="62">
        <v>2020</v>
      </c>
      <c r="B1123" s="62">
        <v>6</v>
      </c>
      <c r="C1123" s="62" t="s">
        <v>5</v>
      </c>
      <c r="D1123" s="62" t="s">
        <v>2</v>
      </c>
      <c r="E1123" s="62">
        <v>121.133</v>
      </c>
      <c r="F1123" s="62">
        <v>45.54000000000001</v>
      </c>
      <c r="I1123" s="62">
        <v>2026</v>
      </c>
      <c r="J1123" s="62">
        <v>4</v>
      </c>
      <c r="K1123" s="62" t="s">
        <v>17</v>
      </c>
      <c r="L1123" s="62" t="s">
        <v>1</v>
      </c>
      <c r="M1123" s="62">
        <v>698.237</v>
      </c>
      <c r="N1123" s="62">
        <v>0</v>
      </c>
    </row>
    <row r="1124" spans="1:14">
      <c r="A1124" s="62">
        <v>2020</v>
      </c>
      <c r="B1124" s="62">
        <v>7</v>
      </c>
      <c r="C1124" s="62" t="s">
        <v>5</v>
      </c>
      <c r="D1124" s="62" t="s">
        <v>2</v>
      </c>
      <c r="E1124" s="62">
        <v>75.04000000000001</v>
      </c>
      <c r="F1124" s="62">
        <v>28.922</v>
      </c>
      <c r="I1124" s="62">
        <v>2026</v>
      </c>
      <c r="J1124" s="62">
        <v>5</v>
      </c>
      <c r="K1124" s="62" t="s">
        <v>17</v>
      </c>
      <c r="L1124" s="62" t="s">
        <v>1</v>
      </c>
      <c r="M1124" s="62">
        <v>437.1288</v>
      </c>
      <c r="N1124" s="62">
        <v>0</v>
      </c>
    </row>
    <row r="1125" spans="1:14">
      <c r="A1125" s="62">
        <v>2020</v>
      </c>
      <c r="B1125" s="62">
        <v>8</v>
      </c>
      <c r="C1125" s="62" t="s">
        <v>5</v>
      </c>
      <c r="D1125" s="62" t="s">
        <v>2</v>
      </c>
      <c r="E1125" s="62">
        <v>49.2</v>
      </c>
      <c r="F1125" s="62">
        <v>5.6</v>
      </c>
      <c r="I1125" s="62">
        <v>2026</v>
      </c>
      <c r="J1125" s="62">
        <v>6</v>
      </c>
      <c r="K1125" s="62" t="s">
        <v>17</v>
      </c>
      <c r="L1125" s="62" t="s">
        <v>1</v>
      </c>
      <c r="M1125" s="62">
        <v>320.695</v>
      </c>
      <c r="N1125" s="62">
        <v>0</v>
      </c>
    </row>
    <row r="1126" spans="1:14">
      <c r="A1126" s="62">
        <v>2020</v>
      </c>
      <c r="B1126" s="62">
        <v>9</v>
      </c>
      <c r="C1126" s="62" t="s">
        <v>5</v>
      </c>
      <c r="D1126" s="62" t="s">
        <v>2</v>
      </c>
      <c r="E1126" s="62">
        <v>189.98</v>
      </c>
      <c r="F1126" s="62">
        <v>27.4925</v>
      </c>
      <c r="I1126" s="62">
        <v>2026</v>
      </c>
      <c r="J1126" s="62">
        <v>7</v>
      </c>
      <c r="K1126" s="62" t="s">
        <v>17</v>
      </c>
      <c r="L1126" s="62" t="s">
        <v>1</v>
      </c>
      <c r="M1126" s="62">
        <v>97.435</v>
      </c>
      <c r="N1126" s="62">
        <v>0</v>
      </c>
    </row>
    <row r="1127" spans="1:14">
      <c r="A1127" s="62">
        <v>2020</v>
      </c>
      <c r="B1127" s="62">
        <v>10</v>
      </c>
      <c r="C1127" s="62" t="s">
        <v>5</v>
      </c>
      <c r="D1127" s="62" t="s">
        <v>2</v>
      </c>
      <c r="E1127" s="62">
        <v>276</v>
      </c>
      <c r="F1127" s="62">
        <v>48.25</v>
      </c>
      <c r="I1127" s="62">
        <v>2026</v>
      </c>
      <c r="J1127" s="62">
        <v>8</v>
      </c>
      <c r="K1127" s="62" t="s">
        <v>17</v>
      </c>
      <c r="L1127" s="62" t="s">
        <v>1</v>
      </c>
      <c r="M1127" s="62">
        <v>132.07</v>
      </c>
      <c r="N1127" s="62">
        <v>0</v>
      </c>
    </row>
    <row r="1128" spans="1:14">
      <c r="A1128" s="62">
        <v>2020</v>
      </c>
      <c r="B1128" s="62">
        <v>11</v>
      </c>
      <c r="C1128" s="62" t="s">
        <v>5</v>
      </c>
      <c r="D1128" s="62" t="s">
        <v>2</v>
      </c>
      <c r="E1128" s="62">
        <v>161.05</v>
      </c>
      <c r="F1128" s="62">
        <v>24.08</v>
      </c>
      <c r="I1128" s="62">
        <v>2026</v>
      </c>
      <c r="J1128" s="62">
        <v>9</v>
      </c>
      <c r="K1128" s="62" t="s">
        <v>17</v>
      </c>
      <c r="L1128" s="62" t="s">
        <v>1</v>
      </c>
      <c r="M1128" s="62">
        <v>250.74</v>
      </c>
      <c r="N1128" s="62">
        <v>0</v>
      </c>
    </row>
    <row r="1129" spans="1:14">
      <c r="A1129" s="62">
        <v>2020</v>
      </c>
      <c r="B1129" s="62">
        <v>12</v>
      </c>
      <c r="C1129" s="62" t="s">
        <v>5</v>
      </c>
      <c r="D1129" s="62" t="s">
        <v>2</v>
      </c>
      <c r="E1129" s="62">
        <v>32</v>
      </c>
      <c r="F1129" s="62">
        <v>5.6</v>
      </c>
      <c r="I1129" s="62">
        <v>2026</v>
      </c>
      <c r="J1129" s="62">
        <v>10</v>
      </c>
      <c r="K1129" s="62" t="s">
        <v>17</v>
      </c>
      <c r="L1129" s="62" t="s">
        <v>1</v>
      </c>
      <c r="M1129" s="62">
        <v>273.225</v>
      </c>
      <c r="N1129" s="62">
        <v>0</v>
      </c>
    </row>
    <row r="1130" spans="1:14">
      <c r="A1130" s="62">
        <v>2021</v>
      </c>
      <c r="B1130" s="62">
        <v>1</v>
      </c>
      <c r="C1130" s="62" t="s">
        <v>5</v>
      </c>
      <c r="D1130" s="62" t="s">
        <v>2</v>
      </c>
      <c r="E1130" s="62">
        <v>32</v>
      </c>
      <c r="F1130" s="62">
        <v>5.6</v>
      </c>
      <c r="I1130" s="62">
        <v>2026</v>
      </c>
      <c r="J1130" s="62">
        <v>11</v>
      </c>
      <c r="K1130" s="62" t="s">
        <v>17</v>
      </c>
      <c r="L1130" s="62" t="s">
        <v>1</v>
      </c>
      <c r="M1130" s="62">
        <v>97.80499999999999</v>
      </c>
      <c r="N1130" s="62">
        <v>0</v>
      </c>
    </row>
    <row r="1131" spans="1:14">
      <c r="A1131" s="62">
        <v>2021</v>
      </c>
      <c r="B1131" s="62">
        <v>2</v>
      </c>
      <c r="C1131" s="62" t="s">
        <v>5</v>
      </c>
      <c r="D1131" s="62" t="s">
        <v>2</v>
      </c>
      <c r="E1131" s="62">
        <v>32</v>
      </c>
      <c r="F1131" s="62">
        <v>5.6</v>
      </c>
      <c r="I1131" s="62">
        <v>2027</v>
      </c>
      <c r="J1131" s="62">
        <v>1</v>
      </c>
      <c r="K1131" s="62" t="s">
        <v>17</v>
      </c>
      <c r="L1131" s="62" t="s">
        <v>1</v>
      </c>
      <c r="M1131" s="62">
        <v>123.19</v>
      </c>
      <c r="N1131" s="62">
        <v>0</v>
      </c>
    </row>
    <row r="1132" spans="1:14">
      <c r="A1132" s="62">
        <v>2021</v>
      </c>
      <c r="B1132" s="62">
        <v>3</v>
      </c>
      <c r="C1132" s="62" t="s">
        <v>5</v>
      </c>
      <c r="D1132" s="62" t="s">
        <v>2</v>
      </c>
      <c r="E1132" s="62">
        <v>425.085</v>
      </c>
      <c r="F1132" s="62">
        <v>118.20375</v>
      </c>
      <c r="I1132" s="62">
        <v>2027</v>
      </c>
      <c r="J1132" s="62">
        <v>2</v>
      </c>
      <c r="K1132" s="62" t="s">
        <v>17</v>
      </c>
      <c r="L1132" s="62" t="s">
        <v>1</v>
      </c>
      <c r="M1132" s="62">
        <v>397.63</v>
      </c>
      <c r="N1132" s="62">
        <v>0</v>
      </c>
    </row>
    <row r="1133" spans="1:14">
      <c r="A1133" s="62">
        <v>2021</v>
      </c>
      <c r="B1133" s="62">
        <v>4</v>
      </c>
      <c r="C1133" s="62" t="s">
        <v>5</v>
      </c>
      <c r="D1133" s="62" t="s">
        <v>2</v>
      </c>
      <c r="E1133" s="62">
        <v>974.895</v>
      </c>
      <c r="F1133" s="62">
        <v>186.1565</v>
      </c>
      <c r="I1133" s="62">
        <v>2027</v>
      </c>
      <c r="J1133" s="62">
        <v>3</v>
      </c>
      <c r="K1133" s="62" t="s">
        <v>17</v>
      </c>
      <c r="L1133" s="62" t="s">
        <v>1</v>
      </c>
      <c r="M1133" s="62">
        <v>756.129</v>
      </c>
      <c r="N1133" s="62">
        <v>0</v>
      </c>
    </row>
    <row r="1134" spans="1:14">
      <c r="A1134" s="62">
        <v>2021</v>
      </c>
      <c r="B1134" s="62">
        <v>5</v>
      </c>
      <c r="C1134" s="62" t="s">
        <v>5</v>
      </c>
      <c r="D1134" s="62" t="s">
        <v>2</v>
      </c>
      <c r="E1134" s="62">
        <v>808.64</v>
      </c>
      <c r="F1134" s="62">
        <v>152.159</v>
      </c>
      <c r="I1134" s="62">
        <v>2027</v>
      </c>
      <c r="J1134" s="62">
        <v>4</v>
      </c>
      <c r="K1134" s="62" t="s">
        <v>17</v>
      </c>
      <c r="L1134" s="62" t="s">
        <v>1</v>
      </c>
      <c r="M1134" s="62">
        <v>482.653</v>
      </c>
      <c r="N1134" s="62">
        <v>0</v>
      </c>
    </row>
    <row r="1135" spans="1:14">
      <c r="A1135" s="62">
        <v>2021</v>
      </c>
      <c r="B1135" s="62">
        <v>6</v>
      </c>
      <c r="C1135" s="62" t="s">
        <v>5</v>
      </c>
      <c r="D1135" s="62" t="s">
        <v>2</v>
      </c>
      <c r="E1135" s="62">
        <v>123</v>
      </c>
      <c r="F1135" s="62">
        <v>22.00275</v>
      </c>
      <c r="I1135" s="62">
        <v>2027</v>
      </c>
      <c r="J1135" s="62">
        <v>5</v>
      </c>
      <c r="K1135" s="62" t="s">
        <v>17</v>
      </c>
      <c r="L1135" s="62" t="s">
        <v>1</v>
      </c>
      <c r="M1135" s="62">
        <v>199.58</v>
      </c>
      <c r="N1135" s="62">
        <v>0</v>
      </c>
    </row>
    <row r="1136" spans="1:14">
      <c r="A1136" s="62">
        <v>2021</v>
      </c>
      <c r="B1136" s="62">
        <v>7</v>
      </c>
      <c r="C1136" s="62" t="s">
        <v>5</v>
      </c>
      <c r="D1136" s="62" t="s">
        <v>2</v>
      </c>
      <c r="E1136" s="62">
        <v>150.08</v>
      </c>
      <c r="F1136" s="62">
        <v>31.508</v>
      </c>
      <c r="I1136" s="62">
        <v>2027</v>
      </c>
      <c r="J1136" s="62">
        <v>6</v>
      </c>
      <c r="K1136" s="62" t="s">
        <v>17</v>
      </c>
      <c r="L1136" s="62" t="s">
        <v>1</v>
      </c>
      <c r="M1136" s="62">
        <v>43.05</v>
      </c>
      <c r="N1136" s="62">
        <v>0</v>
      </c>
    </row>
    <row r="1137" spans="1:14">
      <c r="A1137" s="62">
        <v>2021</v>
      </c>
      <c r="B1137" s="62">
        <v>8</v>
      </c>
      <c r="C1137" s="62" t="s">
        <v>5</v>
      </c>
      <c r="D1137" s="62" t="s">
        <v>2</v>
      </c>
      <c r="E1137" s="62">
        <v>247.67</v>
      </c>
      <c r="F1137" s="62">
        <v>65.48350000000001</v>
      </c>
      <c r="I1137" s="62">
        <v>2027</v>
      </c>
      <c r="J1137" s="62">
        <v>9</v>
      </c>
      <c r="K1137" s="62" t="s">
        <v>17</v>
      </c>
      <c r="L1137" s="62" t="s">
        <v>1</v>
      </c>
      <c r="M1137" s="62">
        <v>562.105</v>
      </c>
      <c r="N1137" s="62">
        <v>0</v>
      </c>
    </row>
    <row r="1138" spans="1:14">
      <c r="A1138" s="62">
        <v>2021</v>
      </c>
      <c r="B1138" s="62">
        <v>9</v>
      </c>
      <c r="C1138" s="62" t="s">
        <v>5</v>
      </c>
      <c r="D1138" s="62" t="s">
        <v>2</v>
      </c>
      <c r="E1138" s="62">
        <v>533.053</v>
      </c>
      <c r="F1138" s="62">
        <v>211.75225</v>
      </c>
      <c r="I1138" s="62">
        <v>2027</v>
      </c>
      <c r="J1138" s="62">
        <v>10</v>
      </c>
      <c r="K1138" s="62" t="s">
        <v>17</v>
      </c>
      <c r="L1138" s="62" t="s">
        <v>1</v>
      </c>
      <c r="M1138" s="62">
        <v>468.285</v>
      </c>
      <c r="N1138" s="62">
        <v>0</v>
      </c>
    </row>
    <row r="1139" spans="1:14">
      <c r="A1139" s="62">
        <v>2021</v>
      </c>
      <c r="B1139" s="62">
        <v>10</v>
      </c>
      <c r="C1139" s="62" t="s">
        <v>5</v>
      </c>
      <c r="D1139" s="62" t="s">
        <v>2</v>
      </c>
      <c r="E1139" s="62">
        <v>1074.9805</v>
      </c>
      <c r="F1139" s="62">
        <v>310.54375</v>
      </c>
      <c r="I1139" s="62">
        <v>2027</v>
      </c>
      <c r="J1139" s="62">
        <v>11</v>
      </c>
      <c r="K1139" s="62" t="s">
        <v>17</v>
      </c>
      <c r="L1139" s="62" t="s">
        <v>1</v>
      </c>
      <c r="M1139" s="62">
        <v>107.28</v>
      </c>
      <c r="N1139" s="62">
        <v>0</v>
      </c>
    </row>
    <row r="1140" spans="1:14">
      <c r="A1140" s="62">
        <v>2021</v>
      </c>
      <c r="B1140" s="62">
        <v>11</v>
      </c>
      <c r="C1140" s="62" t="s">
        <v>5</v>
      </c>
      <c r="D1140" s="62" t="s">
        <v>2</v>
      </c>
      <c r="E1140" s="62">
        <v>245.3699</v>
      </c>
      <c r="F1140" s="62">
        <v>67.556625</v>
      </c>
      <c r="I1140" s="62">
        <v>2014</v>
      </c>
      <c r="J1140" s="62">
        <v>1</v>
      </c>
      <c r="K1140" s="62" t="s">
        <v>17</v>
      </c>
      <c r="L1140" s="62" t="s">
        <v>2</v>
      </c>
      <c r="M1140" s="62">
        <v>396.78</v>
      </c>
      <c r="N1140" s="62">
        <v>0</v>
      </c>
    </row>
    <row r="1141" spans="1:14">
      <c r="A1141" s="62">
        <v>2021</v>
      </c>
      <c r="B1141" s="62">
        <v>12</v>
      </c>
      <c r="C1141" s="62" t="s">
        <v>5</v>
      </c>
      <c r="D1141" s="62" t="s">
        <v>2</v>
      </c>
      <c r="E1141" s="62">
        <v>32</v>
      </c>
      <c r="F1141" s="62">
        <v>5.6</v>
      </c>
      <c r="I1141" s="62">
        <v>2014</v>
      </c>
      <c r="J1141" s="62">
        <v>2</v>
      </c>
      <c r="K1141" s="62" t="s">
        <v>17</v>
      </c>
      <c r="L1141" s="62" t="s">
        <v>2</v>
      </c>
      <c r="M1141" s="62">
        <v>759.05</v>
      </c>
      <c r="N1141" s="62">
        <v>0</v>
      </c>
    </row>
    <row r="1142" spans="1:14">
      <c r="A1142" s="62">
        <v>2022</v>
      </c>
      <c r="B1142" s="62">
        <v>1</v>
      </c>
      <c r="C1142" s="62" t="s">
        <v>5</v>
      </c>
      <c r="D1142" s="62" t="s">
        <v>2</v>
      </c>
      <c r="E1142" s="62">
        <v>32</v>
      </c>
      <c r="F1142" s="62">
        <v>5.6</v>
      </c>
      <c r="I1142" s="62">
        <v>2014</v>
      </c>
      <c r="J1142" s="62">
        <v>3</v>
      </c>
      <c r="K1142" s="62" t="s">
        <v>17</v>
      </c>
      <c r="L1142" s="62" t="s">
        <v>2</v>
      </c>
      <c r="M1142" s="62">
        <v>869.005</v>
      </c>
      <c r="N1142" s="62">
        <v>0</v>
      </c>
    </row>
    <row r="1143" spans="1:14">
      <c r="A1143" s="62">
        <v>2022</v>
      </c>
      <c r="B1143" s="62">
        <v>2</v>
      </c>
      <c r="C1143" s="62" t="s">
        <v>5</v>
      </c>
      <c r="D1143" s="62" t="s">
        <v>2</v>
      </c>
      <c r="E1143" s="62">
        <v>49.28</v>
      </c>
      <c r="F1143" s="62">
        <v>9.5375</v>
      </c>
      <c r="I1143" s="62">
        <v>2014</v>
      </c>
      <c r="J1143" s="62">
        <v>4</v>
      </c>
      <c r="K1143" s="62" t="s">
        <v>17</v>
      </c>
      <c r="L1143" s="62" t="s">
        <v>2</v>
      </c>
      <c r="M1143" s="62">
        <v>643.5549999999999</v>
      </c>
      <c r="N1143" s="62">
        <v>0</v>
      </c>
    </row>
    <row r="1144" spans="1:14">
      <c r="A1144" s="62">
        <v>2022</v>
      </c>
      <c r="B1144" s="62">
        <v>3</v>
      </c>
      <c r="C1144" s="62" t="s">
        <v>5</v>
      </c>
      <c r="D1144" s="62" t="s">
        <v>2</v>
      </c>
      <c r="E1144" s="62">
        <v>349.8</v>
      </c>
      <c r="F1144" s="62">
        <v>85.866</v>
      </c>
      <c r="I1144" s="62">
        <v>2014</v>
      </c>
      <c r="J1144" s="62">
        <v>5</v>
      </c>
      <c r="K1144" s="62" t="s">
        <v>17</v>
      </c>
      <c r="L1144" s="62" t="s">
        <v>2</v>
      </c>
      <c r="M1144" s="62">
        <v>495.382</v>
      </c>
      <c r="N1144" s="62">
        <v>0</v>
      </c>
    </row>
    <row r="1145" spans="1:14">
      <c r="A1145" s="62">
        <v>2022</v>
      </c>
      <c r="B1145" s="62">
        <v>4</v>
      </c>
      <c r="C1145" s="62" t="s">
        <v>5</v>
      </c>
      <c r="D1145" s="62" t="s">
        <v>2</v>
      </c>
      <c r="E1145" s="62">
        <v>390.2706</v>
      </c>
      <c r="F1145" s="62">
        <v>109.34812</v>
      </c>
      <c r="I1145" s="62">
        <v>2014</v>
      </c>
      <c r="J1145" s="62">
        <v>6</v>
      </c>
      <c r="K1145" s="62" t="s">
        <v>17</v>
      </c>
      <c r="L1145" s="62" t="s">
        <v>2</v>
      </c>
      <c r="M1145" s="62">
        <v>382.4235</v>
      </c>
      <c r="N1145" s="62">
        <v>0</v>
      </c>
    </row>
    <row r="1146" spans="1:14">
      <c r="A1146" s="62">
        <v>2022</v>
      </c>
      <c r="B1146" s="62">
        <v>5</v>
      </c>
      <c r="C1146" s="62" t="s">
        <v>5</v>
      </c>
      <c r="D1146" s="62" t="s">
        <v>2</v>
      </c>
      <c r="E1146" s="62">
        <v>463.802</v>
      </c>
      <c r="F1146" s="62">
        <v>113.8824</v>
      </c>
      <c r="I1146" s="62">
        <v>2014</v>
      </c>
      <c r="J1146" s="62">
        <v>7</v>
      </c>
      <c r="K1146" s="62" t="s">
        <v>17</v>
      </c>
      <c r="L1146" s="62" t="s">
        <v>2</v>
      </c>
      <c r="M1146" s="62">
        <v>138.35</v>
      </c>
      <c r="N1146" s="62">
        <v>0</v>
      </c>
    </row>
    <row r="1147" spans="1:14">
      <c r="A1147" s="62">
        <v>2022</v>
      </c>
      <c r="B1147" s="62">
        <v>6</v>
      </c>
      <c r="C1147" s="62" t="s">
        <v>5</v>
      </c>
      <c r="D1147" s="62" t="s">
        <v>2</v>
      </c>
      <c r="E1147" s="62">
        <v>420.18</v>
      </c>
      <c r="F1147" s="62">
        <v>112.35</v>
      </c>
      <c r="I1147" s="62">
        <v>2014</v>
      </c>
      <c r="J1147" s="62">
        <v>8</v>
      </c>
      <c r="K1147" s="62" t="s">
        <v>17</v>
      </c>
      <c r="L1147" s="62" t="s">
        <v>2</v>
      </c>
      <c r="M1147" s="62">
        <v>51.33</v>
      </c>
      <c r="N1147" s="62">
        <v>0</v>
      </c>
    </row>
    <row r="1148" spans="1:14">
      <c r="A1148" s="62">
        <v>2022</v>
      </c>
      <c r="B1148" s="62">
        <v>7</v>
      </c>
      <c r="C1148" s="62" t="s">
        <v>5</v>
      </c>
      <c r="D1148" s="62" t="s">
        <v>2</v>
      </c>
      <c r="E1148" s="62">
        <v>535.775</v>
      </c>
      <c r="F1148" s="62">
        <v>112.209</v>
      </c>
      <c r="I1148" s="62">
        <v>2014</v>
      </c>
      <c r="J1148" s="62">
        <v>9</v>
      </c>
      <c r="K1148" s="62" t="s">
        <v>17</v>
      </c>
      <c r="L1148" s="62" t="s">
        <v>2</v>
      </c>
      <c r="M1148" s="62">
        <v>244.692</v>
      </c>
      <c r="N1148" s="62">
        <v>0</v>
      </c>
    </row>
    <row r="1149" spans="1:14">
      <c r="A1149" s="62">
        <v>2022</v>
      </c>
      <c r="B1149" s="62">
        <v>8</v>
      </c>
      <c r="C1149" s="62" t="s">
        <v>5</v>
      </c>
      <c r="D1149" s="62" t="s">
        <v>2</v>
      </c>
      <c r="E1149" s="62">
        <v>513.54</v>
      </c>
      <c r="F1149" s="62">
        <v>103.31875</v>
      </c>
      <c r="I1149" s="62">
        <v>2014</v>
      </c>
      <c r="J1149" s="62">
        <v>10</v>
      </c>
      <c r="K1149" s="62" t="s">
        <v>17</v>
      </c>
      <c r="L1149" s="62" t="s">
        <v>2</v>
      </c>
      <c r="M1149" s="62">
        <v>861.14</v>
      </c>
      <c r="N1149" s="62">
        <v>0</v>
      </c>
    </row>
    <row r="1150" spans="1:14">
      <c r="A1150" s="62">
        <v>2022</v>
      </c>
      <c r="B1150" s="62">
        <v>9</v>
      </c>
      <c r="C1150" s="62" t="s">
        <v>5</v>
      </c>
      <c r="D1150" s="62" t="s">
        <v>2</v>
      </c>
      <c r="E1150" s="62">
        <v>254.81</v>
      </c>
      <c r="F1150" s="62">
        <v>62.68825</v>
      </c>
      <c r="I1150" s="62">
        <v>2014</v>
      </c>
      <c r="J1150" s="62">
        <v>11</v>
      </c>
      <c r="K1150" s="62" t="s">
        <v>17</v>
      </c>
      <c r="L1150" s="62" t="s">
        <v>2</v>
      </c>
      <c r="M1150" s="62">
        <v>554.8</v>
      </c>
      <c r="N1150" s="62">
        <v>0</v>
      </c>
    </row>
    <row r="1151" spans="1:14">
      <c r="A1151" s="62">
        <v>2022</v>
      </c>
      <c r="B1151" s="62">
        <v>10</v>
      </c>
      <c r="C1151" s="62" t="s">
        <v>5</v>
      </c>
      <c r="D1151" s="62" t="s">
        <v>2</v>
      </c>
      <c r="E1151" s="62">
        <v>521.6469999999999</v>
      </c>
      <c r="F1151" s="62">
        <v>106.06945</v>
      </c>
      <c r="I1151" s="62">
        <v>2014</v>
      </c>
      <c r="J1151" s="62">
        <v>12</v>
      </c>
      <c r="K1151" s="62" t="s">
        <v>17</v>
      </c>
      <c r="L1151" s="62" t="s">
        <v>2</v>
      </c>
      <c r="M1151" s="62">
        <v>70.249</v>
      </c>
      <c r="N1151" s="62">
        <v>0</v>
      </c>
    </row>
    <row r="1152" spans="1:14">
      <c r="A1152" s="62">
        <v>2022</v>
      </c>
      <c r="B1152" s="62">
        <v>11</v>
      </c>
      <c r="C1152" s="62" t="s">
        <v>5</v>
      </c>
      <c r="D1152" s="62" t="s">
        <v>2</v>
      </c>
      <c r="E1152" s="62">
        <v>209.039</v>
      </c>
      <c r="F1152" s="62">
        <v>57.52665</v>
      </c>
      <c r="I1152" s="62">
        <v>2015</v>
      </c>
      <c r="J1152" s="62">
        <v>1</v>
      </c>
      <c r="K1152" s="62" t="s">
        <v>17</v>
      </c>
      <c r="L1152" s="62" t="s">
        <v>2</v>
      </c>
      <c r="M1152" s="62">
        <v>559.974</v>
      </c>
      <c r="N1152" s="62">
        <v>0</v>
      </c>
    </row>
    <row r="1153" spans="1:14">
      <c r="A1153" s="62">
        <v>2022</v>
      </c>
      <c r="B1153" s="62">
        <v>12</v>
      </c>
      <c r="C1153" s="62" t="s">
        <v>5</v>
      </c>
      <c r="D1153" s="62" t="s">
        <v>2</v>
      </c>
      <c r="E1153" s="62">
        <v>91.10000000000001</v>
      </c>
      <c r="F1153" s="62">
        <v>19.695</v>
      </c>
      <c r="I1153" s="62">
        <v>2015</v>
      </c>
      <c r="J1153" s="62">
        <v>2</v>
      </c>
      <c r="K1153" s="62" t="s">
        <v>17</v>
      </c>
      <c r="L1153" s="62" t="s">
        <v>2</v>
      </c>
      <c r="M1153" s="62">
        <v>665.015</v>
      </c>
      <c r="N1153" s="62">
        <v>0</v>
      </c>
    </row>
    <row r="1154" spans="1:14">
      <c r="A1154" s="62">
        <v>2023</v>
      </c>
      <c r="B1154" s="62">
        <v>1</v>
      </c>
      <c r="C1154" s="62" t="s">
        <v>5</v>
      </c>
      <c r="D1154" s="62" t="s">
        <v>2</v>
      </c>
      <c r="E1154" s="62">
        <v>461.35</v>
      </c>
      <c r="F1154" s="62">
        <v>125.91125</v>
      </c>
      <c r="I1154" s="62">
        <v>2015</v>
      </c>
      <c r="J1154" s="62">
        <v>3</v>
      </c>
      <c r="K1154" s="62" t="s">
        <v>17</v>
      </c>
      <c r="L1154" s="62" t="s">
        <v>2</v>
      </c>
      <c r="M1154" s="62">
        <v>917.893</v>
      </c>
      <c r="N1154" s="62">
        <v>0</v>
      </c>
    </row>
    <row r="1155" spans="1:14">
      <c r="A1155" s="62">
        <v>2023</v>
      </c>
      <c r="B1155" s="62">
        <v>2</v>
      </c>
      <c r="C1155" s="62" t="s">
        <v>5</v>
      </c>
      <c r="D1155" s="62" t="s">
        <v>2</v>
      </c>
      <c r="E1155" s="62">
        <v>383.78</v>
      </c>
      <c r="F1155" s="62">
        <v>112.356</v>
      </c>
      <c r="I1155" s="62">
        <v>2015</v>
      </c>
      <c r="J1155" s="62">
        <v>4</v>
      </c>
      <c r="K1155" s="62" t="s">
        <v>17</v>
      </c>
      <c r="L1155" s="62" t="s">
        <v>2</v>
      </c>
      <c r="M1155" s="62">
        <v>596.877</v>
      </c>
      <c r="N1155" s="62">
        <v>0</v>
      </c>
    </row>
    <row r="1156" spans="1:14">
      <c r="A1156" s="62">
        <v>2023</v>
      </c>
      <c r="B1156" s="62">
        <v>3</v>
      </c>
      <c r="C1156" s="62" t="s">
        <v>5</v>
      </c>
      <c r="D1156" s="62" t="s">
        <v>2</v>
      </c>
      <c r="E1156" s="62">
        <v>725.675</v>
      </c>
      <c r="F1156" s="62">
        <v>144.140875</v>
      </c>
      <c r="I1156" s="62">
        <v>2015</v>
      </c>
      <c r="J1156" s="62">
        <v>5</v>
      </c>
      <c r="K1156" s="62" t="s">
        <v>17</v>
      </c>
      <c r="L1156" s="62" t="s">
        <v>2</v>
      </c>
      <c r="M1156" s="62">
        <v>416.462</v>
      </c>
      <c r="N1156" s="62">
        <v>0</v>
      </c>
    </row>
    <row r="1157" spans="1:14">
      <c r="A1157" s="62">
        <v>2023</v>
      </c>
      <c r="B1157" s="62">
        <v>4</v>
      </c>
      <c r="C1157" s="62" t="s">
        <v>5</v>
      </c>
      <c r="D1157" s="62" t="s">
        <v>2</v>
      </c>
      <c r="E1157" s="62">
        <v>820.59</v>
      </c>
      <c r="F1157" s="62">
        <v>164.347125</v>
      </c>
      <c r="I1157" s="62">
        <v>2015</v>
      </c>
      <c r="J1157" s="62">
        <v>6</v>
      </c>
      <c r="K1157" s="62" t="s">
        <v>17</v>
      </c>
      <c r="L1157" s="62" t="s">
        <v>2</v>
      </c>
      <c r="M1157" s="62">
        <v>262.841</v>
      </c>
      <c r="N1157" s="62">
        <v>0</v>
      </c>
    </row>
    <row r="1158" spans="1:14">
      <c r="A1158" s="62">
        <v>2023</v>
      </c>
      <c r="B1158" s="62">
        <v>5</v>
      </c>
      <c r="C1158" s="62" t="s">
        <v>5</v>
      </c>
      <c r="D1158" s="62" t="s">
        <v>2</v>
      </c>
      <c r="E1158" s="62">
        <v>229.715</v>
      </c>
      <c r="F1158" s="62">
        <v>60.27725</v>
      </c>
      <c r="I1158" s="62">
        <v>2015</v>
      </c>
      <c r="J1158" s="62">
        <v>7</v>
      </c>
      <c r="K1158" s="62" t="s">
        <v>17</v>
      </c>
      <c r="L1158" s="62" t="s">
        <v>2</v>
      </c>
      <c r="M1158" s="62">
        <v>178.675</v>
      </c>
      <c r="N1158" s="62">
        <v>0</v>
      </c>
    </row>
    <row r="1159" spans="1:14">
      <c r="A1159" s="62">
        <v>2023</v>
      </c>
      <c r="B1159" s="62">
        <v>6</v>
      </c>
      <c r="C1159" s="62" t="s">
        <v>5</v>
      </c>
      <c r="D1159" s="62" t="s">
        <v>2</v>
      </c>
      <c r="E1159" s="62">
        <v>32</v>
      </c>
      <c r="F1159" s="62">
        <v>5.6</v>
      </c>
      <c r="I1159" s="62">
        <v>2015</v>
      </c>
      <c r="J1159" s="62">
        <v>8</v>
      </c>
      <c r="K1159" s="62" t="s">
        <v>17</v>
      </c>
      <c r="L1159" s="62" t="s">
        <v>2</v>
      </c>
      <c r="M1159" s="62">
        <v>172.095</v>
      </c>
      <c r="N1159" s="62">
        <v>0</v>
      </c>
    </row>
    <row r="1160" spans="1:14">
      <c r="A1160" s="62">
        <v>2023</v>
      </c>
      <c r="B1160" s="62">
        <v>7</v>
      </c>
      <c r="C1160" s="62" t="s">
        <v>5</v>
      </c>
      <c r="D1160" s="62" t="s">
        <v>2</v>
      </c>
      <c r="E1160" s="62">
        <v>111.31</v>
      </c>
      <c r="F1160" s="62">
        <v>22.447</v>
      </c>
      <c r="I1160" s="62">
        <v>2015</v>
      </c>
      <c r="J1160" s="62">
        <v>9</v>
      </c>
      <c r="K1160" s="62" t="s">
        <v>17</v>
      </c>
      <c r="L1160" s="62" t="s">
        <v>2</v>
      </c>
      <c r="M1160" s="62">
        <v>354.106</v>
      </c>
      <c r="N1160" s="62">
        <v>0</v>
      </c>
    </row>
    <row r="1161" spans="1:14">
      <c r="A1161" s="62">
        <v>2023</v>
      </c>
      <c r="B1161" s="62">
        <v>8</v>
      </c>
      <c r="C1161" s="62" t="s">
        <v>5</v>
      </c>
      <c r="D1161" s="62" t="s">
        <v>2</v>
      </c>
      <c r="E1161" s="62">
        <v>36.44</v>
      </c>
      <c r="F1161" s="62">
        <v>5.6</v>
      </c>
      <c r="I1161" s="62">
        <v>2015</v>
      </c>
      <c r="J1161" s="62">
        <v>10</v>
      </c>
      <c r="K1161" s="62" t="s">
        <v>17</v>
      </c>
      <c r="L1161" s="62" t="s">
        <v>2</v>
      </c>
      <c r="M1161" s="62">
        <v>683.0655</v>
      </c>
      <c r="N1161" s="62">
        <v>0</v>
      </c>
    </row>
    <row r="1162" spans="1:14">
      <c r="A1162" s="62">
        <v>2023</v>
      </c>
      <c r="B1162" s="62">
        <v>9</v>
      </c>
      <c r="C1162" s="62" t="s">
        <v>5</v>
      </c>
      <c r="D1162" s="62" t="s">
        <v>2</v>
      </c>
      <c r="E1162" s="62">
        <v>1129.5323</v>
      </c>
      <c r="F1162" s="62">
        <v>182.6222725</v>
      </c>
      <c r="I1162" s="62">
        <v>2015</v>
      </c>
      <c r="J1162" s="62">
        <v>11</v>
      </c>
      <c r="K1162" s="62" t="s">
        <v>17</v>
      </c>
      <c r="L1162" s="62" t="s">
        <v>2</v>
      </c>
      <c r="M1162" s="62">
        <v>322.0975</v>
      </c>
      <c r="N1162" s="62">
        <v>0</v>
      </c>
    </row>
    <row r="1163" spans="1:14">
      <c r="A1163" s="62">
        <v>2023</v>
      </c>
      <c r="B1163" s="62">
        <v>10</v>
      </c>
      <c r="C1163" s="62" t="s">
        <v>5</v>
      </c>
      <c r="D1163" s="62" t="s">
        <v>2</v>
      </c>
      <c r="E1163" s="62">
        <v>1352.7983</v>
      </c>
      <c r="F1163" s="62">
        <v>225.2710975</v>
      </c>
      <c r="I1163" s="62">
        <v>2015</v>
      </c>
      <c r="J1163" s="62">
        <v>12</v>
      </c>
      <c r="K1163" s="62" t="s">
        <v>17</v>
      </c>
      <c r="L1163" s="62" t="s">
        <v>2</v>
      </c>
      <c r="M1163" s="62">
        <v>197.459</v>
      </c>
      <c r="N1163" s="62">
        <v>0</v>
      </c>
    </row>
    <row r="1164" spans="1:14">
      <c r="A1164" s="62">
        <v>2023</v>
      </c>
      <c r="B1164" s="62">
        <v>11</v>
      </c>
      <c r="C1164" s="62" t="s">
        <v>5</v>
      </c>
      <c r="D1164" s="62" t="s">
        <v>2</v>
      </c>
      <c r="E1164" s="62">
        <v>175.36</v>
      </c>
      <c r="F1164" s="62">
        <v>31.6385</v>
      </c>
      <c r="I1164" s="62">
        <v>2016</v>
      </c>
      <c r="J1164" s="62">
        <v>1</v>
      </c>
      <c r="K1164" s="62" t="s">
        <v>17</v>
      </c>
      <c r="L1164" s="62" t="s">
        <v>2</v>
      </c>
      <c r="M1164" s="62">
        <v>345.7105</v>
      </c>
      <c r="N1164" s="62">
        <v>0</v>
      </c>
    </row>
    <row r="1165" spans="1:14">
      <c r="A1165" s="62">
        <v>2023</v>
      </c>
      <c r="B1165" s="62">
        <v>12</v>
      </c>
      <c r="C1165" s="62" t="s">
        <v>5</v>
      </c>
      <c r="D1165" s="62" t="s">
        <v>2</v>
      </c>
      <c r="E1165" s="62">
        <v>6</v>
      </c>
      <c r="F1165" s="62">
        <v>0</v>
      </c>
      <c r="I1165" s="62">
        <v>2016</v>
      </c>
      <c r="J1165" s="62">
        <v>2</v>
      </c>
      <c r="K1165" s="62" t="s">
        <v>17</v>
      </c>
      <c r="L1165" s="62" t="s">
        <v>2</v>
      </c>
      <c r="M1165" s="62">
        <v>616.936</v>
      </c>
      <c r="N1165" s="62">
        <v>0</v>
      </c>
    </row>
    <row r="1166" spans="1:14">
      <c r="A1166" s="62">
        <v>2024</v>
      </c>
      <c r="B1166" s="62">
        <v>1</v>
      </c>
      <c r="C1166" s="62" t="s">
        <v>5</v>
      </c>
      <c r="D1166" s="62" t="s">
        <v>2</v>
      </c>
      <c r="E1166" s="62">
        <v>6</v>
      </c>
      <c r="F1166" s="62">
        <v>0</v>
      </c>
      <c r="I1166" s="62">
        <v>2016</v>
      </c>
      <c r="J1166" s="62">
        <v>3</v>
      </c>
      <c r="K1166" s="62" t="s">
        <v>17</v>
      </c>
      <c r="L1166" s="62" t="s">
        <v>2</v>
      </c>
      <c r="M1166" s="62">
        <v>519.4125</v>
      </c>
      <c r="N1166" s="62">
        <v>0</v>
      </c>
    </row>
    <row r="1167" spans="1:14">
      <c r="A1167" s="62">
        <v>2024</v>
      </c>
      <c r="B1167" s="62">
        <v>2</v>
      </c>
      <c r="C1167" s="62" t="s">
        <v>5</v>
      </c>
      <c r="D1167" s="62" t="s">
        <v>2</v>
      </c>
      <c r="E1167" s="62">
        <v>115.72</v>
      </c>
      <c r="F1167" s="62">
        <v>31.38475</v>
      </c>
      <c r="I1167" s="62">
        <v>2016</v>
      </c>
      <c r="J1167" s="62">
        <v>4</v>
      </c>
      <c r="K1167" s="62" t="s">
        <v>17</v>
      </c>
      <c r="L1167" s="62" t="s">
        <v>2</v>
      </c>
      <c r="M1167" s="62">
        <v>533.571</v>
      </c>
      <c r="N1167" s="62">
        <v>0</v>
      </c>
    </row>
    <row r="1168" spans="1:14">
      <c r="A1168" s="62">
        <v>2024</v>
      </c>
      <c r="B1168" s="62">
        <v>3</v>
      </c>
      <c r="C1168" s="62" t="s">
        <v>5</v>
      </c>
      <c r="D1168" s="62" t="s">
        <v>2</v>
      </c>
      <c r="E1168" s="62">
        <v>595.095</v>
      </c>
      <c r="F1168" s="62">
        <v>111.171</v>
      </c>
      <c r="I1168" s="62">
        <v>2016</v>
      </c>
      <c r="J1168" s="62">
        <v>5</v>
      </c>
      <c r="K1168" s="62" t="s">
        <v>17</v>
      </c>
      <c r="L1168" s="62" t="s">
        <v>2</v>
      </c>
      <c r="M1168" s="62">
        <v>468.639</v>
      </c>
      <c r="N1168" s="62">
        <v>0</v>
      </c>
    </row>
    <row r="1169" spans="1:14">
      <c r="A1169" s="62">
        <v>2024</v>
      </c>
      <c r="B1169" s="62">
        <v>4</v>
      </c>
      <c r="C1169" s="62" t="s">
        <v>5</v>
      </c>
      <c r="D1169" s="62" t="s">
        <v>2</v>
      </c>
      <c r="E1169" s="62">
        <v>1064.4592</v>
      </c>
      <c r="F1169" s="62">
        <v>176.67584</v>
      </c>
      <c r="I1169" s="62">
        <v>2016</v>
      </c>
      <c r="J1169" s="62">
        <v>6</v>
      </c>
      <c r="K1169" s="62" t="s">
        <v>17</v>
      </c>
      <c r="L1169" s="62" t="s">
        <v>2</v>
      </c>
      <c r="M1169" s="62">
        <v>180.35</v>
      </c>
      <c r="N1169" s="62">
        <v>0</v>
      </c>
    </row>
    <row r="1170" spans="1:14">
      <c r="A1170" s="62">
        <v>2024</v>
      </c>
      <c r="B1170" s="62">
        <v>5</v>
      </c>
      <c r="C1170" s="62" t="s">
        <v>5</v>
      </c>
      <c r="D1170" s="62" t="s">
        <v>2</v>
      </c>
      <c r="E1170" s="62">
        <v>444.93</v>
      </c>
      <c r="F1170" s="62">
        <v>81.08925000000001</v>
      </c>
      <c r="I1170" s="62">
        <v>2016</v>
      </c>
      <c r="J1170" s="62">
        <v>7</v>
      </c>
      <c r="K1170" s="62" t="s">
        <v>17</v>
      </c>
      <c r="L1170" s="62" t="s">
        <v>2</v>
      </c>
      <c r="M1170" s="62">
        <v>286.46</v>
      </c>
      <c r="N1170" s="62">
        <v>0</v>
      </c>
    </row>
    <row r="1171" spans="1:14">
      <c r="A1171" s="62">
        <v>2024</v>
      </c>
      <c r="B1171" s="62">
        <v>6</v>
      </c>
      <c r="C1171" s="62" t="s">
        <v>5</v>
      </c>
      <c r="D1171" s="62" t="s">
        <v>2</v>
      </c>
      <c r="E1171" s="62">
        <v>208.271</v>
      </c>
      <c r="F1171" s="62">
        <v>44.6045</v>
      </c>
      <c r="I1171" s="62">
        <v>2016</v>
      </c>
      <c r="J1171" s="62">
        <v>8</v>
      </c>
      <c r="K1171" s="62" t="s">
        <v>17</v>
      </c>
      <c r="L1171" s="62" t="s">
        <v>2</v>
      </c>
      <c r="M1171" s="62">
        <v>294.571</v>
      </c>
      <c r="N1171" s="62">
        <v>0</v>
      </c>
    </row>
    <row r="1172" spans="1:14">
      <c r="A1172" s="62">
        <v>2024</v>
      </c>
      <c r="B1172" s="62">
        <v>7</v>
      </c>
      <c r="C1172" s="62" t="s">
        <v>5</v>
      </c>
      <c r="D1172" s="62" t="s">
        <v>2</v>
      </c>
      <c r="E1172" s="62">
        <v>214.2525</v>
      </c>
      <c r="F1172" s="62">
        <v>43.0005</v>
      </c>
      <c r="I1172" s="62">
        <v>2016</v>
      </c>
      <c r="J1172" s="62">
        <v>9</v>
      </c>
      <c r="K1172" s="62" t="s">
        <v>17</v>
      </c>
      <c r="L1172" s="62" t="s">
        <v>2</v>
      </c>
      <c r="M1172" s="62">
        <v>489.4445</v>
      </c>
      <c r="N1172" s="62">
        <v>0</v>
      </c>
    </row>
    <row r="1173" spans="1:14">
      <c r="A1173" s="62">
        <v>2024</v>
      </c>
      <c r="B1173" s="62">
        <v>8</v>
      </c>
      <c r="C1173" s="62" t="s">
        <v>5</v>
      </c>
      <c r="D1173" s="62" t="s">
        <v>2</v>
      </c>
      <c r="E1173" s="62">
        <v>24.1582</v>
      </c>
      <c r="F1173" s="62">
        <v>4.99064</v>
      </c>
      <c r="I1173" s="62">
        <v>2016</v>
      </c>
      <c r="J1173" s="62">
        <v>10</v>
      </c>
      <c r="K1173" s="62" t="s">
        <v>17</v>
      </c>
      <c r="L1173" s="62" t="s">
        <v>2</v>
      </c>
      <c r="M1173" s="62">
        <v>1014.463</v>
      </c>
      <c r="N1173" s="62">
        <v>0</v>
      </c>
    </row>
    <row r="1174" spans="1:14">
      <c r="A1174" s="62">
        <v>2024</v>
      </c>
      <c r="B1174" s="62">
        <v>9</v>
      </c>
      <c r="C1174" s="62" t="s">
        <v>5</v>
      </c>
      <c r="D1174" s="62" t="s">
        <v>2</v>
      </c>
      <c r="E1174" s="62">
        <v>639.1004</v>
      </c>
      <c r="F1174" s="62">
        <v>144.66082</v>
      </c>
      <c r="I1174" s="62">
        <v>2016</v>
      </c>
      <c r="J1174" s="62">
        <v>11</v>
      </c>
      <c r="K1174" s="62" t="s">
        <v>17</v>
      </c>
      <c r="L1174" s="62" t="s">
        <v>2</v>
      </c>
      <c r="M1174" s="62">
        <v>255.841</v>
      </c>
      <c r="N1174" s="62">
        <v>0</v>
      </c>
    </row>
    <row r="1175" spans="1:14">
      <c r="A1175" s="62">
        <v>2024</v>
      </c>
      <c r="B1175" s="62">
        <v>10</v>
      </c>
      <c r="C1175" s="62" t="s">
        <v>5</v>
      </c>
      <c r="D1175" s="62" t="s">
        <v>2</v>
      </c>
      <c r="E1175" s="62">
        <v>1011.43</v>
      </c>
      <c r="F1175" s="62">
        <v>282.8645</v>
      </c>
      <c r="I1175" s="62">
        <v>2016</v>
      </c>
      <c r="J1175" s="62">
        <v>12</v>
      </c>
      <c r="K1175" s="62" t="s">
        <v>17</v>
      </c>
      <c r="L1175" s="62" t="s">
        <v>2</v>
      </c>
      <c r="M1175" s="62">
        <v>90.99000000000001</v>
      </c>
      <c r="N1175" s="62">
        <v>0</v>
      </c>
    </row>
    <row r="1176" spans="1:14">
      <c r="A1176" s="62">
        <v>2024</v>
      </c>
      <c r="B1176" s="62">
        <v>11</v>
      </c>
      <c r="C1176" s="62" t="s">
        <v>5</v>
      </c>
      <c r="D1176" s="62" t="s">
        <v>2</v>
      </c>
      <c r="E1176" s="62">
        <v>315.985</v>
      </c>
      <c r="F1176" s="62">
        <v>86.88775</v>
      </c>
      <c r="I1176" s="62">
        <v>2017</v>
      </c>
      <c r="J1176" s="62">
        <v>1</v>
      </c>
      <c r="K1176" s="62" t="s">
        <v>17</v>
      </c>
      <c r="L1176" s="62" t="s">
        <v>2</v>
      </c>
      <c r="M1176" s="62">
        <v>361.98</v>
      </c>
      <c r="N1176" s="62">
        <v>0</v>
      </c>
    </row>
    <row r="1177" spans="1:14">
      <c r="A1177" s="62">
        <v>2025</v>
      </c>
      <c r="B1177" s="62">
        <v>1</v>
      </c>
      <c r="C1177" s="62" t="s">
        <v>5</v>
      </c>
      <c r="D1177" s="62" t="s">
        <v>2</v>
      </c>
      <c r="E1177" s="62">
        <v>133.9994</v>
      </c>
      <c r="F1177" s="62">
        <v>30.57033</v>
      </c>
      <c r="I1177" s="62">
        <v>2017</v>
      </c>
      <c r="J1177" s="62">
        <v>2</v>
      </c>
      <c r="K1177" s="62" t="s">
        <v>17</v>
      </c>
      <c r="L1177" s="62" t="s">
        <v>2</v>
      </c>
      <c r="M1177" s="62">
        <v>770.8</v>
      </c>
      <c r="N1177" s="62">
        <v>0</v>
      </c>
    </row>
    <row r="1178" spans="1:14">
      <c r="A1178" s="62">
        <v>2025</v>
      </c>
      <c r="B1178" s="62">
        <v>2</v>
      </c>
      <c r="C1178" s="62" t="s">
        <v>5</v>
      </c>
      <c r="D1178" s="62" t="s">
        <v>2</v>
      </c>
      <c r="E1178" s="62">
        <v>493.8334</v>
      </c>
      <c r="F1178" s="62">
        <v>95.17543000000001</v>
      </c>
      <c r="I1178" s="62">
        <v>2017</v>
      </c>
      <c r="J1178" s="62">
        <v>3</v>
      </c>
      <c r="K1178" s="62" t="s">
        <v>17</v>
      </c>
      <c r="L1178" s="62" t="s">
        <v>2</v>
      </c>
      <c r="M1178" s="62">
        <v>813.514</v>
      </c>
      <c r="N1178" s="62">
        <v>0</v>
      </c>
    </row>
    <row r="1179" spans="1:14">
      <c r="A1179" s="62">
        <v>2025</v>
      </c>
      <c r="B1179" s="62">
        <v>3</v>
      </c>
      <c r="C1179" s="62" t="s">
        <v>5</v>
      </c>
      <c r="D1179" s="62" t="s">
        <v>2</v>
      </c>
      <c r="E1179" s="62">
        <v>1042.81</v>
      </c>
      <c r="F1179" s="62">
        <v>235.5025</v>
      </c>
      <c r="I1179" s="62">
        <v>2017</v>
      </c>
      <c r="J1179" s="62">
        <v>4</v>
      </c>
      <c r="K1179" s="62" t="s">
        <v>17</v>
      </c>
      <c r="L1179" s="62" t="s">
        <v>2</v>
      </c>
      <c r="M1179" s="62">
        <v>494.955</v>
      </c>
      <c r="N1179" s="62">
        <v>0</v>
      </c>
    </row>
    <row r="1180" spans="1:14">
      <c r="A1180" s="62">
        <v>2025</v>
      </c>
      <c r="B1180" s="62">
        <v>4</v>
      </c>
      <c r="C1180" s="62" t="s">
        <v>5</v>
      </c>
      <c r="D1180" s="62" t="s">
        <v>2</v>
      </c>
      <c r="E1180" s="62">
        <v>1657.251</v>
      </c>
      <c r="F1180" s="62">
        <v>404.980425</v>
      </c>
      <c r="I1180" s="62">
        <v>2017</v>
      </c>
      <c r="J1180" s="62">
        <v>5</v>
      </c>
      <c r="K1180" s="62" t="s">
        <v>17</v>
      </c>
      <c r="L1180" s="62" t="s">
        <v>2</v>
      </c>
      <c r="M1180" s="62">
        <v>381.456</v>
      </c>
      <c r="N1180" s="62">
        <v>0</v>
      </c>
    </row>
    <row r="1181" spans="1:14">
      <c r="A1181" s="62">
        <v>2025</v>
      </c>
      <c r="B1181" s="62">
        <v>5</v>
      </c>
      <c r="C1181" s="62" t="s">
        <v>5</v>
      </c>
      <c r="D1181" s="62" t="s">
        <v>2</v>
      </c>
      <c r="E1181" s="62">
        <v>535.874</v>
      </c>
      <c r="F1181" s="62">
        <v>172.97025</v>
      </c>
      <c r="I1181" s="62">
        <v>2017</v>
      </c>
      <c r="J1181" s="62">
        <v>6</v>
      </c>
      <c r="K1181" s="62" t="s">
        <v>17</v>
      </c>
      <c r="L1181" s="62" t="s">
        <v>2</v>
      </c>
      <c r="M1181" s="62">
        <v>383.057</v>
      </c>
      <c r="N1181" s="62">
        <v>0</v>
      </c>
    </row>
    <row r="1182" spans="1:14">
      <c r="A1182" s="62">
        <v>2025</v>
      </c>
      <c r="B1182" s="62">
        <v>6</v>
      </c>
      <c r="C1182" s="62" t="s">
        <v>5</v>
      </c>
      <c r="D1182" s="62" t="s">
        <v>2</v>
      </c>
      <c r="E1182" s="62">
        <v>181.181</v>
      </c>
      <c r="F1182" s="62">
        <v>54.64425</v>
      </c>
      <c r="I1182" s="62">
        <v>2017</v>
      </c>
      <c r="J1182" s="62">
        <v>7</v>
      </c>
      <c r="K1182" s="62" t="s">
        <v>17</v>
      </c>
      <c r="L1182" s="62" t="s">
        <v>2</v>
      </c>
      <c r="M1182" s="62">
        <v>189.28</v>
      </c>
      <c r="N1182" s="62">
        <v>0</v>
      </c>
    </row>
    <row r="1183" spans="1:14">
      <c r="A1183" s="62">
        <v>2025</v>
      </c>
      <c r="B1183" s="62">
        <v>7</v>
      </c>
      <c r="C1183" s="62" t="s">
        <v>5</v>
      </c>
      <c r="D1183" s="62" t="s">
        <v>2</v>
      </c>
      <c r="E1183" s="62">
        <v>184.02</v>
      </c>
      <c r="F1183" s="62">
        <v>31.18725</v>
      </c>
      <c r="I1183" s="62">
        <v>2017</v>
      </c>
      <c r="J1183" s="62">
        <v>8</v>
      </c>
      <c r="K1183" s="62" t="s">
        <v>17</v>
      </c>
      <c r="L1183" s="62" t="s">
        <v>2</v>
      </c>
      <c r="M1183" s="62">
        <v>166.344</v>
      </c>
      <c r="N1183" s="62">
        <v>0</v>
      </c>
    </row>
    <row r="1184" spans="1:14">
      <c r="A1184" s="62">
        <v>2025</v>
      </c>
      <c r="B1184" s="62">
        <v>8</v>
      </c>
      <c r="C1184" s="62" t="s">
        <v>5</v>
      </c>
      <c r="D1184" s="62" t="s">
        <v>2</v>
      </c>
      <c r="E1184" s="62">
        <v>328.9</v>
      </c>
      <c r="F1184" s="62">
        <v>64.0775</v>
      </c>
      <c r="I1184" s="62">
        <v>2017</v>
      </c>
      <c r="J1184" s="62">
        <v>9</v>
      </c>
      <c r="K1184" s="62" t="s">
        <v>17</v>
      </c>
      <c r="L1184" s="62" t="s">
        <v>2</v>
      </c>
      <c r="M1184" s="62">
        <v>249.095</v>
      </c>
      <c r="N1184" s="62">
        <v>0</v>
      </c>
    </row>
    <row r="1185" spans="1:14">
      <c r="A1185" s="62">
        <v>2025</v>
      </c>
      <c r="B1185" s="62">
        <v>9</v>
      </c>
      <c r="C1185" s="62" t="s">
        <v>5</v>
      </c>
      <c r="D1185" s="62" t="s">
        <v>2</v>
      </c>
      <c r="E1185" s="62">
        <v>542.8200000000001</v>
      </c>
      <c r="F1185" s="62">
        <v>106.4825</v>
      </c>
      <c r="I1185" s="62">
        <v>2017</v>
      </c>
      <c r="J1185" s="62">
        <v>10</v>
      </c>
      <c r="K1185" s="62" t="s">
        <v>17</v>
      </c>
      <c r="L1185" s="62" t="s">
        <v>2</v>
      </c>
      <c r="M1185" s="62">
        <v>1093.094</v>
      </c>
      <c r="N1185" s="62">
        <v>0</v>
      </c>
    </row>
    <row r="1186" spans="1:14">
      <c r="A1186" s="62">
        <v>2025</v>
      </c>
      <c r="B1186" s="62">
        <v>10</v>
      </c>
      <c r="C1186" s="62" t="s">
        <v>5</v>
      </c>
      <c r="D1186" s="62" t="s">
        <v>2</v>
      </c>
      <c r="E1186" s="62">
        <v>631.914</v>
      </c>
      <c r="F1186" s="62">
        <v>174.7508</v>
      </c>
      <c r="I1186" s="62">
        <v>2017</v>
      </c>
      <c r="J1186" s="62">
        <v>11</v>
      </c>
      <c r="K1186" s="62" t="s">
        <v>17</v>
      </c>
      <c r="L1186" s="62" t="s">
        <v>2</v>
      </c>
      <c r="M1186" s="62">
        <v>663.83</v>
      </c>
      <c r="N1186" s="62">
        <v>0</v>
      </c>
    </row>
    <row r="1187" spans="1:14">
      <c r="A1187" s="62">
        <v>2025</v>
      </c>
      <c r="B1187" s="62">
        <v>11</v>
      </c>
      <c r="C1187" s="62" t="s">
        <v>5</v>
      </c>
      <c r="D1187" s="62" t="s">
        <v>2</v>
      </c>
      <c r="E1187" s="62">
        <v>197.38</v>
      </c>
      <c r="F1187" s="62">
        <v>91.96250000000001</v>
      </c>
      <c r="I1187" s="62">
        <v>2017</v>
      </c>
      <c r="J1187" s="62">
        <v>12</v>
      </c>
      <c r="K1187" s="62" t="s">
        <v>17</v>
      </c>
      <c r="L1187" s="62" t="s">
        <v>2</v>
      </c>
      <c r="M1187" s="62">
        <v>65.63</v>
      </c>
      <c r="N1187" s="62">
        <v>0</v>
      </c>
    </row>
    <row r="1188" spans="1:14">
      <c r="A1188" s="62">
        <v>2026</v>
      </c>
      <c r="B1188" s="62">
        <v>2</v>
      </c>
      <c r="C1188" s="62" t="s">
        <v>5</v>
      </c>
      <c r="D1188" s="62" t="s">
        <v>2</v>
      </c>
      <c r="E1188" s="62">
        <v>152.32</v>
      </c>
      <c r="F1188" s="62">
        <v>36.95175</v>
      </c>
      <c r="I1188" s="62">
        <v>2018</v>
      </c>
      <c r="J1188" s="62">
        <v>1</v>
      </c>
      <c r="K1188" s="62" t="s">
        <v>17</v>
      </c>
      <c r="L1188" s="62" t="s">
        <v>2</v>
      </c>
      <c r="M1188" s="62">
        <v>291.845</v>
      </c>
      <c r="N1188" s="62">
        <v>0</v>
      </c>
    </row>
    <row r="1189" spans="1:14">
      <c r="A1189" s="62">
        <v>2026</v>
      </c>
      <c r="B1189" s="62">
        <v>3</v>
      </c>
      <c r="C1189" s="62" t="s">
        <v>5</v>
      </c>
      <c r="D1189" s="62" t="s">
        <v>2</v>
      </c>
      <c r="E1189" s="62">
        <v>1116.623</v>
      </c>
      <c r="F1189" s="62">
        <v>213.3145</v>
      </c>
      <c r="I1189" s="62">
        <v>2018</v>
      </c>
      <c r="J1189" s="62">
        <v>2</v>
      </c>
      <c r="K1189" s="62" t="s">
        <v>17</v>
      </c>
      <c r="L1189" s="62" t="s">
        <v>2</v>
      </c>
      <c r="M1189" s="62">
        <v>742.7280000000001</v>
      </c>
      <c r="N1189" s="62">
        <v>0</v>
      </c>
    </row>
    <row r="1190" spans="1:14">
      <c r="A1190" s="62">
        <v>2026</v>
      </c>
      <c r="B1190" s="62">
        <v>4</v>
      </c>
      <c r="C1190" s="62" t="s">
        <v>5</v>
      </c>
      <c r="D1190" s="62" t="s">
        <v>2</v>
      </c>
      <c r="E1190" s="62">
        <v>1226.99</v>
      </c>
      <c r="F1190" s="62">
        <v>204.084</v>
      </c>
      <c r="I1190" s="62">
        <v>2018</v>
      </c>
      <c r="J1190" s="62">
        <v>3</v>
      </c>
      <c r="K1190" s="62" t="s">
        <v>17</v>
      </c>
      <c r="L1190" s="62" t="s">
        <v>2</v>
      </c>
      <c r="M1190" s="62">
        <v>961.6279999999999</v>
      </c>
      <c r="N1190" s="62">
        <v>0</v>
      </c>
    </row>
    <row r="1191" spans="1:14">
      <c r="A1191" s="62">
        <v>2026</v>
      </c>
      <c r="B1191" s="62">
        <v>5</v>
      </c>
      <c r="C1191" s="62" t="s">
        <v>5</v>
      </c>
      <c r="D1191" s="62" t="s">
        <v>2</v>
      </c>
      <c r="E1191" s="62">
        <v>454.127</v>
      </c>
      <c r="F1191" s="62">
        <v>79.25725</v>
      </c>
      <c r="I1191" s="62">
        <v>2018</v>
      </c>
      <c r="J1191" s="62">
        <v>4</v>
      </c>
      <c r="K1191" s="62" t="s">
        <v>17</v>
      </c>
      <c r="L1191" s="62" t="s">
        <v>2</v>
      </c>
      <c r="M1191" s="62">
        <v>506.676</v>
      </c>
      <c r="N1191" s="62">
        <v>0</v>
      </c>
    </row>
    <row r="1192" spans="1:14">
      <c r="A1192" s="62">
        <v>2026</v>
      </c>
      <c r="B1192" s="62">
        <v>7</v>
      </c>
      <c r="C1192" s="62" t="s">
        <v>5</v>
      </c>
      <c r="D1192" s="62" t="s">
        <v>2</v>
      </c>
      <c r="E1192" s="62">
        <v>8</v>
      </c>
      <c r="F1192" s="62">
        <v>0</v>
      </c>
      <c r="I1192" s="62">
        <v>2018</v>
      </c>
      <c r="J1192" s="62">
        <v>5</v>
      </c>
      <c r="K1192" s="62" t="s">
        <v>17</v>
      </c>
      <c r="L1192" s="62" t="s">
        <v>2</v>
      </c>
      <c r="M1192" s="62">
        <v>458.892</v>
      </c>
      <c r="N1192" s="62">
        <v>0</v>
      </c>
    </row>
    <row r="1193" spans="1:14">
      <c r="A1193" s="62">
        <v>2026</v>
      </c>
      <c r="B1193" s="62">
        <v>9</v>
      </c>
      <c r="C1193" s="62" t="s">
        <v>5</v>
      </c>
      <c r="D1193" s="62" t="s">
        <v>2</v>
      </c>
      <c r="E1193" s="62">
        <v>572.9400000000001</v>
      </c>
      <c r="F1193" s="62">
        <v>144.03425</v>
      </c>
      <c r="I1193" s="62">
        <v>2018</v>
      </c>
      <c r="J1193" s="62">
        <v>6</v>
      </c>
      <c r="K1193" s="62" t="s">
        <v>17</v>
      </c>
      <c r="L1193" s="62" t="s">
        <v>2</v>
      </c>
      <c r="M1193" s="62">
        <v>314.915</v>
      </c>
      <c r="N1193" s="62">
        <v>0</v>
      </c>
    </row>
    <row r="1194" spans="1:14">
      <c r="A1194" s="62">
        <v>2026</v>
      </c>
      <c r="B1194" s="62">
        <v>10</v>
      </c>
      <c r="C1194" s="62" t="s">
        <v>5</v>
      </c>
      <c r="D1194" s="62" t="s">
        <v>2</v>
      </c>
      <c r="E1194" s="62">
        <v>705.146</v>
      </c>
      <c r="F1194" s="62">
        <v>187.99715</v>
      </c>
      <c r="I1194" s="62">
        <v>2018</v>
      </c>
      <c r="J1194" s="62">
        <v>7</v>
      </c>
      <c r="K1194" s="62" t="s">
        <v>17</v>
      </c>
      <c r="L1194" s="62" t="s">
        <v>2</v>
      </c>
      <c r="M1194" s="62">
        <v>251.547</v>
      </c>
      <c r="N1194" s="62">
        <v>0</v>
      </c>
    </row>
    <row r="1195" spans="1:14">
      <c r="A1195" s="62">
        <v>2026</v>
      </c>
      <c r="B1195" s="62">
        <v>11</v>
      </c>
      <c r="C1195" s="62" t="s">
        <v>5</v>
      </c>
      <c r="D1195" s="62" t="s">
        <v>2</v>
      </c>
      <c r="E1195" s="62">
        <v>397.5</v>
      </c>
      <c r="F1195" s="62">
        <v>103.15</v>
      </c>
      <c r="I1195" s="62">
        <v>2018</v>
      </c>
      <c r="J1195" s="62">
        <v>8</v>
      </c>
      <c r="K1195" s="62" t="s">
        <v>17</v>
      </c>
      <c r="L1195" s="62" t="s">
        <v>2</v>
      </c>
      <c r="M1195" s="62">
        <v>167.805</v>
      </c>
      <c r="N1195" s="62">
        <v>0</v>
      </c>
    </row>
    <row r="1196" spans="1:14">
      <c r="A1196" s="62">
        <v>2027</v>
      </c>
      <c r="B1196" s="62">
        <v>2</v>
      </c>
      <c r="C1196" s="62" t="s">
        <v>5</v>
      </c>
      <c r="D1196" s="62" t="s">
        <v>2</v>
      </c>
      <c r="E1196" s="62">
        <v>192.48</v>
      </c>
      <c r="F1196" s="62">
        <v>51.804</v>
      </c>
      <c r="I1196" s="62">
        <v>2018</v>
      </c>
      <c r="J1196" s="62">
        <v>9</v>
      </c>
      <c r="K1196" s="62" t="s">
        <v>17</v>
      </c>
      <c r="L1196" s="62" t="s">
        <v>2</v>
      </c>
      <c r="M1196" s="62">
        <v>329.606</v>
      </c>
      <c r="N1196" s="62">
        <v>0</v>
      </c>
    </row>
    <row r="1197" spans="1:14">
      <c r="A1197" s="62">
        <v>2027</v>
      </c>
      <c r="B1197" s="62">
        <v>3</v>
      </c>
      <c r="C1197" s="62" t="s">
        <v>5</v>
      </c>
      <c r="D1197" s="62" t="s">
        <v>2</v>
      </c>
      <c r="E1197" s="62">
        <v>614.741</v>
      </c>
      <c r="F1197" s="62">
        <v>115.32875</v>
      </c>
      <c r="I1197" s="62">
        <v>2018</v>
      </c>
      <c r="J1197" s="62">
        <v>10</v>
      </c>
      <c r="K1197" s="62" t="s">
        <v>17</v>
      </c>
      <c r="L1197" s="62" t="s">
        <v>2</v>
      </c>
      <c r="M1197" s="62">
        <v>887.575</v>
      </c>
      <c r="N1197" s="62">
        <v>0</v>
      </c>
    </row>
    <row r="1198" spans="1:14">
      <c r="A1198" s="62">
        <v>2027</v>
      </c>
      <c r="B1198" s="62">
        <v>4</v>
      </c>
      <c r="C1198" s="62" t="s">
        <v>5</v>
      </c>
      <c r="D1198" s="62" t="s">
        <v>2</v>
      </c>
      <c r="E1198" s="62">
        <v>961.0699999999999</v>
      </c>
      <c r="F1198" s="62">
        <v>186.9595</v>
      </c>
      <c r="I1198" s="62">
        <v>2018</v>
      </c>
      <c r="J1198" s="62">
        <v>11</v>
      </c>
      <c r="K1198" s="62" t="s">
        <v>17</v>
      </c>
      <c r="L1198" s="62" t="s">
        <v>2</v>
      </c>
      <c r="M1198" s="62">
        <v>400.225</v>
      </c>
      <c r="N1198" s="62">
        <v>0</v>
      </c>
    </row>
    <row r="1199" spans="1:14">
      <c r="A1199" s="62">
        <v>2027</v>
      </c>
      <c r="B1199" s="62">
        <v>5</v>
      </c>
      <c r="C1199" s="62" t="s">
        <v>5</v>
      </c>
      <c r="D1199" s="62" t="s">
        <v>2</v>
      </c>
      <c r="E1199" s="62">
        <v>473.25</v>
      </c>
      <c r="F1199" s="62">
        <v>105.7875</v>
      </c>
      <c r="I1199" s="62">
        <v>2018</v>
      </c>
      <c r="J1199" s="62">
        <v>12</v>
      </c>
      <c r="K1199" s="62" t="s">
        <v>17</v>
      </c>
      <c r="L1199" s="62" t="s">
        <v>2</v>
      </c>
      <c r="M1199" s="62">
        <v>98.25399999999999</v>
      </c>
      <c r="N1199" s="62">
        <v>0</v>
      </c>
    </row>
    <row r="1200" spans="1:14">
      <c r="A1200" s="62">
        <v>2027</v>
      </c>
      <c r="B1200" s="62">
        <v>9</v>
      </c>
      <c r="C1200" s="62" t="s">
        <v>5</v>
      </c>
      <c r="D1200" s="62" t="s">
        <v>2</v>
      </c>
      <c r="E1200" s="62">
        <v>1168.516</v>
      </c>
      <c r="F1200" s="62">
        <v>294.192125</v>
      </c>
      <c r="I1200" s="62">
        <v>2019</v>
      </c>
      <c r="J1200" s="62">
        <v>1</v>
      </c>
      <c r="K1200" s="62" t="s">
        <v>17</v>
      </c>
      <c r="L1200" s="62" t="s">
        <v>2</v>
      </c>
      <c r="M1200" s="62">
        <v>418.16</v>
      </c>
      <c r="N1200" s="62">
        <v>0</v>
      </c>
    </row>
    <row r="1201" spans="1:14">
      <c r="A1201" s="62">
        <v>2027</v>
      </c>
      <c r="B1201" s="62">
        <v>10</v>
      </c>
      <c r="C1201" s="62" t="s">
        <v>5</v>
      </c>
      <c r="D1201" s="62" t="s">
        <v>2</v>
      </c>
      <c r="E1201" s="62">
        <v>583.63</v>
      </c>
      <c r="F1201" s="62">
        <v>186.155375</v>
      </c>
      <c r="I1201" s="62">
        <v>2019</v>
      </c>
      <c r="J1201" s="62">
        <v>2</v>
      </c>
      <c r="K1201" s="62" t="s">
        <v>17</v>
      </c>
      <c r="L1201" s="62" t="s">
        <v>2</v>
      </c>
      <c r="M1201" s="62">
        <v>720.8049999999999</v>
      </c>
      <c r="N1201" s="62">
        <v>0</v>
      </c>
    </row>
    <row r="1202" spans="1:14">
      <c r="A1202" s="62">
        <v>2027</v>
      </c>
      <c r="B1202" s="62">
        <v>11</v>
      </c>
      <c r="C1202" s="62" t="s">
        <v>5</v>
      </c>
      <c r="D1202" s="62" t="s">
        <v>2</v>
      </c>
      <c r="E1202" s="62">
        <v>1.8</v>
      </c>
      <c r="F1202" s="62">
        <v>1.53</v>
      </c>
      <c r="I1202" s="62">
        <v>2019</v>
      </c>
      <c r="J1202" s="62">
        <v>3</v>
      </c>
      <c r="K1202" s="62" t="s">
        <v>17</v>
      </c>
      <c r="L1202" s="62" t="s">
        <v>2</v>
      </c>
      <c r="M1202" s="62">
        <v>863.607</v>
      </c>
      <c r="N1202" s="62">
        <v>0</v>
      </c>
    </row>
    <row r="1203" spans="1:14">
      <c r="A1203" s="62">
        <v>2014</v>
      </c>
      <c r="B1203" s="62">
        <v>1</v>
      </c>
      <c r="C1203" s="62" t="s">
        <v>5</v>
      </c>
      <c r="D1203" s="62" t="s">
        <v>3</v>
      </c>
      <c r="E1203" s="62">
        <v>344.215</v>
      </c>
      <c r="F1203" s="62">
        <v>72.0395</v>
      </c>
      <c r="I1203" s="62">
        <v>2019</v>
      </c>
      <c r="J1203" s="62">
        <v>4</v>
      </c>
      <c r="K1203" s="62" t="s">
        <v>17</v>
      </c>
      <c r="L1203" s="62" t="s">
        <v>2</v>
      </c>
      <c r="M1203" s="62">
        <v>1038.065</v>
      </c>
      <c r="N1203" s="62">
        <v>0</v>
      </c>
    </row>
    <row r="1204" spans="1:14">
      <c r="A1204" s="62">
        <v>2014</v>
      </c>
      <c r="B1204" s="62">
        <v>2</v>
      </c>
      <c r="C1204" s="62" t="s">
        <v>5</v>
      </c>
      <c r="D1204" s="62" t="s">
        <v>3</v>
      </c>
      <c r="E1204" s="62">
        <v>78.98220000000001</v>
      </c>
      <c r="F1204" s="62">
        <v>16.54826</v>
      </c>
      <c r="I1204" s="62">
        <v>2019</v>
      </c>
      <c r="J1204" s="62">
        <v>5</v>
      </c>
      <c r="K1204" s="62" t="s">
        <v>17</v>
      </c>
      <c r="L1204" s="62" t="s">
        <v>2</v>
      </c>
      <c r="M1204" s="62">
        <v>679.285</v>
      </c>
      <c r="N1204" s="62">
        <v>0</v>
      </c>
    </row>
    <row r="1205" spans="1:14">
      <c r="A1205" s="62">
        <v>2014</v>
      </c>
      <c r="B1205" s="62">
        <v>3</v>
      </c>
      <c r="C1205" s="62" t="s">
        <v>5</v>
      </c>
      <c r="D1205" s="62" t="s">
        <v>3</v>
      </c>
      <c r="E1205" s="62">
        <v>499.5784</v>
      </c>
      <c r="F1205" s="62">
        <v>110.06153</v>
      </c>
      <c r="I1205" s="62">
        <v>2019</v>
      </c>
      <c r="J1205" s="62">
        <v>6</v>
      </c>
      <c r="K1205" s="62" t="s">
        <v>17</v>
      </c>
      <c r="L1205" s="62" t="s">
        <v>2</v>
      </c>
      <c r="M1205" s="62">
        <v>354.655</v>
      </c>
      <c r="N1205" s="62">
        <v>0</v>
      </c>
    </row>
    <row r="1206" spans="1:14">
      <c r="A1206" s="62">
        <v>2014</v>
      </c>
      <c r="B1206" s="62">
        <v>4</v>
      </c>
      <c r="C1206" s="62" t="s">
        <v>5</v>
      </c>
      <c r="D1206" s="62" t="s">
        <v>3</v>
      </c>
      <c r="E1206" s="62">
        <v>275.559</v>
      </c>
      <c r="F1206" s="62">
        <v>48.1647</v>
      </c>
      <c r="I1206" s="62">
        <v>2019</v>
      </c>
      <c r="J1206" s="62">
        <v>7</v>
      </c>
      <c r="K1206" s="62" t="s">
        <v>17</v>
      </c>
      <c r="L1206" s="62" t="s">
        <v>2</v>
      </c>
      <c r="M1206" s="62">
        <v>255.719</v>
      </c>
      <c r="N1206" s="62">
        <v>0</v>
      </c>
    </row>
    <row r="1207" spans="1:14">
      <c r="A1207" s="62">
        <v>2014</v>
      </c>
      <c r="B1207" s="62">
        <v>5</v>
      </c>
      <c r="C1207" s="62" t="s">
        <v>5</v>
      </c>
      <c r="D1207" s="62" t="s">
        <v>3</v>
      </c>
      <c r="E1207" s="62">
        <v>109.637</v>
      </c>
      <c r="F1207" s="62">
        <v>20.67685</v>
      </c>
      <c r="I1207" s="62">
        <v>2019</v>
      </c>
      <c r="J1207" s="62">
        <v>8</v>
      </c>
      <c r="K1207" s="62" t="s">
        <v>17</v>
      </c>
      <c r="L1207" s="62" t="s">
        <v>2</v>
      </c>
      <c r="M1207" s="62">
        <v>139.648</v>
      </c>
      <c r="N1207" s="62">
        <v>0</v>
      </c>
    </row>
    <row r="1208" spans="1:14">
      <c r="A1208" s="62">
        <v>2014</v>
      </c>
      <c r="B1208" s="62">
        <v>6</v>
      </c>
      <c r="C1208" s="62" t="s">
        <v>5</v>
      </c>
      <c r="D1208" s="62" t="s">
        <v>3</v>
      </c>
      <c r="E1208" s="62">
        <v>213.9094</v>
      </c>
      <c r="F1208" s="62">
        <v>58.10954</v>
      </c>
      <c r="I1208" s="62">
        <v>2019</v>
      </c>
      <c r="J1208" s="62">
        <v>9</v>
      </c>
      <c r="K1208" s="62" t="s">
        <v>17</v>
      </c>
      <c r="L1208" s="62" t="s">
        <v>2</v>
      </c>
      <c r="M1208" s="62">
        <v>635.634</v>
      </c>
      <c r="N1208" s="62">
        <v>0</v>
      </c>
    </row>
    <row r="1209" spans="1:14">
      <c r="A1209" s="62">
        <v>2014</v>
      </c>
      <c r="B1209" s="62">
        <v>7</v>
      </c>
      <c r="C1209" s="62" t="s">
        <v>5</v>
      </c>
      <c r="D1209" s="62" t="s">
        <v>3</v>
      </c>
      <c r="E1209" s="62">
        <v>128.812</v>
      </c>
      <c r="F1209" s="62">
        <v>25.451225</v>
      </c>
      <c r="I1209" s="62">
        <v>2019</v>
      </c>
      <c r="J1209" s="62">
        <v>10</v>
      </c>
      <c r="K1209" s="62" t="s">
        <v>17</v>
      </c>
      <c r="L1209" s="62" t="s">
        <v>2</v>
      </c>
      <c r="M1209" s="62">
        <v>937.9472</v>
      </c>
      <c r="N1209" s="62">
        <v>0</v>
      </c>
    </row>
    <row r="1210" spans="1:14">
      <c r="A1210" s="62">
        <v>2014</v>
      </c>
      <c r="B1210" s="62">
        <v>8</v>
      </c>
      <c r="C1210" s="62" t="s">
        <v>5</v>
      </c>
      <c r="D1210" s="62" t="s">
        <v>3</v>
      </c>
      <c r="E1210" s="62">
        <v>427.6902</v>
      </c>
      <c r="F1210" s="62">
        <v>75.738225</v>
      </c>
      <c r="I1210" s="62">
        <v>2019</v>
      </c>
      <c r="J1210" s="62">
        <v>11</v>
      </c>
      <c r="K1210" s="62" t="s">
        <v>17</v>
      </c>
      <c r="L1210" s="62" t="s">
        <v>2</v>
      </c>
      <c r="M1210" s="62">
        <v>562.98</v>
      </c>
      <c r="N1210" s="62">
        <v>0</v>
      </c>
    </row>
    <row r="1211" spans="1:14">
      <c r="A1211" s="62">
        <v>2014</v>
      </c>
      <c r="B1211" s="62">
        <v>9</v>
      </c>
      <c r="C1211" s="62" t="s">
        <v>5</v>
      </c>
      <c r="D1211" s="62" t="s">
        <v>3</v>
      </c>
      <c r="E1211" s="62">
        <v>386.79</v>
      </c>
      <c r="F1211" s="62">
        <v>87.23134999999999</v>
      </c>
      <c r="I1211" s="62">
        <v>2019</v>
      </c>
      <c r="J1211" s="62">
        <v>12</v>
      </c>
      <c r="K1211" s="62" t="s">
        <v>17</v>
      </c>
      <c r="L1211" s="62" t="s">
        <v>2</v>
      </c>
      <c r="M1211" s="62">
        <v>106.1964</v>
      </c>
      <c r="N1211" s="62">
        <v>0</v>
      </c>
    </row>
    <row r="1212" spans="1:14">
      <c r="A1212" s="62">
        <v>2014</v>
      </c>
      <c r="B1212" s="62">
        <v>10</v>
      </c>
      <c r="C1212" s="62" t="s">
        <v>5</v>
      </c>
      <c r="D1212" s="62" t="s">
        <v>3</v>
      </c>
      <c r="E1212" s="62">
        <v>88.096</v>
      </c>
      <c r="F1212" s="62">
        <v>29.63095</v>
      </c>
      <c r="I1212" s="62">
        <v>2020</v>
      </c>
      <c r="J1212" s="62">
        <v>1</v>
      </c>
      <c r="K1212" s="62" t="s">
        <v>17</v>
      </c>
      <c r="L1212" s="62" t="s">
        <v>2</v>
      </c>
      <c r="M1212" s="62">
        <v>262.825</v>
      </c>
      <c r="N1212" s="62">
        <v>0</v>
      </c>
    </row>
    <row r="1213" spans="1:14">
      <c r="A1213" s="62">
        <v>2014</v>
      </c>
      <c r="B1213" s="62">
        <v>11</v>
      </c>
      <c r="C1213" s="62" t="s">
        <v>5</v>
      </c>
      <c r="D1213" s="62" t="s">
        <v>3</v>
      </c>
      <c r="E1213" s="62">
        <v>158.6335</v>
      </c>
      <c r="F1213" s="62">
        <v>28.2791125</v>
      </c>
      <c r="I1213" s="62">
        <v>2020</v>
      </c>
      <c r="J1213" s="62">
        <v>2</v>
      </c>
      <c r="K1213" s="62" t="s">
        <v>17</v>
      </c>
      <c r="L1213" s="62" t="s">
        <v>2</v>
      </c>
      <c r="M1213" s="62">
        <v>585.655</v>
      </c>
      <c r="N1213" s="62">
        <v>0</v>
      </c>
    </row>
    <row r="1214" spans="1:14">
      <c r="A1214" s="62">
        <v>2014</v>
      </c>
      <c r="B1214" s="62">
        <v>12</v>
      </c>
      <c r="C1214" s="62" t="s">
        <v>5</v>
      </c>
      <c r="D1214" s="62" t="s">
        <v>3</v>
      </c>
      <c r="E1214" s="62">
        <v>39.63</v>
      </c>
      <c r="F1214" s="62">
        <v>3.06975</v>
      </c>
      <c r="I1214" s="62">
        <v>2020</v>
      </c>
      <c r="J1214" s="62">
        <v>3</v>
      </c>
      <c r="K1214" s="62" t="s">
        <v>17</v>
      </c>
      <c r="L1214" s="62" t="s">
        <v>2</v>
      </c>
      <c r="M1214" s="62">
        <v>604.965</v>
      </c>
      <c r="N1214" s="62">
        <v>0</v>
      </c>
    </row>
    <row r="1215" spans="1:14">
      <c r="A1215" s="62">
        <v>2015</v>
      </c>
      <c r="B1215" s="62">
        <v>1</v>
      </c>
      <c r="C1215" s="62" t="s">
        <v>5</v>
      </c>
      <c r="D1215" s="62" t="s">
        <v>3</v>
      </c>
      <c r="E1215" s="62">
        <v>555.9992999999999</v>
      </c>
      <c r="F1215" s="62">
        <v>167.495015</v>
      </c>
      <c r="I1215" s="62">
        <v>2020</v>
      </c>
      <c r="J1215" s="62">
        <v>4</v>
      </c>
      <c r="K1215" s="62" t="s">
        <v>17</v>
      </c>
      <c r="L1215" s="62" t="s">
        <v>2</v>
      </c>
      <c r="M1215" s="62">
        <v>283.047</v>
      </c>
      <c r="N1215" s="62">
        <v>0</v>
      </c>
    </row>
    <row r="1216" spans="1:14">
      <c r="A1216" s="62">
        <v>2015</v>
      </c>
      <c r="B1216" s="62">
        <v>2</v>
      </c>
      <c r="C1216" s="62" t="s">
        <v>5</v>
      </c>
      <c r="D1216" s="62" t="s">
        <v>3</v>
      </c>
      <c r="E1216" s="62">
        <v>243.9362</v>
      </c>
      <c r="F1216" s="62">
        <v>72.65783500000001</v>
      </c>
      <c r="I1216" s="62">
        <v>2020</v>
      </c>
      <c r="J1216" s="62">
        <v>5</v>
      </c>
      <c r="K1216" s="62" t="s">
        <v>17</v>
      </c>
      <c r="L1216" s="62" t="s">
        <v>2</v>
      </c>
      <c r="M1216" s="62">
        <v>181.85</v>
      </c>
      <c r="N1216" s="62">
        <v>0</v>
      </c>
    </row>
    <row r="1217" spans="1:14">
      <c r="A1217" s="62">
        <v>2015</v>
      </c>
      <c r="B1217" s="62">
        <v>3</v>
      </c>
      <c r="C1217" s="62" t="s">
        <v>5</v>
      </c>
      <c r="D1217" s="62" t="s">
        <v>3</v>
      </c>
      <c r="E1217" s="62">
        <v>227.943</v>
      </c>
      <c r="F1217" s="62">
        <v>81.45387500000001</v>
      </c>
      <c r="I1217" s="62">
        <v>2020</v>
      </c>
      <c r="J1217" s="62">
        <v>6</v>
      </c>
      <c r="K1217" s="62" t="s">
        <v>17</v>
      </c>
      <c r="L1217" s="62" t="s">
        <v>2</v>
      </c>
      <c r="M1217" s="62">
        <v>143.27</v>
      </c>
      <c r="N1217" s="62">
        <v>0</v>
      </c>
    </row>
    <row r="1218" spans="1:14">
      <c r="A1218" s="62">
        <v>2015</v>
      </c>
      <c r="B1218" s="62">
        <v>4</v>
      </c>
      <c r="C1218" s="62" t="s">
        <v>5</v>
      </c>
      <c r="D1218" s="62" t="s">
        <v>3</v>
      </c>
      <c r="E1218" s="62">
        <v>98.25</v>
      </c>
      <c r="F1218" s="62">
        <v>19.44</v>
      </c>
      <c r="I1218" s="62">
        <v>2020</v>
      </c>
      <c r="J1218" s="62">
        <v>7</v>
      </c>
      <c r="K1218" s="62" t="s">
        <v>17</v>
      </c>
      <c r="L1218" s="62" t="s">
        <v>2</v>
      </c>
      <c r="M1218" s="62">
        <v>121.72</v>
      </c>
      <c r="N1218" s="62">
        <v>0</v>
      </c>
    </row>
    <row r="1219" spans="1:14">
      <c r="A1219" s="62">
        <v>2015</v>
      </c>
      <c r="B1219" s="62">
        <v>5</v>
      </c>
      <c r="C1219" s="62" t="s">
        <v>5</v>
      </c>
      <c r="D1219" s="62" t="s">
        <v>3</v>
      </c>
      <c r="E1219" s="62">
        <v>216.925</v>
      </c>
      <c r="F1219" s="62">
        <v>72.46925</v>
      </c>
      <c r="I1219" s="62">
        <v>2020</v>
      </c>
      <c r="J1219" s="62">
        <v>8</v>
      </c>
      <c r="K1219" s="62" t="s">
        <v>17</v>
      </c>
      <c r="L1219" s="62" t="s">
        <v>2</v>
      </c>
      <c r="M1219" s="62">
        <v>79.3</v>
      </c>
      <c r="N1219" s="62">
        <v>0</v>
      </c>
    </row>
    <row r="1220" spans="1:14">
      <c r="A1220" s="62">
        <v>2015</v>
      </c>
      <c r="B1220" s="62">
        <v>6</v>
      </c>
      <c r="C1220" s="62" t="s">
        <v>5</v>
      </c>
      <c r="D1220" s="62" t="s">
        <v>3</v>
      </c>
      <c r="E1220" s="62">
        <v>160.2866</v>
      </c>
      <c r="F1220" s="62">
        <v>46.68836</v>
      </c>
      <c r="I1220" s="62">
        <v>2020</v>
      </c>
      <c r="J1220" s="62">
        <v>9</v>
      </c>
      <c r="K1220" s="62" t="s">
        <v>17</v>
      </c>
      <c r="L1220" s="62" t="s">
        <v>2</v>
      </c>
      <c r="M1220" s="62">
        <v>284.455</v>
      </c>
      <c r="N1220" s="62">
        <v>0</v>
      </c>
    </row>
    <row r="1221" spans="1:14">
      <c r="A1221" s="62">
        <v>2015</v>
      </c>
      <c r="B1221" s="62">
        <v>7</v>
      </c>
      <c r="C1221" s="62" t="s">
        <v>5</v>
      </c>
      <c r="D1221" s="62" t="s">
        <v>3</v>
      </c>
      <c r="E1221" s="62">
        <v>88.74550000000001</v>
      </c>
      <c r="F1221" s="62">
        <v>21.773425</v>
      </c>
      <c r="I1221" s="62">
        <v>2020</v>
      </c>
      <c r="J1221" s="62">
        <v>10</v>
      </c>
      <c r="K1221" s="62" t="s">
        <v>17</v>
      </c>
      <c r="L1221" s="62" t="s">
        <v>2</v>
      </c>
      <c r="M1221" s="62">
        <v>470.2</v>
      </c>
      <c r="N1221" s="62">
        <v>0</v>
      </c>
    </row>
    <row r="1222" spans="1:14">
      <c r="A1222" s="62">
        <v>2015</v>
      </c>
      <c r="B1222" s="62">
        <v>8</v>
      </c>
      <c r="C1222" s="62" t="s">
        <v>5</v>
      </c>
      <c r="D1222" s="62" t="s">
        <v>3</v>
      </c>
      <c r="E1222" s="62">
        <v>444.2325</v>
      </c>
      <c r="F1222" s="62">
        <v>103.7826375</v>
      </c>
      <c r="I1222" s="62">
        <v>2020</v>
      </c>
      <c r="J1222" s="62">
        <v>11</v>
      </c>
      <c r="K1222" s="62" t="s">
        <v>17</v>
      </c>
      <c r="L1222" s="62" t="s">
        <v>2</v>
      </c>
      <c r="M1222" s="62">
        <v>370.15</v>
      </c>
      <c r="N1222" s="62">
        <v>0</v>
      </c>
    </row>
    <row r="1223" spans="1:14">
      <c r="A1223" s="62">
        <v>2015</v>
      </c>
      <c r="B1223" s="62">
        <v>9</v>
      </c>
      <c r="C1223" s="62" t="s">
        <v>5</v>
      </c>
      <c r="D1223" s="62" t="s">
        <v>3</v>
      </c>
      <c r="E1223" s="62">
        <v>365.0521</v>
      </c>
      <c r="F1223" s="62">
        <v>89.53849249999999</v>
      </c>
      <c r="I1223" s="62">
        <v>2020</v>
      </c>
      <c r="J1223" s="62">
        <v>12</v>
      </c>
      <c r="K1223" s="62" t="s">
        <v>17</v>
      </c>
      <c r="L1223" s="62" t="s">
        <v>2</v>
      </c>
      <c r="M1223" s="62">
        <v>411.84</v>
      </c>
      <c r="N1223" s="62">
        <v>0</v>
      </c>
    </row>
    <row r="1224" spans="1:14">
      <c r="A1224" s="62">
        <v>2015</v>
      </c>
      <c r="B1224" s="62">
        <v>10</v>
      </c>
      <c r="C1224" s="62" t="s">
        <v>5</v>
      </c>
      <c r="D1224" s="62" t="s">
        <v>3</v>
      </c>
      <c r="E1224" s="62">
        <v>592.8394</v>
      </c>
      <c r="F1224" s="62">
        <v>135.561395</v>
      </c>
      <c r="I1224" s="62">
        <v>2021</v>
      </c>
      <c r="J1224" s="62">
        <v>1</v>
      </c>
      <c r="K1224" s="62" t="s">
        <v>17</v>
      </c>
      <c r="L1224" s="62" t="s">
        <v>2</v>
      </c>
      <c r="M1224" s="62">
        <v>390.46</v>
      </c>
      <c r="N1224" s="62">
        <v>0</v>
      </c>
    </row>
    <row r="1225" spans="1:14">
      <c r="A1225" s="62">
        <v>2015</v>
      </c>
      <c r="B1225" s="62">
        <v>11</v>
      </c>
      <c r="C1225" s="62" t="s">
        <v>5</v>
      </c>
      <c r="D1225" s="62" t="s">
        <v>3</v>
      </c>
      <c r="E1225" s="62">
        <v>208.8224</v>
      </c>
      <c r="F1225" s="62">
        <v>41.745295</v>
      </c>
      <c r="I1225" s="62">
        <v>2021</v>
      </c>
      <c r="J1225" s="62">
        <v>2</v>
      </c>
      <c r="K1225" s="62" t="s">
        <v>17</v>
      </c>
      <c r="L1225" s="62" t="s">
        <v>2</v>
      </c>
      <c r="M1225" s="62">
        <v>465.186</v>
      </c>
      <c r="N1225" s="62">
        <v>0</v>
      </c>
    </row>
    <row r="1226" spans="1:14">
      <c r="A1226" s="62">
        <v>2015</v>
      </c>
      <c r="B1226" s="62">
        <v>12</v>
      </c>
      <c r="C1226" s="62" t="s">
        <v>5</v>
      </c>
      <c r="D1226" s="62" t="s">
        <v>3</v>
      </c>
      <c r="E1226" s="62">
        <v>181.9</v>
      </c>
      <c r="F1226" s="62">
        <v>53.9165</v>
      </c>
      <c r="I1226" s="62">
        <v>2021</v>
      </c>
      <c r="J1226" s="62">
        <v>3</v>
      </c>
      <c r="K1226" s="62" t="s">
        <v>17</v>
      </c>
      <c r="L1226" s="62" t="s">
        <v>2</v>
      </c>
      <c r="M1226" s="62">
        <v>598.928</v>
      </c>
      <c r="N1226" s="62">
        <v>0</v>
      </c>
    </row>
    <row r="1227" spans="1:14">
      <c r="A1227" s="62">
        <v>2016</v>
      </c>
      <c r="B1227" s="62">
        <v>1</v>
      </c>
      <c r="C1227" s="62" t="s">
        <v>5</v>
      </c>
      <c r="D1227" s="62" t="s">
        <v>3</v>
      </c>
      <c r="E1227" s="62">
        <v>66.73999999999999</v>
      </c>
      <c r="F1227" s="62">
        <v>5.224250000000001</v>
      </c>
      <c r="I1227" s="62">
        <v>2021</v>
      </c>
      <c r="J1227" s="62">
        <v>4</v>
      </c>
      <c r="K1227" s="62" t="s">
        <v>17</v>
      </c>
      <c r="L1227" s="62" t="s">
        <v>2</v>
      </c>
      <c r="M1227" s="62">
        <v>606.17</v>
      </c>
      <c r="N1227" s="62">
        <v>0</v>
      </c>
    </row>
    <row r="1228" spans="1:14">
      <c r="A1228" s="62">
        <v>2016</v>
      </c>
      <c r="B1228" s="62">
        <v>2</v>
      </c>
      <c r="C1228" s="62" t="s">
        <v>5</v>
      </c>
      <c r="D1228" s="62" t="s">
        <v>3</v>
      </c>
      <c r="E1228" s="62">
        <v>37.94</v>
      </c>
      <c r="F1228" s="62">
        <v>7.1065</v>
      </c>
      <c r="I1228" s="62">
        <v>2021</v>
      </c>
      <c r="J1228" s="62">
        <v>5</v>
      </c>
      <c r="K1228" s="62" t="s">
        <v>17</v>
      </c>
      <c r="L1228" s="62" t="s">
        <v>2</v>
      </c>
      <c r="M1228" s="62">
        <v>462.208</v>
      </c>
      <c r="N1228" s="62">
        <v>0</v>
      </c>
    </row>
    <row r="1229" spans="1:14">
      <c r="A1229" s="62">
        <v>2016</v>
      </c>
      <c r="B1229" s="62">
        <v>3</v>
      </c>
      <c r="C1229" s="62" t="s">
        <v>5</v>
      </c>
      <c r="D1229" s="62" t="s">
        <v>3</v>
      </c>
      <c r="E1229" s="62">
        <v>99.4106</v>
      </c>
      <c r="F1229" s="62">
        <v>40.714255</v>
      </c>
      <c r="I1229" s="62">
        <v>2021</v>
      </c>
      <c r="J1229" s="62">
        <v>6</v>
      </c>
      <c r="K1229" s="62" t="s">
        <v>17</v>
      </c>
      <c r="L1229" s="62" t="s">
        <v>2</v>
      </c>
      <c r="M1229" s="62">
        <v>191.185</v>
      </c>
      <c r="N1229" s="62">
        <v>0</v>
      </c>
    </row>
    <row r="1230" spans="1:14">
      <c r="A1230" s="62">
        <v>2016</v>
      </c>
      <c r="B1230" s="62">
        <v>4</v>
      </c>
      <c r="C1230" s="62" t="s">
        <v>5</v>
      </c>
      <c r="D1230" s="62" t="s">
        <v>3</v>
      </c>
      <c r="E1230" s="62">
        <v>249.5211</v>
      </c>
      <c r="F1230" s="62">
        <v>117.3074175</v>
      </c>
      <c r="I1230" s="62">
        <v>2021</v>
      </c>
      <c r="J1230" s="62">
        <v>7</v>
      </c>
      <c r="K1230" s="62" t="s">
        <v>17</v>
      </c>
      <c r="L1230" s="62" t="s">
        <v>2</v>
      </c>
      <c r="M1230" s="62">
        <v>279.5265</v>
      </c>
      <c r="N1230" s="62">
        <v>0</v>
      </c>
    </row>
    <row r="1231" spans="1:14">
      <c r="A1231" s="62">
        <v>2016</v>
      </c>
      <c r="B1231" s="62">
        <v>5</v>
      </c>
      <c r="C1231" s="62" t="s">
        <v>5</v>
      </c>
      <c r="D1231" s="62" t="s">
        <v>3</v>
      </c>
      <c r="E1231" s="62">
        <v>227.3302</v>
      </c>
      <c r="F1231" s="62">
        <v>110.773045</v>
      </c>
      <c r="I1231" s="62">
        <v>2021</v>
      </c>
      <c r="J1231" s="62">
        <v>8</v>
      </c>
      <c r="K1231" s="62" t="s">
        <v>17</v>
      </c>
      <c r="L1231" s="62" t="s">
        <v>2</v>
      </c>
      <c r="M1231" s="62">
        <v>295.713</v>
      </c>
      <c r="N1231" s="62">
        <v>0</v>
      </c>
    </row>
    <row r="1232" spans="1:14">
      <c r="A1232" s="62">
        <v>2016</v>
      </c>
      <c r="B1232" s="62">
        <v>6</v>
      </c>
      <c r="C1232" s="62" t="s">
        <v>5</v>
      </c>
      <c r="D1232" s="62" t="s">
        <v>3</v>
      </c>
      <c r="E1232" s="62">
        <v>84.73</v>
      </c>
      <c r="F1232" s="62">
        <v>37.287</v>
      </c>
      <c r="I1232" s="62">
        <v>2021</v>
      </c>
      <c r="J1232" s="62">
        <v>9</v>
      </c>
      <c r="K1232" s="62" t="s">
        <v>17</v>
      </c>
      <c r="L1232" s="62" t="s">
        <v>2</v>
      </c>
      <c r="M1232" s="62">
        <v>501.21</v>
      </c>
      <c r="N1232" s="62">
        <v>0</v>
      </c>
    </row>
    <row r="1233" spans="1:14">
      <c r="A1233" s="62">
        <v>2016</v>
      </c>
      <c r="B1233" s="62">
        <v>7</v>
      </c>
      <c r="C1233" s="62" t="s">
        <v>5</v>
      </c>
      <c r="D1233" s="62" t="s">
        <v>3</v>
      </c>
      <c r="E1233" s="62">
        <v>102.3</v>
      </c>
      <c r="F1233" s="62">
        <v>19.467125</v>
      </c>
      <c r="I1233" s="62">
        <v>2021</v>
      </c>
      <c r="J1233" s="62">
        <v>10</v>
      </c>
      <c r="K1233" s="62" t="s">
        <v>17</v>
      </c>
      <c r="L1233" s="62" t="s">
        <v>2</v>
      </c>
      <c r="M1233" s="62">
        <v>760.9335</v>
      </c>
      <c r="N1233" s="62">
        <v>0</v>
      </c>
    </row>
    <row r="1234" spans="1:14">
      <c r="A1234" s="62">
        <v>2016</v>
      </c>
      <c r="B1234" s="62">
        <v>8</v>
      </c>
      <c r="C1234" s="62" t="s">
        <v>5</v>
      </c>
      <c r="D1234" s="62" t="s">
        <v>3</v>
      </c>
      <c r="E1234" s="62">
        <v>112.805</v>
      </c>
      <c r="F1234" s="62">
        <v>33.27424999999999</v>
      </c>
      <c r="I1234" s="62">
        <v>2021</v>
      </c>
      <c r="J1234" s="62">
        <v>11</v>
      </c>
      <c r="K1234" s="62" t="s">
        <v>17</v>
      </c>
      <c r="L1234" s="62" t="s">
        <v>2</v>
      </c>
      <c r="M1234" s="62">
        <v>366.4599</v>
      </c>
      <c r="N1234" s="62">
        <v>0</v>
      </c>
    </row>
    <row r="1235" spans="1:14">
      <c r="A1235" s="62">
        <v>2016</v>
      </c>
      <c r="B1235" s="62">
        <v>9</v>
      </c>
      <c r="C1235" s="62" t="s">
        <v>5</v>
      </c>
      <c r="D1235" s="62" t="s">
        <v>3</v>
      </c>
      <c r="E1235" s="62">
        <v>125.427</v>
      </c>
      <c r="F1235" s="62">
        <v>24.41885</v>
      </c>
      <c r="I1235" s="62">
        <v>2021</v>
      </c>
      <c r="J1235" s="62">
        <v>12</v>
      </c>
      <c r="K1235" s="62" t="s">
        <v>17</v>
      </c>
      <c r="L1235" s="62" t="s">
        <v>2</v>
      </c>
      <c r="M1235" s="62">
        <v>214.9</v>
      </c>
      <c r="N1235" s="62">
        <v>0</v>
      </c>
    </row>
    <row r="1236" spans="1:14">
      <c r="A1236" s="62">
        <v>2016</v>
      </c>
      <c r="B1236" s="62">
        <v>10</v>
      </c>
      <c r="C1236" s="62" t="s">
        <v>5</v>
      </c>
      <c r="D1236" s="62" t="s">
        <v>3</v>
      </c>
      <c r="E1236" s="62">
        <v>145.6421</v>
      </c>
      <c r="F1236" s="62">
        <v>36.6735175</v>
      </c>
      <c r="I1236" s="62">
        <v>2022</v>
      </c>
      <c r="J1236" s="62">
        <v>1</v>
      </c>
      <c r="K1236" s="62" t="s">
        <v>17</v>
      </c>
      <c r="L1236" s="62" t="s">
        <v>2</v>
      </c>
      <c r="M1236" s="62">
        <v>517.883</v>
      </c>
      <c r="N1236" s="62">
        <v>0</v>
      </c>
    </row>
    <row r="1237" spans="1:14">
      <c r="A1237" s="62">
        <v>2016</v>
      </c>
      <c r="B1237" s="62">
        <v>11</v>
      </c>
      <c r="C1237" s="62" t="s">
        <v>5</v>
      </c>
      <c r="D1237" s="62" t="s">
        <v>3</v>
      </c>
      <c r="E1237" s="62">
        <v>85.55949999999999</v>
      </c>
      <c r="F1237" s="62">
        <v>16.7326</v>
      </c>
      <c r="I1237" s="62">
        <v>2022</v>
      </c>
      <c r="J1237" s="62">
        <v>2</v>
      </c>
      <c r="K1237" s="62" t="s">
        <v>17</v>
      </c>
      <c r="L1237" s="62" t="s">
        <v>2</v>
      </c>
      <c r="M1237" s="62">
        <v>475.723</v>
      </c>
      <c r="N1237" s="62">
        <v>0</v>
      </c>
    </row>
    <row r="1238" spans="1:14">
      <c r="A1238" s="62">
        <v>2016</v>
      </c>
      <c r="B1238" s="62">
        <v>12</v>
      </c>
      <c r="C1238" s="62" t="s">
        <v>5</v>
      </c>
      <c r="D1238" s="62" t="s">
        <v>3</v>
      </c>
      <c r="E1238" s="62">
        <v>59.415</v>
      </c>
      <c r="F1238" s="62">
        <v>27.770625</v>
      </c>
      <c r="I1238" s="62">
        <v>2022</v>
      </c>
      <c r="J1238" s="62">
        <v>3</v>
      </c>
      <c r="K1238" s="62" t="s">
        <v>17</v>
      </c>
      <c r="L1238" s="62" t="s">
        <v>2</v>
      </c>
      <c r="M1238" s="62">
        <v>459.09</v>
      </c>
      <c r="N1238" s="62">
        <v>0</v>
      </c>
    </row>
    <row r="1239" spans="1:14">
      <c r="A1239" s="62">
        <v>2017</v>
      </c>
      <c r="B1239" s="62">
        <v>1</v>
      </c>
      <c r="C1239" s="62" t="s">
        <v>5</v>
      </c>
      <c r="D1239" s="62" t="s">
        <v>3</v>
      </c>
      <c r="E1239" s="62">
        <v>192.5</v>
      </c>
      <c r="F1239" s="62">
        <v>40.2125</v>
      </c>
      <c r="I1239" s="62">
        <v>2022</v>
      </c>
      <c r="J1239" s="62">
        <v>4</v>
      </c>
      <c r="K1239" s="62" t="s">
        <v>17</v>
      </c>
      <c r="L1239" s="62" t="s">
        <v>2</v>
      </c>
      <c r="M1239" s="62">
        <v>530.4025</v>
      </c>
      <c r="N1239" s="62">
        <v>0</v>
      </c>
    </row>
    <row r="1240" spans="1:14">
      <c r="A1240" s="62">
        <v>2017</v>
      </c>
      <c r="B1240" s="62">
        <v>2</v>
      </c>
      <c r="C1240" s="62" t="s">
        <v>5</v>
      </c>
      <c r="D1240" s="62" t="s">
        <v>3</v>
      </c>
      <c r="E1240" s="62">
        <v>203.21</v>
      </c>
      <c r="F1240" s="62">
        <v>46.412375</v>
      </c>
      <c r="I1240" s="62">
        <v>2022</v>
      </c>
      <c r="J1240" s="62">
        <v>5</v>
      </c>
      <c r="K1240" s="62" t="s">
        <v>17</v>
      </c>
      <c r="L1240" s="62" t="s">
        <v>2</v>
      </c>
      <c r="M1240" s="62">
        <v>473.19</v>
      </c>
      <c r="N1240" s="62">
        <v>0</v>
      </c>
    </row>
    <row r="1241" spans="1:14">
      <c r="A1241" s="62">
        <v>2017</v>
      </c>
      <c r="B1241" s="62">
        <v>3</v>
      </c>
      <c r="C1241" s="62" t="s">
        <v>5</v>
      </c>
      <c r="D1241" s="62" t="s">
        <v>3</v>
      </c>
      <c r="E1241" s="62">
        <v>152.46</v>
      </c>
      <c r="F1241" s="62">
        <v>41.3765</v>
      </c>
      <c r="I1241" s="62">
        <v>2022</v>
      </c>
      <c r="J1241" s="62">
        <v>6</v>
      </c>
      <c r="K1241" s="62" t="s">
        <v>17</v>
      </c>
      <c r="L1241" s="62" t="s">
        <v>2</v>
      </c>
      <c r="M1241" s="62">
        <v>384.37</v>
      </c>
      <c r="N1241" s="62">
        <v>0</v>
      </c>
    </row>
    <row r="1242" spans="1:14">
      <c r="A1242" s="62">
        <v>2017</v>
      </c>
      <c r="B1242" s="62">
        <v>4</v>
      </c>
      <c r="C1242" s="62" t="s">
        <v>5</v>
      </c>
      <c r="D1242" s="62" t="s">
        <v>3</v>
      </c>
      <c r="E1242" s="62">
        <v>80.428</v>
      </c>
      <c r="F1242" s="62">
        <v>14.818275</v>
      </c>
      <c r="I1242" s="62">
        <v>2022</v>
      </c>
      <c r="J1242" s="62">
        <v>7</v>
      </c>
      <c r="K1242" s="62" t="s">
        <v>17</v>
      </c>
      <c r="L1242" s="62" t="s">
        <v>2</v>
      </c>
      <c r="M1242" s="62">
        <v>315.6</v>
      </c>
      <c r="N1242" s="62">
        <v>0</v>
      </c>
    </row>
    <row r="1243" spans="1:14">
      <c r="A1243" s="62">
        <v>2017</v>
      </c>
      <c r="B1243" s="62">
        <v>5</v>
      </c>
      <c r="C1243" s="62" t="s">
        <v>5</v>
      </c>
      <c r="D1243" s="62" t="s">
        <v>3</v>
      </c>
      <c r="E1243" s="62">
        <v>106.605</v>
      </c>
      <c r="F1243" s="62">
        <v>23.678</v>
      </c>
      <c r="I1243" s="62">
        <v>2022</v>
      </c>
      <c r="J1243" s="62">
        <v>8</v>
      </c>
      <c r="K1243" s="62" t="s">
        <v>17</v>
      </c>
      <c r="L1243" s="62" t="s">
        <v>2</v>
      </c>
      <c r="M1243" s="62">
        <v>279.36</v>
      </c>
      <c r="N1243" s="62">
        <v>0</v>
      </c>
    </row>
    <row r="1244" spans="1:14">
      <c r="A1244" s="62">
        <v>2017</v>
      </c>
      <c r="B1244" s="62">
        <v>6</v>
      </c>
      <c r="C1244" s="62" t="s">
        <v>5</v>
      </c>
      <c r="D1244" s="62" t="s">
        <v>3</v>
      </c>
      <c r="E1244" s="62">
        <v>44.64</v>
      </c>
      <c r="F1244" s="62">
        <v>27.576</v>
      </c>
      <c r="I1244" s="62">
        <v>2022</v>
      </c>
      <c r="J1244" s="62">
        <v>9</v>
      </c>
      <c r="K1244" s="62" t="s">
        <v>17</v>
      </c>
      <c r="L1244" s="62" t="s">
        <v>2</v>
      </c>
      <c r="M1244" s="62">
        <v>509.82</v>
      </c>
      <c r="N1244" s="62">
        <v>0</v>
      </c>
    </row>
    <row r="1245" spans="1:14">
      <c r="A1245" s="62">
        <v>2017</v>
      </c>
      <c r="B1245" s="62">
        <v>7</v>
      </c>
      <c r="C1245" s="62" t="s">
        <v>5</v>
      </c>
      <c r="D1245" s="62" t="s">
        <v>3</v>
      </c>
      <c r="E1245" s="62">
        <v>176.5364</v>
      </c>
      <c r="F1245" s="62">
        <v>55.8212725</v>
      </c>
      <c r="I1245" s="62">
        <v>2022</v>
      </c>
      <c r="J1245" s="62">
        <v>10</v>
      </c>
      <c r="K1245" s="62" t="s">
        <v>17</v>
      </c>
      <c r="L1245" s="62" t="s">
        <v>2</v>
      </c>
      <c r="M1245" s="62">
        <v>840.4780000000001</v>
      </c>
      <c r="N1245" s="62">
        <v>0</v>
      </c>
    </row>
    <row r="1246" spans="1:14">
      <c r="A1246" s="62">
        <v>2017</v>
      </c>
      <c r="B1246" s="62">
        <v>8</v>
      </c>
      <c r="C1246" s="62" t="s">
        <v>5</v>
      </c>
      <c r="D1246" s="62" t="s">
        <v>3</v>
      </c>
      <c r="E1246" s="62">
        <v>38.25</v>
      </c>
      <c r="F1246" s="62">
        <v>6.69375</v>
      </c>
      <c r="I1246" s="62">
        <v>2022</v>
      </c>
      <c r="J1246" s="62">
        <v>11</v>
      </c>
      <c r="K1246" s="62" t="s">
        <v>17</v>
      </c>
      <c r="L1246" s="62" t="s">
        <v>2</v>
      </c>
      <c r="M1246" s="62">
        <v>430.644</v>
      </c>
      <c r="N1246" s="62">
        <v>0</v>
      </c>
    </row>
    <row r="1247" spans="1:14">
      <c r="A1247" s="62">
        <v>2017</v>
      </c>
      <c r="B1247" s="62">
        <v>9</v>
      </c>
      <c r="C1247" s="62" t="s">
        <v>5</v>
      </c>
      <c r="D1247" s="62" t="s">
        <v>3</v>
      </c>
      <c r="E1247" s="62">
        <v>67.372</v>
      </c>
      <c r="F1247" s="62">
        <v>20.1002</v>
      </c>
      <c r="I1247" s="62">
        <v>2022</v>
      </c>
      <c r="J1247" s="62">
        <v>12</v>
      </c>
      <c r="K1247" s="62" t="s">
        <v>17</v>
      </c>
      <c r="L1247" s="62" t="s">
        <v>2</v>
      </c>
      <c r="M1247" s="62">
        <v>252.435</v>
      </c>
      <c r="N1247" s="62">
        <v>0</v>
      </c>
    </row>
    <row r="1248" spans="1:14">
      <c r="A1248" s="62">
        <v>2017</v>
      </c>
      <c r="B1248" s="62">
        <v>10</v>
      </c>
      <c r="C1248" s="62" t="s">
        <v>5</v>
      </c>
      <c r="D1248" s="62" t="s">
        <v>3</v>
      </c>
      <c r="E1248" s="62">
        <v>152.0616</v>
      </c>
      <c r="F1248" s="62">
        <v>83.81036</v>
      </c>
      <c r="I1248" s="62">
        <v>2023</v>
      </c>
      <c r="J1248" s="62">
        <v>1</v>
      </c>
      <c r="K1248" s="62" t="s">
        <v>17</v>
      </c>
      <c r="L1248" s="62" t="s">
        <v>2</v>
      </c>
      <c r="M1248" s="62">
        <v>485.31</v>
      </c>
      <c r="N1248" s="62">
        <v>0</v>
      </c>
    </row>
    <row r="1249" spans="1:14">
      <c r="A1249" s="62">
        <v>2017</v>
      </c>
      <c r="B1249" s="62">
        <v>11</v>
      </c>
      <c r="C1249" s="62" t="s">
        <v>5</v>
      </c>
      <c r="D1249" s="62" t="s">
        <v>3</v>
      </c>
      <c r="E1249" s="62">
        <v>147.885</v>
      </c>
      <c r="F1249" s="62">
        <v>50.964875</v>
      </c>
      <c r="I1249" s="62">
        <v>2023</v>
      </c>
      <c r="J1249" s="62">
        <v>2</v>
      </c>
      <c r="K1249" s="62" t="s">
        <v>17</v>
      </c>
      <c r="L1249" s="62" t="s">
        <v>2</v>
      </c>
      <c r="M1249" s="62">
        <v>741.03</v>
      </c>
      <c r="N1249" s="62">
        <v>0</v>
      </c>
    </row>
    <row r="1250" spans="1:14">
      <c r="A1250" s="62">
        <v>2017</v>
      </c>
      <c r="B1250" s="62">
        <v>12</v>
      </c>
      <c r="C1250" s="62" t="s">
        <v>5</v>
      </c>
      <c r="D1250" s="62" t="s">
        <v>3</v>
      </c>
      <c r="E1250" s="62">
        <v>74.88</v>
      </c>
      <c r="F1250" s="62">
        <v>30.7425</v>
      </c>
      <c r="I1250" s="62">
        <v>2023</v>
      </c>
      <c r="J1250" s="62">
        <v>3</v>
      </c>
      <c r="K1250" s="62" t="s">
        <v>17</v>
      </c>
      <c r="L1250" s="62" t="s">
        <v>2</v>
      </c>
      <c r="M1250" s="62">
        <v>884.741</v>
      </c>
      <c r="N1250" s="62">
        <v>0</v>
      </c>
    </row>
    <row r="1251" spans="1:14">
      <c r="A1251" s="62">
        <v>2018</v>
      </c>
      <c r="B1251" s="62">
        <v>1</v>
      </c>
      <c r="C1251" s="62" t="s">
        <v>5</v>
      </c>
      <c r="D1251" s="62" t="s">
        <v>3</v>
      </c>
      <c r="E1251" s="62">
        <v>162.4475</v>
      </c>
      <c r="F1251" s="62">
        <v>40.3603125</v>
      </c>
      <c r="I1251" s="62">
        <v>2023</v>
      </c>
      <c r="J1251" s="62">
        <v>4</v>
      </c>
      <c r="K1251" s="62" t="s">
        <v>17</v>
      </c>
      <c r="L1251" s="62" t="s">
        <v>2</v>
      </c>
      <c r="M1251" s="62">
        <v>1045.897</v>
      </c>
      <c r="N1251" s="62">
        <v>0</v>
      </c>
    </row>
    <row r="1252" spans="1:14">
      <c r="A1252" s="62">
        <v>2018</v>
      </c>
      <c r="B1252" s="62">
        <v>2</v>
      </c>
      <c r="C1252" s="62" t="s">
        <v>5</v>
      </c>
      <c r="D1252" s="62" t="s">
        <v>3</v>
      </c>
      <c r="E1252" s="62">
        <v>113.87</v>
      </c>
      <c r="F1252" s="62">
        <v>56.04225</v>
      </c>
      <c r="I1252" s="62">
        <v>2023</v>
      </c>
      <c r="J1252" s="62">
        <v>5</v>
      </c>
      <c r="K1252" s="62" t="s">
        <v>17</v>
      </c>
      <c r="L1252" s="62" t="s">
        <v>2</v>
      </c>
      <c r="M1252" s="62">
        <v>485.911</v>
      </c>
      <c r="N1252" s="62">
        <v>0</v>
      </c>
    </row>
    <row r="1253" spans="1:14">
      <c r="A1253" s="62">
        <v>2018</v>
      </c>
      <c r="B1253" s="62">
        <v>3</v>
      </c>
      <c r="C1253" s="62" t="s">
        <v>5</v>
      </c>
      <c r="D1253" s="62" t="s">
        <v>3</v>
      </c>
      <c r="E1253" s="62">
        <v>122.8625</v>
      </c>
      <c r="F1253" s="62">
        <v>39.5419375</v>
      </c>
      <c r="I1253" s="62">
        <v>2023</v>
      </c>
      <c r="J1253" s="62">
        <v>6</v>
      </c>
      <c r="K1253" s="62" t="s">
        <v>17</v>
      </c>
      <c r="L1253" s="62" t="s">
        <v>2</v>
      </c>
      <c r="M1253" s="62">
        <v>58.58000000000001</v>
      </c>
      <c r="N1253" s="62">
        <v>0</v>
      </c>
    </row>
    <row r="1254" spans="1:14">
      <c r="A1254" s="62">
        <v>2018</v>
      </c>
      <c r="B1254" s="62">
        <v>4</v>
      </c>
      <c r="C1254" s="62" t="s">
        <v>5</v>
      </c>
      <c r="D1254" s="62" t="s">
        <v>3</v>
      </c>
      <c r="E1254" s="62">
        <v>126.919</v>
      </c>
      <c r="F1254" s="62">
        <v>50.332625</v>
      </c>
      <c r="I1254" s="62">
        <v>2023</v>
      </c>
      <c r="J1254" s="62">
        <v>7</v>
      </c>
      <c r="K1254" s="62" t="s">
        <v>17</v>
      </c>
      <c r="L1254" s="62" t="s">
        <v>2</v>
      </c>
      <c r="M1254" s="62">
        <v>71.33</v>
      </c>
      <c r="N1254" s="62">
        <v>0</v>
      </c>
    </row>
    <row r="1255" spans="1:14">
      <c r="A1255" s="62">
        <v>2018</v>
      </c>
      <c r="B1255" s="62">
        <v>5</v>
      </c>
      <c r="C1255" s="62" t="s">
        <v>5</v>
      </c>
      <c r="D1255" s="62" t="s">
        <v>3</v>
      </c>
      <c r="E1255" s="62">
        <v>150.784</v>
      </c>
      <c r="F1255" s="62">
        <v>35.9885</v>
      </c>
      <c r="I1255" s="62">
        <v>2023</v>
      </c>
      <c r="J1255" s="62">
        <v>8</v>
      </c>
      <c r="K1255" s="62" t="s">
        <v>17</v>
      </c>
      <c r="L1255" s="62" t="s">
        <v>2</v>
      </c>
      <c r="M1255" s="62">
        <v>97.69</v>
      </c>
      <c r="N1255" s="62">
        <v>0</v>
      </c>
    </row>
    <row r="1256" spans="1:14">
      <c r="A1256" s="62">
        <v>2018</v>
      </c>
      <c r="B1256" s="62">
        <v>6</v>
      </c>
      <c r="C1256" s="62" t="s">
        <v>5</v>
      </c>
      <c r="D1256" s="62" t="s">
        <v>3</v>
      </c>
      <c r="E1256" s="62">
        <v>249.85</v>
      </c>
      <c r="F1256" s="62">
        <v>46.719125</v>
      </c>
      <c r="I1256" s="62">
        <v>2023</v>
      </c>
      <c r="J1256" s="62">
        <v>9</v>
      </c>
      <c r="K1256" s="62" t="s">
        <v>17</v>
      </c>
      <c r="L1256" s="62" t="s">
        <v>2</v>
      </c>
      <c r="M1256" s="62">
        <v>917.191</v>
      </c>
      <c r="N1256" s="62">
        <v>0</v>
      </c>
    </row>
    <row r="1257" spans="1:14">
      <c r="A1257" s="62">
        <v>2018</v>
      </c>
      <c r="B1257" s="62">
        <v>7</v>
      </c>
      <c r="C1257" s="62" t="s">
        <v>5</v>
      </c>
      <c r="D1257" s="62" t="s">
        <v>3</v>
      </c>
      <c r="E1257" s="62">
        <v>285.329</v>
      </c>
      <c r="F1257" s="62">
        <v>74.73475000000001</v>
      </c>
      <c r="I1257" s="62">
        <v>2023</v>
      </c>
      <c r="J1257" s="62">
        <v>10</v>
      </c>
      <c r="K1257" s="62" t="s">
        <v>17</v>
      </c>
      <c r="L1257" s="62" t="s">
        <v>2</v>
      </c>
      <c r="M1257" s="62">
        <v>1594.195</v>
      </c>
      <c r="N1257" s="62">
        <v>0</v>
      </c>
    </row>
    <row r="1258" spans="1:14">
      <c r="A1258" s="62">
        <v>2018</v>
      </c>
      <c r="B1258" s="62">
        <v>8</v>
      </c>
      <c r="C1258" s="62" t="s">
        <v>5</v>
      </c>
      <c r="D1258" s="62" t="s">
        <v>3</v>
      </c>
      <c r="E1258" s="62">
        <v>316.5879</v>
      </c>
      <c r="F1258" s="62">
        <v>65.19000750000001</v>
      </c>
      <c r="I1258" s="62">
        <v>2023</v>
      </c>
      <c r="J1258" s="62">
        <v>11</v>
      </c>
      <c r="K1258" s="62" t="s">
        <v>17</v>
      </c>
      <c r="L1258" s="62" t="s">
        <v>2</v>
      </c>
      <c r="M1258" s="62">
        <v>478.365</v>
      </c>
      <c r="N1258" s="62">
        <v>0</v>
      </c>
    </row>
    <row r="1259" spans="1:14">
      <c r="A1259" s="62">
        <v>2018</v>
      </c>
      <c r="B1259" s="62">
        <v>9</v>
      </c>
      <c r="C1259" s="62" t="s">
        <v>5</v>
      </c>
      <c r="D1259" s="62" t="s">
        <v>3</v>
      </c>
      <c r="E1259" s="62">
        <v>422.8679</v>
      </c>
      <c r="F1259" s="62">
        <v>85.6802575</v>
      </c>
      <c r="I1259" s="62">
        <v>2023</v>
      </c>
      <c r="J1259" s="62">
        <v>12</v>
      </c>
      <c r="K1259" s="62" t="s">
        <v>17</v>
      </c>
      <c r="L1259" s="62" t="s">
        <v>2</v>
      </c>
      <c r="M1259" s="62">
        <v>41</v>
      </c>
      <c r="N1259" s="62">
        <v>0</v>
      </c>
    </row>
    <row r="1260" spans="1:14">
      <c r="A1260" s="62">
        <v>2018</v>
      </c>
      <c r="B1260" s="62">
        <v>10</v>
      </c>
      <c r="C1260" s="62" t="s">
        <v>5</v>
      </c>
      <c r="D1260" s="62" t="s">
        <v>3</v>
      </c>
      <c r="E1260" s="62">
        <v>496.5135</v>
      </c>
      <c r="F1260" s="62">
        <v>137.079605</v>
      </c>
      <c r="I1260" s="62">
        <v>2024</v>
      </c>
      <c r="J1260" s="62">
        <v>1</v>
      </c>
      <c r="K1260" s="62" t="s">
        <v>17</v>
      </c>
      <c r="L1260" s="62" t="s">
        <v>2</v>
      </c>
      <c r="M1260" s="62">
        <v>407.235</v>
      </c>
      <c r="N1260" s="62">
        <v>0</v>
      </c>
    </row>
    <row r="1261" spans="1:14">
      <c r="A1261" s="62">
        <v>2018</v>
      </c>
      <c r="B1261" s="62">
        <v>11</v>
      </c>
      <c r="C1261" s="62" t="s">
        <v>5</v>
      </c>
      <c r="D1261" s="62" t="s">
        <v>3</v>
      </c>
      <c r="E1261" s="62">
        <v>359.6586</v>
      </c>
      <c r="F1261" s="62">
        <v>120.7185175</v>
      </c>
      <c r="I1261" s="62">
        <v>2024</v>
      </c>
      <c r="J1261" s="62">
        <v>2</v>
      </c>
      <c r="K1261" s="62" t="s">
        <v>17</v>
      </c>
      <c r="L1261" s="62" t="s">
        <v>2</v>
      </c>
      <c r="M1261" s="62">
        <v>780.9598</v>
      </c>
      <c r="N1261" s="62">
        <v>0</v>
      </c>
    </row>
    <row r="1262" spans="1:14">
      <c r="A1262" s="62">
        <v>2018</v>
      </c>
      <c r="B1262" s="62">
        <v>12</v>
      </c>
      <c r="C1262" s="62" t="s">
        <v>5</v>
      </c>
      <c r="D1262" s="62" t="s">
        <v>3</v>
      </c>
      <c r="E1262" s="62">
        <v>161.211</v>
      </c>
      <c r="F1262" s="62">
        <v>44.123475</v>
      </c>
      <c r="I1262" s="62">
        <v>2024</v>
      </c>
      <c r="J1262" s="62">
        <v>3</v>
      </c>
      <c r="K1262" s="62" t="s">
        <v>17</v>
      </c>
      <c r="L1262" s="62" t="s">
        <v>2</v>
      </c>
      <c r="M1262" s="62">
        <v>570.8235999999999</v>
      </c>
      <c r="N1262" s="62">
        <v>0</v>
      </c>
    </row>
    <row r="1263" spans="1:14">
      <c r="A1263" s="62">
        <v>2019</v>
      </c>
      <c r="B1263" s="62">
        <v>1</v>
      </c>
      <c r="C1263" s="62" t="s">
        <v>5</v>
      </c>
      <c r="D1263" s="62" t="s">
        <v>3</v>
      </c>
      <c r="E1263" s="62">
        <v>238.122</v>
      </c>
      <c r="F1263" s="62">
        <v>48.75015</v>
      </c>
      <c r="I1263" s="62">
        <v>2024</v>
      </c>
      <c r="J1263" s="62">
        <v>4</v>
      </c>
      <c r="K1263" s="62" t="s">
        <v>17</v>
      </c>
      <c r="L1263" s="62" t="s">
        <v>2</v>
      </c>
      <c r="M1263" s="62">
        <v>777.9623</v>
      </c>
      <c r="N1263" s="62">
        <v>0</v>
      </c>
    </row>
    <row r="1264" spans="1:14">
      <c r="A1264" s="62">
        <v>2019</v>
      </c>
      <c r="B1264" s="62">
        <v>2</v>
      </c>
      <c r="C1264" s="62" t="s">
        <v>5</v>
      </c>
      <c r="D1264" s="62" t="s">
        <v>3</v>
      </c>
      <c r="E1264" s="62">
        <v>756.4125</v>
      </c>
      <c r="F1264" s="62">
        <v>171.6929625</v>
      </c>
      <c r="I1264" s="62">
        <v>2024</v>
      </c>
      <c r="J1264" s="62">
        <v>5</v>
      </c>
      <c r="K1264" s="62" t="s">
        <v>17</v>
      </c>
      <c r="L1264" s="62" t="s">
        <v>2</v>
      </c>
      <c r="M1264" s="62">
        <v>622.571</v>
      </c>
      <c r="N1264" s="62">
        <v>0</v>
      </c>
    </row>
    <row r="1265" spans="1:14">
      <c r="A1265" s="62">
        <v>2019</v>
      </c>
      <c r="B1265" s="62">
        <v>3</v>
      </c>
      <c r="C1265" s="62" t="s">
        <v>5</v>
      </c>
      <c r="D1265" s="62" t="s">
        <v>3</v>
      </c>
      <c r="E1265" s="62">
        <v>750.1993</v>
      </c>
      <c r="F1265" s="62">
        <v>181.8240025</v>
      </c>
      <c r="I1265" s="62">
        <v>2024</v>
      </c>
      <c r="J1265" s="62">
        <v>6</v>
      </c>
      <c r="K1265" s="62" t="s">
        <v>17</v>
      </c>
      <c r="L1265" s="62" t="s">
        <v>2</v>
      </c>
      <c r="M1265" s="62">
        <v>413.874</v>
      </c>
      <c r="N1265" s="62">
        <v>0</v>
      </c>
    </row>
    <row r="1266" spans="1:14">
      <c r="A1266" s="62">
        <v>2019</v>
      </c>
      <c r="B1266" s="62">
        <v>4</v>
      </c>
      <c r="C1266" s="62" t="s">
        <v>5</v>
      </c>
      <c r="D1266" s="62" t="s">
        <v>3</v>
      </c>
      <c r="E1266" s="62">
        <v>370.661</v>
      </c>
      <c r="F1266" s="62">
        <v>66.53100000000001</v>
      </c>
      <c r="I1266" s="62">
        <v>2024</v>
      </c>
      <c r="J1266" s="62">
        <v>7</v>
      </c>
      <c r="K1266" s="62" t="s">
        <v>17</v>
      </c>
      <c r="L1266" s="62" t="s">
        <v>2</v>
      </c>
      <c r="M1266" s="62">
        <v>140.852</v>
      </c>
      <c r="N1266" s="62">
        <v>0</v>
      </c>
    </row>
    <row r="1267" spans="1:14">
      <c r="A1267" s="62">
        <v>2019</v>
      </c>
      <c r="B1267" s="62">
        <v>5</v>
      </c>
      <c r="C1267" s="62" t="s">
        <v>5</v>
      </c>
      <c r="D1267" s="62" t="s">
        <v>3</v>
      </c>
      <c r="E1267" s="62">
        <v>529.6533000000001</v>
      </c>
      <c r="F1267" s="62">
        <v>137.5827025</v>
      </c>
      <c r="I1267" s="62">
        <v>2024</v>
      </c>
      <c r="J1267" s="62">
        <v>8</v>
      </c>
      <c r="K1267" s="62" t="s">
        <v>17</v>
      </c>
      <c r="L1267" s="62" t="s">
        <v>2</v>
      </c>
      <c r="M1267" s="62">
        <v>65.02</v>
      </c>
      <c r="N1267" s="62">
        <v>0</v>
      </c>
    </row>
    <row r="1268" spans="1:14">
      <c r="A1268" s="62">
        <v>2019</v>
      </c>
      <c r="B1268" s="62">
        <v>6</v>
      </c>
      <c r="C1268" s="62" t="s">
        <v>5</v>
      </c>
      <c r="D1268" s="62" t="s">
        <v>3</v>
      </c>
      <c r="E1268" s="62">
        <v>241.225</v>
      </c>
      <c r="F1268" s="62">
        <v>52.93525</v>
      </c>
      <c r="I1268" s="62">
        <v>2024</v>
      </c>
      <c r="J1268" s="62">
        <v>9</v>
      </c>
      <c r="K1268" s="62" t="s">
        <v>17</v>
      </c>
      <c r="L1268" s="62" t="s">
        <v>2</v>
      </c>
      <c r="M1268" s="62">
        <v>457.435</v>
      </c>
      <c r="N1268" s="62">
        <v>0</v>
      </c>
    </row>
    <row r="1269" spans="1:14">
      <c r="A1269" s="62">
        <v>2019</v>
      </c>
      <c r="B1269" s="62">
        <v>7</v>
      </c>
      <c r="C1269" s="62" t="s">
        <v>5</v>
      </c>
      <c r="D1269" s="62" t="s">
        <v>3</v>
      </c>
      <c r="E1269" s="62">
        <v>253.21</v>
      </c>
      <c r="F1269" s="62">
        <v>51.4355</v>
      </c>
      <c r="I1269" s="62">
        <v>2024</v>
      </c>
      <c r="J1269" s="62">
        <v>10</v>
      </c>
      <c r="K1269" s="62" t="s">
        <v>17</v>
      </c>
      <c r="L1269" s="62" t="s">
        <v>2</v>
      </c>
      <c r="M1269" s="62">
        <v>697.136</v>
      </c>
      <c r="N1269" s="62">
        <v>0</v>
      </c>
    </row>
    <row r="1270" spans="1:14">
      <c r="A1270" s="62">
        <v>2019</v>
      </c>
      <c r="B1270" s="62">
        <v>8</v>
      </c>
      <c r="C1270" s="62" t="s">
        <v>5</v>
      </c>
      <c r="D1270" s="62" t="s">
        <v>3</v>
      </c>
      <c r="E1270" s="62">
        <v>218.945</v>
      </c>
      <c r="F1270" s="62">
        <v>57.8155</v>
      </c>
      <c r="I1270" s="62">
        <v>2024</v>
      </c>
      <c r="J1270" s="62">
        <v>11</v>
      </c>
      <c r="K1270" s="62" t="s">
        <v>17</v>
      </c>
      <c r="L1270" s="62" t="s">
        <v>2</v>
      </c>
      <c r="M1270" s="62">
        <v>319.948</v>
      </c>
      <c r="N1270" s="62">
        <v>0</v>
      </c>
    </row>
    <row r="1271" spans="1:14">
      <c r="A1271" s="62">
        <v>2019</v>
      </c>
      <c r="B1271" s="62">
        <v>9</v>
      </c>
      <c r="C1271" s="62" t="s">
        <v>5</v>
      </c>
      <c r="D1271" s="62" t="s">
        <v>3</v>
      </c>
      <c r="E1271" s="62">
        <v>251.3369</v>
      </c>
      <c r="F1271" s="62">
        <v>56.1956325</v>
      </c>
      <c r="I1271" s="62">
        <v>2024</v>
      </c>
      <c r="J1271" s="62">
        <v>12</v>
      </c>
      <c r="K1271" s="62" t="s">
        <v>17</v>
      </c>
      <c r="L1271" s="62" t="s">
        <v>2</v>
      </c>
      <c r="M1271" s="62">
        <v>14.13</v>
      </c>
      <c r="N1271" s="62">
        <v>0</v>
      </c>
    </row>
    <row r="1272" spans="1:14">
      <c r="A1272" s="62">
        <v>2019</v>
      </c>
      <c r="B1272" s="62">
        <v>10</v>
      </c>
      <c r="C1272" s="62" t="s">
        <v>5</v>
      </c>
      <c r="D1272" s="62" t="s">
        <v>3</v>
      </c>
      <c r="E1272" s="62">
        <v>304.0044</v>
      </c>
      <c r="F1272" s="62">
        <v>92.86564499999999</v>
      </c>
      <c r="I1272" s="62">
        <v>2025</v>
      </c>
      <c r="J1272" s="62">
        <v>1</v>
      </c>
      <c r="K1272" s="62" t="s">
        <v>17</v>
      </c>
      <c r="L1272" s="62" t="s">
        <v>2</v>
      </c>
      <c r="M1272" s="62">
        <v>602.413</v>
      </c>
      <c r="N1272" s="62">
        <v>0</v>
      </c>
    </row>
    <row r="1273" spans="1:14">
      <c r="A1273" s="62">
        <v>2019</v>
      </c>
      <c r="B1273" s="62">
        <v>11</v>
      </c>
      <c r="C1273" s="62" t="s">
        <v>5</v>
      </c>
      <c r="D1273" s="62" t="s">
        <v>3</v>
      </c>
      <c r="E1273" s="62">
        <v>184.858</v>
      </c>
      <c r="F1273" s="62">
        <v>41.7861</v>
      </c>
      <c r="I1273" s="62">
        <v>2025</v>
      </c>
      <c r="J1273" s="62">
        <v>2</v>
      </c>
      <c r="K1273" s="62" t="s">
        <v>17</v>
      </c>
      <c r="L1273" s="62" t="s">
        <v>2</v>
      </c>
      <c r="M1273" s="62">
        <v>793.919</v>
      </c>
      <c r="N1273" s="62">
        <v>0</v>
      </c>
    </row>
    <row r="1274" spans="1:14">
      <c r="A1274" s="62">
        <v>2019</v>
      </c>
      <c r="B1274" s="62">
        <v>12</v>
      </c>
      <c r="C1274" s="62" t="s">
        <v>5</v>
      </c>
      <c r="D1274" s="62" t="s">
        <v>3</v>
      </c>
      <c r="E1274" s="62">
        <v>181.6592</v>
      </c>
      <c r="F1274" s="62">
        <v>38.32481</v>
      </c>
      <c r="I1274" s="62">
        <v>2025</v>
      </c>
      <c r="J1274" s="62">
        <v>3</v>
      </c>
      <c r="K1274" s="62" t="s">
        <v>17</v>
      </c>
      <c r="L1274" s="62" t="s">
        <v>2</v>
      </c>
      <c r="M1274" s="62">
        <v>400.978</v>
      </c>
      <c r="N1274" s="62">
        <v>0</v>
      </c>
    </row>
    <row r="1275" spans="1:14">
      <c r="A1275" s="62">
        <v>2020</v>
      </c>
      <c r="B1275" s="62">
        <v>1</v>
      </c>
      <c r="C1275" s="62" t="s">
        <v>5</v>
      </c>
      <c r="D1275" s="62" t="s">
        <v>3</v>
      </c>
      <c r="E1275" s="62">
        <v>423.864</v>
      </c>
      <c r="F1275" s="62">
        <v>116.716975</v>
      </c>
      <c r="I1275" s="62">
        <v>2025</v>
      </c>
      <c r="J1275" s="62">
        <v>4</v>
      </c>
      <c r="K1275" s="62" t="s">
        <v>17</v>
      </c>
      <c r="L1275" s="62" t="s">
        <v>2</v>
      </c>
      <c r="M1275" s="62">
        <v>557.302</v>
      </c>
      <c r="N1275" s="62">
        <v>0</v>
      </c>
    </row>
    <row r="1276" spans="1:14">
      <c r="A1276" s="62">
        <v>2020</v>
      </c>
      <c r="B1276" s="62">
        <v>2</v>
      </c>
      <c r="C1276" s="62" t="s">
        <v>5</v>
      </c>
      <c r="D1276" s="62" t="s">
        <v>3</v>
      </c>
      <c r="E1276" s="62">
        <v>388.2601</v>
      </c>
      <c r="F1276" s="62">
        <v>138.5661925</v>
      </c>
      <c r="I1276" s="62">
        <v>2025</v>
      </c>
      <c r="J1276" s="62">
        <v>5</v>
      </c>
      <c r="K1276" s="62" t="s">
        <v>17</v>
      </c>
      <c r="L1276" s="62" t="s">
        <v>2</v>
      </c>
      <c r="M1276" s="62">
        <v>143.96</v>
      </c>
      <c r="N1276" s="62">
        <v>0</v>
      </c>
    </row>
    <row r="1277" spans="1:14">
      <c r="A1277" s="62">
        <v>2020</v>
      </c>
      <c r="B1277" s="62">
        <v>3</v>
      </c>
      <c r="C1277" s="62" t="s">
        <v>5</v>
      </c>
      <c r="D1277" s="62" t="s">
        <v>3</v>
      </c>
      <c r="E1277" s="62">
        <v>773.9208</v>
      </c>
      <c r="F1277" s="62">
        <v>190.2606925</v>
      </c>
      <c r="I1277" s="62">
        <v>2025</v>
      </c>
      <c r="J1277" s="62">
        <v>6</v>
      </c>
      <c r="K1277" s="62" t="s">
        <v>17</v>
      </c>
      <c r="L1277" s="62" t="s">
        <v>2</v>
      </c>
      <c r="M1277" s="62">
        <v>74.386</v>
      </c>
      <c r="N1277" s="62">
        <v>0</v>
      </c>
    </row>
    <row r="1278" spans="1:14">
      <c r="A1278" s="62">
        <v>2020</v>
      </c>
      <c r="B1278" s="62">
        <v>4</v>
      </c>
      <c r="C1278" s="62" t="s">
        <v>5</v>
      </c>
      <c r="D1278" s="62" t="s">
        <v>3</v>
      </c>
      <c r="E1278" s="62">
        <v>3103.6295</v>
      </c>
      <c r="F1278" s="62">
        <v>771.2146425</v>
      </c>
      <c r="I1278" s="62">
        <v>2025</v>
      </c>
      <c r="J1278" s="62">
        <v>7</v>
      </c>
      <c r="K1278" s="62" t="s">
        <v>17</v>
      </c>
      <c r="L1278" s="62" t="s">
        <v>2</v>
      </c>
      <c r="M1278" s="62">
        <v>77.253</v>
      </c>
      <c r="N1278" s="62">
        <v>0</v>
      </c>
    </row>
    <row r="1279" spans="1:14">
      <c r="A1279" s="62">
        <v>2020</v>
      </c>
      <c r="B1279" s="62">
        <v>5</v>
      </c>
      <c r="C1279" s="62" t="s">
        <v>5</v>
      </c>
      <c r="D1279" s="62" t="s">
        <v>3</v>
      </c>
      <c r="E1279" s="62">
        <v>3077.4161</v>
      </c>
      <c r="F1279" s="62">
        <v>720.2772275</v>
      </c>
      <c r="I1279" s="62">
        <v>2025</v>
      </c>
      <c r="J1279" s="62">
        <v>8</v>
      </c>
      <c r="K1279" s="62" t="s">
        <v>17</v>
      </c>
      <c r="L1279" s="62" t="s">
        <v>2</v>
      </c>
      <c r="M1279" s="62">
        <v>217.19</v>
      </c>
      <c r="N1279" s="62">
        <v>0</v>
      </c>
    </row>
    <row r="1280" spans="1:14">
      <c r="A1280" s="62">
        <v>2020</v>
      </c>
      <c r="B1280" s="62">
        <v>6</v>
      </c>
      <c r="C1280" s="62" t="s">
        <v>5</v>
      </c>
      <c r="D1280" s="62" t="s">
        <v>3</v>
      </c>
      <c r="E1280" s="62">
        <v>3016.1506</v>
      </c>
      <c r="F1280" s="62">
        <v>668.74497</v>
      </c>
      <c r="I1280" s="62">
        <v>2025</v>
      </c>
      <c r="J1280" s="62">
        <v>9</v>
      </c>
      <c r="K1280" s="62" t="s">
        <v>17</v>
      </c>
      <c r="L1280" s="62" t="s">
        <v>2</v>
      </c>
      <c r="M1280" s="62">
        <v>561.0549999999999</v>
      </c>
      <c r="N1280" s="62">
        <v>0</v>
      </c>
    </row>
    <row r="1281" spans="1:14">
      <c r="A1281" s="62">
        <v>2020</v>
      </c>
      <c r="B1281" s="62">
        <v>7</v>
      </c>
      <c r="C1281" s="62" t="s">
        <v>5</v>
      </c>
      <c r="D1281" s="62" t="s">
        <v>3</v>
      </c>
      <c r="E1281" s="62">
        <v>2864.5919</v>
      </c>
      <c r="F1281" s="62">
        <v>616.856835</v>
      </c>
      <c r="I1281" s="62">
        <v>2025</v>
      </c>
      <c r="J1281" s="62">
        <v>10</v>
      </c>
      <c r="K1281" s="62" t="s">
        <v>17</v>
      </c>
      <c r="L1281" s="62" t="s">
        <v>2</v>
      </c>
      <c r="M1281" s="62">
        <v>743.4</v>
      </c>
      <c r="N1281" s="62">
        <v>0</v>
      </c>
    </row>
    <row r="1282" spans="1:14">
      <c r="A1282" s="62">
        <v>2020</v>
      </c>
      <c r="B1282" s="62">
        <v>8</v>
      </c>
      <c r="C1282" s="62" t="s">
        <v>5</v>
      </c>
      <c r="D1282" s="62" t="s">
        <v>3</v>
      </c>
      <c r="E1282" s="62">
        <v>2823.8103</v>
      </c>
      <c r="F1282" s="62">
        <v>594.175935</v>
      </c>
      <c r="I1282" s="62">
        <v>2025</v>
      </c>
      <c r="J1282" s="62">
        <v>11</v>
      </c>
      <c r="K1282" s="62" t="s">
        <v>17</v>
      </c>
      <c r="L1282" s="62" t="s">
        <v>2</v>
      </c>
      <c r="M1282" s="62">
        <v>305.247</v>
      </c>
      <c r="N1282" s="62">
        <v>0</v>
      </c>
    </row>
    <row r="1283" spans="1:14">
      <c r="A1283" s="62">
        <v>2020</v>
      </c>
      <c r="B1283" s="62">
        <v>9</v>
      </c>
      <c r="C1283" s="62" t="s">
        <v>5</v>
      </c>
      <c r="D1283" s="62" t="s">
        <v>3</v>
      </c>
      <c r="E1283" s="62">
        <v>2870.3776</v>
      </c>
      <c r="F1283" s="62">
        <v>611.8371324999999</v>
      </c>
      <c r="I1283" s="62">
        <v>2026</v>
      </c>
      <c r="J1283" s="62">
        <v>1</v>
      </c>
      <c r="K1283" s="62" t="s">
        <v>17</v>
      </c>
      <c r="L1283" s="62" t="s">
        <v>2</v>
      </c>
      <c r="M1283" s="62">
        <v>305.4811</v>
      </c>
      <c r="N1283" s="62">
        <v>0</v>
      </c>
    </row>
    <row r="1284" spans="1:14">
      <c r="A1284" s="62">
        <v>2020</v>
      </c>
      <c r="B1284" s="62">
        <v>10</v>
      </c>
      <c r="C1284" s="62" t="s">
        <v>5</v>
      </c>
      <c r="D1284" s="62" t="s">
        <v>3</v>
      </c>
      <c r="E1284" s="62">
        <v>2708.043</v>
      </c>
      <c r="F1284" s="62">
        <v>611.957625</v>
      </c>
      <c r="I1284" s="62">
        <v>2026</v>
      </c>
      <c r="J1284" s="62">
        <v>2</v>
      </c>
      <c r="K1284" s="62" t="s">
        <v>17</v>
      </c>
      <c r="L1284" s="62" t="s">
        <v>2</v>
      </c>
      <c r="M1284" s="62">
        <v>368.5358</v>
      </c>
      <c r="N1284" s="62">
        <v>0</v>
      </c>
    </row>
    <row r="1285" spans="1:14">
      <c r="A1285" s="62">
        <v>2020</v>
      </c>
      <c r="B1285" s="62">
        <v>11</v>
      </c>
      <c r="C1285" s="62" t="s">
        <v>5</v>
      </c>
      <c r="D1285" s="62" t="s">
        <v>3</v>
      </c>
      <c r="E1285" s="62">
        <v>2686.957</v>
      </c>
      <c r="F1285" s="62">
        <v>590.65775</v>
      </c>
      <c r="I1285" s="62">
        <v>2026</v>
      </c>
      <c r="J1285" s="62">
        <v>3</v>
      </c>
      <c r="K1285" s="62" t="s">
        <v>17</v>
      </c>
      <c r="L1285" s="62" t="s">
        <v>2</v>
      </c>
      <c r="M1285" s="62">
        <v>543.4424</v>
      </c>
      <c r="N1285" s="62">
        <v>0</v>
      </c>
    </row>
    <row r="1286" spans="1:14">
      <c r="A1286" s="62">
        <v>2020</v>
      </c>
      <c r="B1286" s="62">
        <v>12</v>
      </c>
      <c r="C1286" s="62" t="s">
        <v>5</v>
      </c>
      <c r="D1286" s="62" t="s">
        <v>3</v>
      </c>
      <c r="E1286" s="62">
        <v>2866.1246</v>
      </c>
      <c r="F1286" s="62">
        <v>637.83985</v>
      </c>
      <c r="I1286" s="62">
        <v>2026</v>
      </c>
      <c r="J1286" s="62">
        <v>4</v>
      </c>
      <c r="K1286" s="62" t="s">
        <v>17</v>
      </c>
      <c r="L1286" s="62" t="s">
        <v>2</v>
      </c>
      <c r="M1286" s="62">
        <v>506.67</v>
      </c>
      <c r="N1286" s="62">
        <v>0</v>
      </c>
    </row>
    <row r="1287" spans="1:14">
      <c r="A1287" s="62">
        <v>2021</v>
      </c>
      <c r="B1287" s="62">
        <v>1</v>
      </c>
      <c r="C1287" s="62" t="s">
        <v>5</v>
      </c>
      <c r="D1287" s="62" t="s">
        <v>3</v>
      </c>
      <c r="E1287" s="62">
        <v>2776.4655</v>
      </c>
      <c r="F1287" s="62">
        <v>608.5368625</v>
      </c>
      <c r="I1287" s="62">
        <v>2026</v>
      </c>
      <c r="J1287" s="62">
        <v>5</v>
      </c>
      <c r="K1287" s="62" t="s">
        <v>17</v>
      </c>
      <c r="L1287" s="62" t="s">
        <v>2</v>
      </c>
      <c r="M1287" s="62">
        <v>223.9558</v>
      </c>
      <c r="N1287" s="62">
        <v>0</v>
      </c>
    </row>
    <row r="1288" spans="1:14">
      <c r="A1288" s="62">
        <v>2021</v>
      </c>
      <c r="B1288" s="62">
        <v>2</v>
      </c>
      <c r="C1288" s="62" t="s">
        <v>5</v>
      </c>
      <c r="D1288" s="62" t="s">
        <v>3</v>
      </c>
      <c r="E1288" s="62">
        <v>3214.038</v>
      </c>
      <c r="F1288" s="62">
        <v>755.3866674999999</v>
      </c>
      <c r="I1288" s="62">
        <v>2026</v>
      </c>
      <c r="J1288" s="62">
        <v>7</v>
      </c>
      <c r="K1288" s="62" t="s">
        <v>17</v>
      </c>
      <c r="L1288" s="62" t="s">
        <v>2</v>
      </c>
      <c r="M1288" s="62">
        <v>8</v>
      </c>
      <c r="N1288" s="62">
        <v>0</v>
      </c>
    </row>
    <row r="1289" spans="1:14">
      <c r="A1289" s="62">
        <v>2021</v>
      </c>
      <c r="B1289" s="62">
        <v>3</v>
      </c>
      <c r="C1289" s="62" t="s">
        <v>5</v>
      </c>
      <c r="D1289" s="62" t="s">
        <v>3</v>
      </c>
      <c r="E1289" s="62">
        <v>2162.7739</v>
      </c>
      <c r="F1289" s="62">
        <v>446.522085</v>
      </c>
      <c r="I1289" s="62">
        <v>2026</v>
      </c>
      <c r="J1289" s="62">
        <v>8</v>
      </c>
      <c r="K1289" s="62" t="s">
        <v>17</v>
      </c>
      <c r="L1289" s="62" t="s">
        <v>2</v>
      </c>
      <c r="M1289" s="62">
        <v>85.06999999999999</v>
      </c>
      <c r="N1289" s="62">
        <v>0</v>
      </c>
    </row>
    <row r="1290" spans="1:14">
      <c r="A1290" s="62">
        <v>2021</v>
      </c>
      <c r="B1290" s="62">
        <v>4</v>
      </c>
      <c r="C1290" s="62" t="s">
        <v>5</v>
      </c>
      <c r="D1290" s="62" t="s">
        <v>3</v>
      </c>
      <c r="E1290" s="62">
        <v>1061.4487</v>
      </c>
      <c r="F1290" s="62">
        <v>244.510735</v>
      </c>
      <c r="I1290" s="62">
        <v>2026</v>
      </c>
      <c r="J1290" s="62">
        <v>9</v>
      </c>
      <c r="K1290" s="62" t="s">
        <v>17</v>
      </c>
      <c r="L1290" s="62" t="s">
        <v>2</v>
      </c>
      <c r="M1290" s="62">
        <v>203.74</v>
      </c>
      <c r="N1290" s="62">
        <v>0</v>
      </c>
    </row>
    <row r="1291" spans="1:14">
      <c r="A1291" s="62">
        <v>2021</v>
      </c>
      <c r="B1291" s="62">
        <v>5</v>
      </c>
      <c r="C1291" s="62" t="s">
        <v>5</v>
      </c>
      <c r="D1291" s="62" t="s">
        <v>3</v>
      </c>
      <c r="E1291" s="62">
        <v>317.6617</v>
      </c>
      <c r="F1291" s="62">
        <v>104.91522</v>
      </c>
      <c r="I1291" s="62">
        <v>2026</v>
      </c>
      <c r="J1291" s="62">
        <v>10</v>
      </c>
      <c r="K1291" s="62" t="s">
        <v>17</v>
      </c>
      <c r="L1291" s="62" t="s">
        <v>2</v>
      </c>
      <c r="M1291" s="62">
        <v>226.225</v>
      </c>
      <c r="N1291" s="62">
        <v>0</v>
      </c>
    </row>
    <row r="1292" spans="1:14">
      <c r="A1292" s="62">
        <v>2021</v>
      </c>
      <c r="B1292" s="62">
        <v>6</v>
      </c>
      <c r="C1292" s="62" t="s">
        <v>5</v>
      </c>
      <c r="D1292" s="62" t="s">
        <v>3</v>
      </c>
      <c r="E1292" s="62">
        <v>178.257</v>
      </c>
      <c r="F1292" s="62">
        <v>36.395775</v>
      </c>
      <c r="I1292" s="62">
        <v>2026</v>
      </c>
      <c r="J1292" s="62">
        <v>11</v>
      </c>
      <c r="K1292" s="62" t="s">
        <v>17</v>
      </c>
      <c r="L1292" s="62" t="s">
        <v>2</v>
      </c>
      <c r="M1292" s="62">
        <v>55.505</v>
      </c>
      <c r="N1292" s="62">
        <v>0</v>
      </c>
    </row>
    <row r="1293" spans="1:14">
      <c r="A1293" s="62">
        <v>2021</v>
      </c>
      <c r="B1293" s="62">
        <v>7</v>
      </c>
      <c r="C1293" s="62" t="s">
        <v>5</v>
      </c>
      <c r="D1293" s="62" t="s">
        <v>3</v>
      </c>
      <c r="E1293" s="62">
        <v>287.104</v>
      </c>
      <c r="F1293" s="62">
        <v>64.39135</v>
      </c>
      <c r="I1293" s="62">
        <v>2027</v>
      </c>
      <c r="J1293" s="62">
        <v>1</v>
      </c>
      <c r="K1293" s="62" t="s">
        <v>17</v>
      </c>
      <c r="L1293" s="62" t="s">
        <v>2</v>
      </c>
      <c r="M1293" s="62">
        <v>123.19</v>
      </c>
      <c r="N1293" s="62">
        <v>0</v>
      </c>
    </row>
    <row r="1294" spans="1:14">
      <c r="A1294" s="62">
        <v>2021</v>
      </c>
      <c r="B1294" s="62">
        <v>8</v>
      </c>
      <c r="C1294" s="62" t="s">
        <v>5</v>
      </c>
      <c r="D1294" s="62" t="s">
        <v>3</v>
      </c>
      <c r="E1294" s="62">
        <v>273.638</v>
      </c>
      <c r="F1294" s="62">
        <v>63.26435</v>
      </c>
      <c r="I1294" s="62">
        <v>2027</v>
      </c>
      <c r="J1294" s="62">
        <v>2</v>
      </c>
      <c r="K1294" s="62" t="s">
        <v>17</v>
      </c>
      <c r="L1294" s="62" t="s">
        <v>2</v>
      </c>
      <c r="M1294" s="62">
        <v>397.63</v>
      </c>
      <c r="N1294" s="62">
        <v>0</v>
      </c>
    </row>
    <row r="1295" spans="1:14">
      <c r="A1295" s="62">
        <v>2021</v>
      </c>
      <c r="B1295" s="62">
        <v>9</v>
      </c>
      <c r="C1295" s="62" t="s">
        <v>5</v>
      </c>
      <c r="D1295" s="62" t="s">
        <v>3</v>
      </c>
      <c r="E1295" s="62">
        <v>208.85</v>
      </c>
      <c r="F1295" s="62">
        <v>67.166</v>
      </c>
      <c r="I1295" s="62">
        <v>2027</v>
      </c>
      <c r="J1295" s="62">
        <v>3</v>
      </c>
      <c r="K1295" s="62" t="s">
        <v>17</v>
      </c>
      <c r="L1295" s="62" t="s">
        <v>2</v>
      </c>
      <c r="M1295" s="62">
        <v>756.129</v>
      </c>
      <c r="N1295" s="62">
        <v>0</v>
      </c>
    </row>
    <row r="1296" spans="1:14">
      <c r="A1296" s="62">
        <v>2021</v>
      </c>
      <c r="B1296" s="62">
        <v>10</v>
      </c>
      <c r="C1296" s="62" t="s">
        <v>5</v>
      </c>
      <c r="D1296" s="62" t="s">
        <v>3</v>
      </c>
      <c r="E1296" s="62">
        <v>274.68</v>
      </c>
      <c r="F1296" s="62">
        <v>107.6125</v>
      </c>
      <c r="I1296" s="62">
        <v>2027</v>
      </c>
      <c r="J1296" s="62">
        <v>4</v>
      </c>
      <c r="K1296" s="62" t="s">
        <v>17</v>
      </c>
      <c r="L1296" s="62" t="s">
        <v>2</v>
      </c>
      <c r="M1296" s="62">
        <v>482.653</v>
      </c>
      <c r="N1296" s="62">
        <v>0</v>
      </c>
    </row>
    <row r="1297" spans="1:14">
      <c r="A1297" s="62">
        <v>2021</v>
      </c>
      <c r="B1297" s="62">
        <v>11</v>
      </c>
      <c r="C1297" s="62" t="s">
        <v>5</v>
      </c>
      <c r="D1297" s="62" t="s">
        <v>3</v>
      </c>
      <c r="E1297" s="62">
        <v>308.1</v>
      </c>
      <c r="F1297" s="62">
        <v>84.19335000000001</v>
      </c>
      <c r="I1297" s="62">
        <v>2027</v>
      </c>
      <c r="J1297" s="62">
        <v>5</v>
      </c>
      <c r="K1297" s="62" t="s">
        <v>17</v>
      </c>
      <c r="L1297" s="62" t="s">
        <v>2</v>
      </c>
      <c r="M1297" s="62">
        <v>199.58</v>
      </c>
      <c r="N1297" s="62">
        <v>0</v>
      </c>
    </row>
    <row r="1298" spans="1:14">
      <c r="A1298" s="62">
        <v>2021</v>
      </c>
      <c r="B1298" s="62">
        <v>12</v>
      </c>
      <c r="C1298" s="62" t="s">
        <v>5</v>
      </c>
      <c r="D1298" s="62" t="s">
        <v>3</v>
      </c>
      <c r="E1298" s="62">
        <v>235.44</v>
      </c>
      <c r="F1298" s="62">
        <v>61.45325</v>
      </c>
      <c r="I1298" s="62">
        <v>2027</v>
      </c>
      <c r="J1298" s="62">
        <v>6</v>
      </c>
      <c r="K1298" s="62" t="s">
        <v>17</v>
      </c>
      <c r="L1298" s="62" t="s">
        <v>2</v>
      </c>
      <c r="M1298" s="62">
        <v>43.05</v>
      </c>
      <c r="N1298" s="62">
        <v>0</v>
      </c>
    </row>
    <row r="1299" spans="1:14">
      <c r="A1299" s="62">
        <v>2022</v>
      </c>
      <c r="B1299" s="62">
        <v>1</v>
      </c>
      <c r="C1299" s="62" t="s">
        <v>5</v>
      </c>
      <c r="D1299" s="62" t="s">
        <v>3</v>
      </c>
      <c r="E1299" s="62">
        <v>245.855</v>
      </c>
      <c r="F1299" s="62">
        <v>51.1975</v>
      </c>
      <c r="I1299" s="62">
        <v>2027</v>
      </c>
      <c r="J1299" s="62">
        <v>9</v>
      </c>
      <c r="K1299" s="62" t="s">
        <v>17</v>
      </c>
      <c r="L1299" s="62" t="s">
        <v>2</v>
      </c>
      <c r="M1299" s="62">
        <v>562.105</v>
      </c>
      <c r="N1299" s="62">
        <v>0</v>
      </c>
    </row>
    <row r="1300" spans="1:14">
      <c r="A1300" s="62">
        <v>2022</v>
      </c>
      <c r="B1300" s="62">
        <v>2</v>
      </c>
      <c r="C1300" s="62" t="s">
        <v>5</v>
      </c>
      <c r="D1300" s="62" t="s">
        <v>3</v>
      </c>
      <c r="E1300" s="62">
        <v>228.686</v>
      </c>
      <c r="F1300" s="62">
        <v>49.5772</v>
      </c>
      <c r="I1300" s="62">
        <v>2027</v>
      </c>
      <c r="J1300" s="62">
        <v>10</v>
      </c>
      <c r="K1300" s="62" t="s">
        <v>17</v>
      </c>
      <c r="L1300" s="62" t="s">
        <v>2</v>
      </c>
      <c r="M1300" s="62">
        <v>468.285</v>
      </c>
      <c r="N1300" s="62">
        <v>0</v>
      </c>
    </row>
    <row r="1301" spans="1:14">
      <c r="A1301" s="62">
        <v>2022</v>
      </c>
      <c r="B1301" s="62">
        <v>3</v>
      </c>
      <c r="C1301" s="62" t="s">
        <v>5</v>
      </c>
      <c r="D1301" s="62" t="s">
        <v>3</v>
      </c>
      <c r="E1301" s="62">
        <v>561.903</v>
      </c>
      <c r="F1301" s="62">
        <v>180.9609</v>
      </c>
      <c r="I1301" s="62">
        <v>2027</v>
      </c>
      <c r="J1301" s="62">
        <v>11</v>
      </c>
      <c r="K1301" s="62" t="s">
        <v>17</v>
      </c>
      <c r="L1301" s="62" t="s">
        <v>2</v>
      </c>
      <c r="M1301" s="62">
        <v>107.28</v>
      </c>
      <c r="N1301" s="62">
        <v>0</v>
      </c>
    </row>
    <row r="1302" spans="1:14">
      <c r="A1302" s="62">
        <v>2022</v>
      </c>
      <c r="B1302" s="62">
        <v>4</v>
      </c>
      <c r="C1302" s="62" t="s">
        <v>5</v>
      </c>
      <c r="D1302" s="62" t="s">
        <v>3</v>
      </c>
      <c r="E1302" s="62">
        <v>600.838</v>
      </c>
      <c r="F1302" s="62">
        <v>136.447925</v>
      </c>
      <c r="I1302" s="62">
        <v>2014</v>
      </c>
      <c r="J1302" s="62">
        <v>1</v>
      </c>
      <c r="K1302" s="62" t="s">
        <v>17</v>
      </c>
      <c r="L1302" s="62" t="s">
        <v>3</v>
      </c>
      <c r="M1302" s="62">
        <v>227.202</v>
      </c>
      <c r="N1302" s="62">
        <v>0</v>
      </c>
    </row>
    <row r="1303" spans="1:14">
      <c r="A1303" s="62">
        <v>2022</v>
      </c>
      <c r="B1303" s="62">
        <v>5</v>
      </c>
      <c r="C1303" s="62" t="s">
        <v>5</v>
      </c>
      <c r="D1303" s="62" t="s">
        <v>3</v>
      </c>
      <c r="E1303" s="62">
        <v>433.6032</v>
      </c>
      <c r="F1303" s="62">
        <v>79.71290999999999</v>
      </c>
      <c r="I1303" s="62">
        <v>2014</v>
      </c>
      <c r="J1303" s="62">
        <v>2</v>
      </c>
      <c r="K1303" s="62" t="s">
        <v>17</v>
      </c>
      <c r="L1303" s="62" t="s">
        <v>3</v>
      </c>
      <c r="M1303" s="62">
        <v>114.44</v>
      </c>
      <c r="N1303" s="62">
        <v>0</v>
      </c>
    </row>
    <row r="1304" spans="1:14">
      <c r="A1304" s="62">
        <v>2022</v>
      </c>
      <c r="B1304" s="62">
        <v>6</v>
      </c>
      <c r="C1304" s="62" t="s">
        <v>5</v>
      </c>
      <c r="D1304" s="62" t="s">
        <v>3</v>
      </c>
      <c r="E1304" s="62">
        <v>297.78</v>
      </c>
      <c r="F1304" s="62">
        <v>60.20025</v>
      </c>
      <c r="I1304" s="62">
        <v>2014</v>
      </c>
      <c r="J1304" s="62">
        <v>3</v>
      </c>
      <c r="K1304" s="62" t="s">
        <v>17</v>
      </c>
      <c r="L1304" s="62" t="s">
        <v>3</v>
      </c>
      <c r="M1304" s="62">
        <v>136.375</v>
      </c>
      <c r="N1304" s="62">
        <v>0</v>
      </c>
    </row>
    <row r="1305" spans="1:14">
      <c r="A1305" s="62">
        <v>2022</v>
      </c>
      <c r="B1305" s="62">
        <v>7</v>
      </c>
      <c r="C1305" s="62" t="s">
        <v>5</v>
      </c>
      <c r="D1305" s="62" t="s">
        <v>3</v>
      </c>
      <c r="E1305" s="62">
        <v>462.9152</v>
      </c>
      <c r="F1305" s="62">
        <v>99.76052</v>
      </c>
      <c r="I1305" s="62">
        <v>2014</v>
      </c>
      <c r="J1305" s="62">
        <v>4</v>
      </c>
      <c r="K1305" s="62" t="s">
        <v>17</v>
      </c>
      <c r="L1305" s="62" t="s">
        <v>3</v>
      </c>
      <c r="M1305" s="62">
        <v>153.365</v>
      </c>
      <c r="N1305" s="62">
        <v>0</v>
      </c>
    </row>
    <row r="1306" spans="1:14">
      <c r="A1306" s="62">
        <v>2022</v>
      </c>
      <c r="B1306" s="62">
        <v>8</v>
      </c>
      <c r="C1306" s="62" t="s">
        <v>5</v>
      </c>
      <c r="D1306" s="62" t="s">
        <v>3</v>
      </c>
      <c r="E1306" s="62">
        <v>592.8874</v>
      </c>
      <c r="F1306" s="62">
        <v>154.541725</v>
      </c>
      <c r="I1306" s="62">
        <v>2014</v>
      </c>
      <c r="J1306" s="62">
        <v>5</v>
      </c>
      <c r="K1306" s="62" t="s">
        <v>17</v>
      </c>
      <c r="L1306" s="62" t="s">
        <v>3</v>
      </c>
      <c r="M1306" s="62">
        <v>46.86</v>
      </c>
      <c r="N1306" s="62">
        <v>0</v>
      </c>
    </row>
    <row r="1307" spans="1:14">
      <c r="A1307" s="62">
        <v>2022</v>
      </c>
      <c r="B1307" s="62">
        <v>9</v>
      </c>
      <c r="C1307" s="62" t="s">
        <v>5</v>
      </c>
      <c r="D1307" s="62" t="s">
        <v>3</v>
      </c>
      <c r="E1307" s="62">
        <v>617.9159</v>
      </c>
      <c r="F1307" s="62">
        <v>150.8131325</v>
      </c>
      <c r="I1307" s="62">
        <v>2014</v>
      </c>
      <c r="J1307" s="62">
        <v>6</v>
      </c>
      <c r="K1307" s="62" t="s">
        <v>17</v>
      </c>
      <c r="L1307" s="62" t="s">
        <v>3</v>
      </c>
      <c r="M1307" s="62">
        <v>138.361</v>
      </c>
      <c r="N1307" s="62">
        <v>0</v>
      </c>
    </row>
    <row r="1308" spans="1:14">
      <c r="A1308" s="62">
        <v>2022</v>
      </c>
      <c r="B1308" s="62">
        <v>10</v>
      </c>
      <c r="C1308" s="62" t="s">
        <v>5</v>
      </c>
      <c r="D1308" s="62" t="s">
        <v>3</v>
      </c>
      <c r="E1308" s="62">
        <v>935.2314</v>
      </c>
      <c r="F1308" s="62">
        <v>230.77177</v>
      </c>
      <c r="I1308" s="62">
        <v>2014</v>
      </c>
      <c r="J1308" s="62">
        <v>7</v>
      </c>
      <c r="K1308" s="62" t="s">
        <v>17</v>
      </c>
      <c r="L1308" s="62" t="s">
        <v>3</v>
      </c>
      <c r="M1308" s="62">
        <v>69.92999999999999</v>
      </c>
      <c r="N1308" s="62">
        <v>0</v>
      </c>
    </row>
    <row r="1309" spans="1:14">
      <c r="A1309" s="62">
        <v>2022</v>
      </c>
      <c r="B1309" s="62">
        <v>11</v>
      </c>
      <c r="C1309" s="62" t="s">
        <v>5</v>
      </c>
      <c r="D1309" s="62" t="s">
        <v>3</v>
      </c>
      <c r="E1309" s="62">
        <v>863.9888999999999</v>
      </c>
      <c r="F1309" s="62">
        <v>167.6680825</v>
      </c>
      <c r="I1309" s="62">
        <v>2014</v>
      </c>
      <c r="J1309" s="62">
        <v>8</v>
      </c>
      <c r="K1309" s="62" t="s">
        <v>17</v>
      </c>
      <c r="L1309" s="62" t="s">
        <v>3</v>
      </c>
      <c r="M1309" s="62">
        <v>231.292</v>
      </c>
      <c r="N1309" s="62">
        <v>0</v>
      </c>
    </row>
    <row r="1310" spans="1:14">
      <c r="A1310" s="62">
        <v>2022</v>
      </c>
      <c r="B1310" s="62">
        <v>12</v>
      </c>
      <c r="C1310" s="62" t="s">
        <v>5</v>
      </c>
      <c r="D1310" s="62" t="s">
        <v>3</v>
      </c>
      <c r="E1310" s="62">
        <v>922.4128000000001</v>
      </c>
      <c r="F1310" s="62">
        <v>209.055475</v>
      </c>
      <c r="I1310" s="62">
        <v>2014</v>
      </c>
      <c r="J1310" s="62">
        <v>9</v>
      </c>
      <c r="K1310" s="62" t="s">
        <v>17</v>
      </c>
      <c r="L1310" s="62" t="s">
        <v>3</v>
      </c>
      <c r="M1310" s="62">
        <v>225.182</v>
      </c>
      <c r="N1310" s="62">
        <v>0</v>
      </c>
    </row>
    <row r="1311" spans="1:14">
      <c r="A1311" s="62">
        <v>2023</v>
      </c>
      <c r="B1311" s="62">
        <v>1</v>
      </c>
      <c r="C1311" s="62" t="s">
        <v>5</v>
      </c>
      <c r="D1311" s="62" t="s">
        <v>3</v>
      </c>
      <c r="E1311" s="62">
        <v>795.2476</v>
      </c>
      <c r="F1311" s="62">
        <v>177.910825</v>
      </c>
      <c r="I1311" s="62">
        <v>2014</v>
      </c>
      <c r="J1311" s="62">
        <v>10</v>
      </c>
      <c r="K1311" s="62" t="s">
        <v>17</v>
      </c>
      <c r="L1311" s="62" t="s">
        <v>3</v>
      </c>
      <c r="M1311" s="62">
        <v>104.611</v>
      </c>
      <c r="N1311" s="62">
        <v>0</v>
      </c>
    </row>
    <row r="1312" spans="1:14">
      <c r="A1312" s="62">
        <v>2023</v>
      </c>
      <c r="B1312" s="62">
        <v>2</v>
      </c>
      <c r="C1312" s="62" t="s">
        <v>5</v>
      </c>
      <c r="D1312" s="62" t="s">
        <v>3</v>
      </c>
      <c r="E1312" s="62">
        <v>704.285</v>
      </c>
      <c r="F1312" s="62">
        <v>163.1545</v>
      </c>
      <c r="I1312" s="62">
        <v>2014</v>
      </c>
      <c r="J1312" s="62">
        <v>11</v>
      </c>
      <c r="K1312" s="62" t="s">
        <v>17</v>
      </c>
      <c r="L1312" s="62" t="s">
        <v>3</v>
      </c>
      <c r="M1312" s="62">
        <v>121.66</v>
      </c>
      <c r="N1312" s="62">
        <v>0</v>
      </c>
    </row>
    <row r="1313" spans="1:14">
      <c r="A1313" s="62">
        <v>2023</v>
      </c>
      <c r="B1313" s="62">
        <v>3</v>
      </c>
      <c r="C1313" s="62" t="s">
        <v>5</v>
      </c>
      <c r="D1313" s="62" t="s">
        <v>3</v>
      </c>
      <c r="E1313" s="62">
        <v>1151.72</v>
      </c>
      <c r="F1313" s="62">
        <v>317.86925</v>
      </c>
      <c r="I1313" s="62">
        <v>2014</v>
      </c>
      <c r="J1313" s="62">
        <v>12</v>
      </c>
      <c r="K1313" s="62" t="s">
        <v>17</v>
      </c>
      <c r="L1313" s="62" t="s">
        <v>3</v>
      </c>
      <c r="M1313" s="62">
        <v>127.414</v>
      </c>
      <c r="N1313" s="62">
        <v>0</v>
      </c>
    </row>
    <row r="1314" spans="1:14">
      <c r="A1314" s="62">
        <v>2023</v>
      </c>
      <c r="B1314" s="62">
        <v>4</v>
      </c>
      <c r="C1314" s="62" t="s">
        <v>5</v>
      </c>
      <c r="D1314" s="62" t="s">
        <v>3</v>
      </c>
      <c r="E1314" s="62">
        <v>1187.2174</v>
      </c>
      <c r="F1314" s="62">
        <v>285.928045</v>
      </c>
      <c r="I1314" s="62">
        <v>2015</v>
      </c>
      <c r="J1314" s="62">
        <v>1</v>
      </c>
      <c r="K1314" s="62" t="s">
        <v>17</v>
      </c>
      <c r="L1314" s="62" t="s">
        <v>3</v>
      </c>
      <c r="M1314" s="62">
        <v>105.655</v>
      </c>
      <c r="N1314" s="62">
        <v>0</v>
      </c>
    </row>
    <row r="1315" spans="1:14">
      <c r="A1315" s="62">
        <v>2023</v>
      </c>
      <c r="B1315" s="62">
        <v>5</v>
      </c>
      <c r="C1315" s="62" t="s">
        <v>5</v>
      </c>
      <c r="D1315" s="62" t="s">
        <v>3</v>
      </c>
      <c r="E1315" s="62">
        <v>812.5286</v>
      </c>
      <c r="F1315" s="62">
        <v>214.678005</v>
      </c>
      <c r="I1315" s="62">
        <v>2015</v>
      </c>
      <c r="J1315" s="62">
        <v>2</v>
      </c>
      <c r="K1315" s="62" t="s">
        <v>17</v>
      </c>
      <c r="L1315" s="62" t="s">
        <v>3</v>
      </c>
      <c r="M1315" s="62">
        <v>116.24</v>
      </c>
      <c r="N1315" s="62">
        <v>0</v>
      </c>
    </row>
    <row r="1316" spans="1:14">
      <c r="A1316" s="62">
        <v>2023</v>
      </c>
      <c r="B1316" s="62">
        <v>6</v>
      </c>
      <c r="C1316" s="62" t="s">
        <v>5</v>
      </c>
      <c r="D1316" s="62" t="s">
        <v>3</v>
      </c>
      <c r="E1316" s="62">
        <v>479.95</v>
      </c>
      <c r="F1316" s="62">
        <v>134.84525</v>
      </c>
      <c r="I1316" s="62">
        <v>2015</v>
      </c>
      <c r="J1316" s="62">
        <v>3</v>
      </c>
      <c r="K1316" s="62" t="s">
        <v>17</v>
      </c>
      <c r="L1316" s="62" t="s">
        <v>3</v>
      </c>
      <c r="M1316" s="62">
        <v>109.538</v>
      </c>
      <c r="N1316" s="62">
        <v>0</v>
      </c>
    </row>
    <row r="1317" spans="1:14">
      <c r="A1317" s="62">
        <v>2023</v>
      </c>
      <c r="B1317" s="62">
        <v>7</v>
      </c>
      <c r="C1317" s="62" t="s">
        <v>5</v>
      </c>
      <c r="D1317" s="62" t="s">
        <v>3</v>
      </c>
      <c r="E1317" s="62">
        <v>342.177</v>
      </c>
      <c r="F1317" s="62">
        <v>65.50964999999999</v>
      </c>
      <c r="I1317" s="62">
        <v>2015</v>
      </c>
      <c r="J1317" s="62">
        <v>4</v>
      </c>
      <c r="K1317" s="62" t="s">
        <v>17</v>
      </c>
      <c r="L1317" s="62" t="s">
        <v>3</v>
      </c>
      <c r="M1317" s="62">
        <v>126.809</v>
      </c>
      <c r="N1317" s="62">
        <v>0</v>
      </c>
    </row>
    <row r="1318" spans="1:14">
      <c r="A1318" s="62">
        <v>2023</v>
      </c>
      <c r="B1318" s="62">
        <v>8</v>
      </c>
      <c r="C1318" s="62" t="s">
        <v>5</v>
      </c>
      <c r="D1318" s="62" t="s">
        <v>3</v>
      </c>
      <c r="E1318" s="62">
        <v>146.559</v>
      </c>
      <c r="F1318" s="62">
        <v>28.7113</v>
      </c>
      <c r="I1318" s="62">
        <v>2015</v>
      </c>
      <c r="J1318" s="62">
        <v>5</v>
      </c>
      <c r="K1318" s="62" t="s">
        <v>17</v>
      </c>
      <c r="L1318" s="62" t="s">
        <v>3</v>
      </c>
      <c r="M1318" s="62">
        <v>153.56</v>
      </c>
      <c r="N1318" s="62">
        <v>0</v>
      </c>
    </row>
    <row r="1319" spans="1:14">
      <c r="A1319" s="62">
        <v>2023</v>
      </c>
      <c r="B1319" s="62">
        <v>9</v>
      </c>
      <c r="C1319" s="62" t="s">
        <v>5</v>
      </c>
      <c r="D1319" s="62" t="s">
        <v>3</v>
      </c>
      <c r="E1319" s="62">
        <v>351.5921</v>
      </c>
      <c r="F1319" s="62">
        <v>59.1728675</v>
      </c>
      <c r="I1319" s="62">
        <v>2015</v>
      </c>
      <c r="J1319" s="62">
        <v>6</v>
      </c>
      <c r="K1319" s="62" t="s">
        <v>17</v>
      </c>
      <c r="L1319" s="62" t="s">
        <v>3</v>
      </c>
      <c r="M1319" s="62">
        <v>211.42</v>
      </c>
      <c r="N1319" s="62">
        <v>0</v>
      </c>
    </row>
    <row r="1320" spans="1:14">
      <c r="A1320" s="62">
        <v>2023</v>
      </c>
      <c r="B1320" s="62">
        <v>10</v>
      </c>
      <c r="C1320" s="62" t="s">
        <v>5</v>
      </c>
      <c r="D1320" s="62" t="s">
        <v>3</v>
      </c>
      <c r="E1320" s="62">
        <v>463.7105</v>
      </c>
      <c r="F1320" s="62">
        <v>75.258325</v>
      </c>
      <c r="I1320" s="62">
        <v>2015</v>
      </c>
      <c r="J1320" s="62">
        <v>7</v>
      </c>
      <c r="K1320" s="62" t="s">
        <v>17</v>
      </c>
      <c r="L1320" s="62" t="s">
        <v>3</v>
      </c>
      <c r="M1320" s="62">
        <v>279.4235</v>
      </c>
      <c r="N1320" s="62">
        <v>0</v>
      </c>
    </row>
    <row r="1321" spans="1:14">
      <c r="A1321" s="62">
        <v>2023</v>
      </c>
      <c r="B1321" s="62">
        <v>11</v>
      </c>
      <c r="C1321" s="62" t="s">
        <v>5</v>
      </c>
      <c r="D1321" s="62" t="s">
        <v>3</v>
      </c>
      <c r="E1321" s="62">
        <v>150.8129</v>
      </c>
      <c r="F1321" s="62">
        <v>49.5910325</v>
      </c>
      <c r="I1321" s="62">
        <v>2015</v>
      </c>
      <c r="J1321" s="62">
        <v>8</v>
      </c>
      <c r="K1321" s="62" t="s">
        <v>17</v>
      </c>
      <c r="L1321" s="62" t="s">
        <v>3</v>
      </c>
      <c r="M1321" s="62">
        <v>370.044</v>
      </c>
      <c r="N1321" s="62">
        <v>0</v>
      </c>
    </row>
    <row r="1322" spans="1:14">
      <c r="A1322" s="62">
        <v>2023</v>
      </c>
      <c r="B1322" s="62">
        <v>12</v>
      </c>
      <c r="C1322" s="62" t="s">
        <v>5</v>
      </c>
      <c r="D1322" s="62" t="s">
        <v>3</v>
      </c>
      <c r="E1322" s="62">
        <v>54.5386</v>
      </c>
      <c r="F1322" s="62">
        <v>21.21408</v>
      </c>
      <c r="I1322" s="62">
        <v>2015</v>
      </c>
      <c r="J1322" s="62">
        <v>9</v>
      </c>
      <c r="K1322" s="62" t="s">
        <v>17</v>
      </c>
      <c r="L1322" s="62" t="s">
        <v>3</v>
      </c>
      <c r="M1322" s="62">
        <v>233.1626</v>
      </c>
      <c r="N1322" s="62">
        <v>0</v>
      </c>
    </row>
    <row r="1323" spans="1:14">
      <c r="A1323" s="62">
        <v>2024</v>
      </c>
      <c r="B1323" s="62">
        <v>1</v>
      </c>
      <c r="C1323" s="62" t="s">
        <v>5</v>
      </c>
      <c r="D1323" s="62" t="s">
        <v>3</v>
      </c>
      <c r="E1323" s="62">
        <v>76.622</v>
      </c>
      <c r="F1323" s="62">
        <v>24.32765</v>
      </c>
      <c r="I1323" s="62">
        <v>2015</v>
      </c>
      <c r="J1323" s="62">
        <v>10</v>
      </c>
      <c r="K1323" s="62" t="s">
        <v>17</v>
      </c>
      <c r="L1323" s="62" t="s">
        <v>3</v>
      </c>
      <c r="M1323" s="62">
        <v>184.3</v>
      </c>
      <c r="N1323" s="62">
        <v>0</v>
      </c>
    </row>
    <row r="1324" spans="1:14">
      <c r="A1324" s="62">
        <v>2024</v>
      </c>
      <c r="B1324" s="62">
        <v>2</v>
      </c>
      <c r="C1324" s="62" t="s">
        <v>5</v>
      </c>
      <c r="D1324" s="62" t="s">
        <v>3</v>
      </c>
      <c r="E1324" s="62">
        <v>1777.3844</v>
      </c>
      <c r="F1324" s="62">
        <v>464.520545</v>
      </c>
      <c r="I1324" s="62">
        <v>2015</v>
      </c>
      <c r="J1324" s="62">
        <v>11</v>
      </c>
      <c r="K1324" s="62" t="s">
        <v>17</v>
      </c>
      <c r="L1324" s="62" t="s">
        <v>3</v>
      </c>
      <c r="M1324" s="62">
        <v>183.855</v>
      </c>
      <c r="N1324" s="62">
        <v>0</v>
      </c>
    </row>
    <row r="1325" spans="1:14">
      <c r="A1325" s="62">
        <v>2024</v>
      </c>
      <c r="B1325" s="62">
        <v>3</v>
      </c>
      <c r="C1325" s="62" t="s">
        <v>5</v>
      </c>
      <c r="D1325" s="62" t="s">
        <v>3</v>
      </c>
      <c r="E1325" s="62">
        <v>752.0741</v>
      </c>
      <c r="F1325" s="62">
        <v>133.4211175</v>
      </c>
      <c r="I1325" s="62">
        <v>2015</v>
      </c>
      <c r="J1325" s="62">
        <v>12</v>
      </c>
      <c r="K1325" s="62" t="s">
        <v>17</v>
      </c>
      <c r="L1325" s="62" t="s">
        <v>3</v>
      </c>
      <c r="M1325" s="62">
        <v>153.995</v>
      </c>
      <c r="N1325" s="62">
        <v>0</v>
      </c>
    </row>
    <row r="1326" spans="1:14">
      <c r="A1326" s="62">
        <v>2024</v>
      </c>
      <c r="B1326" s="62">
        <v>4</v>
      </c>
      <c r="C1326" s="62" t="s">
        <v>5</v>
      </c>
      <c r="D1326" s="62" t="s">
        <v>3</v>
      </c>
      <c r="E1326" s="62">
        <v>392.1044</v>
      </c>
      <c r="F1326" s="62">
        <v>120.921625</v>
      </c>
      <c r="I1326" s="62">
        <v>2016</v>
      </c>
      <c r="J1326" s="62">
        <v>1</v>
      </c>
      <c r="K1326" s="62" t="s">
        <v>17</v>
      </c>
      <c r="L1326" s="62" t="s">
        <v>3</v>
      </c>
      <c r="M1326" s="62">
        <v>256.122</v>
      </c>
      <c r="N1326" s="62">
        <v>0</v>
      </c>
    </row>
    <row r="1327" spans="1:14">
      <c r="A1327" s="62">
        <v>2024</v>
      </c>
      <c r="B1327" s="62">
        <v>5</v>
      </c>
      <c r="C1327" s="62" t="s">
        <v>5</v>
      </c>
      <c r="D1327" s="62" t="s">
        <v>3</v>
      </c>
      <c r="E1327" s="62">
        <v>225.6325</v>
      </c>
      <c r="F1327" s="62">
        <v>55.69645</v>
      </c>
      <c r="I1327" s="62">
        <v>2016</v>
      </c>
      <c r="J1327" s="62">
        <v>2</v>
      </c>
      <c r="K1327" s="62" t="s">
        <v>17</v>
      </c>
      <c r="L1327" s="62" t="s">
        <v>3</v>
      </c>
      <c r="M1327" s="62">
        <v>229.752</v>
      </c>
      <c r="N1327" s="62">
        <v>0</v>
      </c>
    </row>
    <row r="1328" spans="1:14">
      <c r="A1328" s="62">
        <v>2024</v>
      </c>
      <c r="B1328" s="62">
        <v>6</v>
      </c>
      <c r="C1328" s="62" t="s">
        <v>5</v>
      </c>
      <c r="D1328" s="62" t="s">
        <v>3</v>
      </c>
      <c r="E1328" s="62">
        <v>156.126</v>
      </c>
      <c r="F1328" s="62">
        <v>38.5525</v>
      </c>
      <c r="I1328" s="62">
        <v>2016</v>
      </c>
      <c r="J1328" s="62">
        <v>3</v>
      </c>
      <c r="K1328" s="62" t="s">
        <v>17</v>
      </c>
      <c r="L1328" s="62" t="s">
        <v>3</v>
      </c>
      <c r="M1328" s="62">
        <v>172.176</v>
      </c>
      <c r="N1328" s="62">
        <v>0</v>
      </c>
    </row>
    <row r="1329" spans="1:14">
      <c r="A1329" s="62">
        <v>2024</v>
      </c>
      <c r="B1329" s="62">
        <v>7</v>
      </c>
      <c r="C1329" s="62" t="s">
        <v>5</v>
      </c>
      <c r="D1329" s="62" t="s">
        <v>3</v>
      </c>
      <c r="E1329" s="62">
        <v>588.2555</v>
      </c>
      <c r="F1329" s="62">
        <v>128.342025</v>
      </c>
      <c r="I1329" s="62">
        <v>2016</v>
      </c>
      <c r="J1329" s="62">
        <v>4</v>
      </c>
      <c r="K1329" s="62" t="s">
        <v>17</v>
      </c>
      <c r="L1329" s="62" t="s">
        <v>3</v>
      </c>
      <c r="M1329" s="62">
        <v>176.585</v>
      </c>
      <c r="N1329" s="62">
        <v>0</v>
      </c>
    </row>
    <row r="1330" spans="1:14">
      <c r="A1330" s="62">
        <v>2024</v>
      </c>
      <c r="B1330" s="62">
        <v>8</v>
      </c>
      <c r="C1330" s="62" t="s">
        <v>5</v>
      </c>
      <c r="D1330" s="62" t="s">
        <v>3</v>
      </c>
      <c r="E1330" s="62">
        <v>492.191</v>
      </c>
      <c r="F1330" s="62">
        <v>123.3835</v>
      </c>
      <c r="I1330" s="62">
        <v>2016</v>
      </c>
      <c r="J1330" s="62">
        <v>5</v>
      </c>
      <c r="K1330" s="62" t="s">
        <v>17</v>
      </c>
      <c r="L1330" s="62" t="s">
        <v>3</v>
      </c>
      <c r="M1330" s="62">
        <v>121.008</v>
      </c>
      <c r="N1330" s="62">
        <v>0</v>
      </c>
    </row>
    <row r="1331" spans="1:14">
      <c r="A1331" s="62">
        <v>2024</v>
      </c>
      <c r="B1331" s="62">
        <v>9</v>
      </c>
      <c r="C1331" s="62" t="s">
        <v>5</v>
      </c>
      <c r="D1331" s="62" t="s">
        <v>3</v>
      </c>
      <c r="E1331" s="62">
        <v>390.1764</v>
      </c>
      <c r="F1331" s="62">
        <v>104.3892825</v>
      </c>
      <c r="I1331" s="62">
        <v>2016</v>
      </c>
      <c r="J1331" s="62">
        <v>6</v>
      </c>
      <c r="K1331" s="62" t="s">
        <v>17</v>
      </c>
      <c r="L1331" s="62" t="s">
        <v>3</v>
      </c>
      <c r="M1331" s="62">
        <v>48.74</v>
      </c>
      <c r="N1331" s="62">
        <v>0</v>
      </c>
    </row>
    <row r="1332" spans="1:14">
      <c r="A1332" s="62">
        <v>2024</v>
      </c>
      <c r="B1332" s="62">
        <v>10</v>
      </c>
      <c r="C1332" s="62" t="s">
        <v>5</v>
      </c>
      <c r="D1332" s="62" t="s">
        <v>3</v>
      </c>
      <c r="E1332" s="62">
        <v>501.036</v>
      </c>
      <c r="F1332" s="62">
        <v>144.9687</v>
      </c>
      <c r="I1332" s="62">
        <v>2016</v>
      </c>
      <c r="J1332" s="62">
        <v>7</v>
      </c>
      <c r="K1332" s="62" t="s">
        <v>17</v>
      </c>
      <c r="L1332" s="62" t="s">
        <v>3</v>
      </c>
      <c r="M1332" s="62">
        <v>47.62</v>
      </c>
      <c r="N1332" s="62">
        <v>0</v>
      </c>
    </row>
    <row r="1333" spans="1:14">
      <c r="A1333" s="62">
        <v>2024</v>
      </c>
      <c r="B1333" s="62">
        <v>11</v>
      </c>
      <c r="C1333" s="62" t="s">
        <v>5</v>
      </c>
      <c r="D1333" s="62" t="s">
        <v>3</v>
      </c>
      <c r="E1333" s="62">
        <v>209.793</v>
      </c>
      <c r="F1333" s="62">
        <v>48.931325</v>
      </c>
      <c r="I1333" s="62">
        <v>2016</v>
      </c>
      <c r="J1333" s="62">
        <v>8</v>
      </c>
      <c r="K1333" s="62" t="s">
        <v>17</v>
      </c>
      <c r="L1333" s="62" t="s">
        <v>3</v>
      </c>
      <c r="M1333" s="62">
        <v>98.91200000000001</v>
      </c>
      <c r="N1333" s="62">
        <v>0</v>
      </c>
    </row>
    <row r="1334" spans="1:14">
      <c r="A1334" s="62">
        <v>2024</v>
      </c>
      <c r="B1334" s="62">
        <v>12</v>
      </c>
      <c r="C1334" s="62" t="s">
        <v>5</v>
      </c>
      <c r="D1334" s="62" t="s">
        <v>3</v>
      </c>
      <c r="E1334" s="62">
        <v>41.1286</v>
      </c>
      <c r="F1334" s="62">
        <v>3.428855</v>
      </c>
      <c r="I1334" s="62">
        <v>2016</v>
      </c>
      <c r="J1334" s="62">
        <v>9</v>
      </c>
      <c r="K1334" s="62" t="s">
        <v>17</v>
      </c>
      <c r="L1334" s="62" t="s">
        <v>3</v>
      </c>
      <c r="M1334" s="62">
        <v>211.351</v>
      </c>
      <c r="N1334" s="62">
        <v>0</v>
      </c>
    </row>
    <row r="1335" spans="1:14">
      <c r="A1335" s="62">
        <v>2025</v>
      </c>
      <c r="B1335" s="62">
        <v>1</v>
      </c>
      <c r="C1335" s="62" t="s">
        <v>5</v>
      </c>
      <c r="D1335" s="62" t="s">
        <v>3</v>
      </c>
      <c r="E1335" s="62">
        <v>60.6495</v>
      </c>
      <c r="F1335" s="62">
        <v>19.761125</v>
      </c>
      <c r="I1335" s="62">
        <v>2016</v>
      </c>
      <c r="J1335" s="62">
        <v>10</v>
      </c>
      <c r="K1335" s="62" t="s">
        <v>17</v>
      </c>
      <c r="L1335" s="62" t="s">
        <v>3</v>
      </c>
      <c r="M1335" s="62">
        <v>238.279</v>
      </c>
      <c r="N1335" s="62">
        <v>0</v>
      </c>
    </row>
    <row r="1336" spans="1:14">
      <c r="A1336" s="62">
        <v>2025</v>
      </c>
      <c r="B1336" s="62">
        <v>2</v>
      </c>
      <c r="C1336" s="62" t="s">
        <v>5</v>
      </c>
      <c r="D1336" s="62" t="s">
        <v>3</v>
      </c>
      <c r="E1336" s="62">
        <v>107.7075</v>
      </c>
      <c r="F1336" s="62">
        <v>39.08575</v>
      </c>
      <c r="I1336" s="62">
        <v>2016</v>
      </c>
      <c r="J1336" s="62">
        <v>11</v>
      </c>
      <c r="K1336" s="62" t="s">
        <v>17</v>
      </c>
      <c r="L1336" s="62" t="s">
        <v>3</v>
      </c>
      <c r="M1336" s="62">
        <v>185.175</v>
      </c>
      <c r="N1336" s="62">
        <v>0</v>
      </c>
    </row>
    <row r="1337" spans="1:14">
      <c r="A1337" s="62">
        <v>2025</v>
      </c>
      <c r="B1337" s="62">
        <v>3</v>
      </c>
      <c r="C1337" s="62" t="s">
        <v>5</v>
      </c>
      <c r="D1337" s="62" t="s">
        <v>3</v>
      </c>
      <c r="E1337" s="62">
        <v>220.215</v>
      </c>
      <c r="F1337" s="62">
        <v>67.5885</v>
      </c>
      <c r="I1337" s="62">
        <v>2016</v>
      </c>
      <c r="J1337" s="62">
        <v>12</v>
      </c>
      <c r="K1337" s="62" t="s">
        <v>17</v>
      </c>
      <c r="L1337" s="62" t="s">
        <v>3</v>
      </c>
      <c r="M1337" s="62">
        <v>186.9379</v>
      </c>
      <c r="N1337" s="62">
        <v>0</v>
      </c>
    </row>
    <row r="1338" spans="1:14">
      <c r="A1338" s="62">
        <v>2025</v>
      </c>
      <c r="B1338" s="62">
        <v>4</v>
      </c>
      <c r="C1338" s="62" t="s">
        <v>5</v>
      </c>
      <c r="D1338" s="62" t="s">
        <v>3</v>
      </c>
      <c r="E1338" s="62">
        <v>504.1745</v>
      </c>
      <c r="F1338" s="62">
        <v>105.925225</v>
      </c>
      <c r="I1338" s="62">
        <v>2017</v>
      </c>
      <c r="J1338" s="62">
        <v>1</v>
      </c>
      <c r="K1338" s="62" t="s">
        <v>17</v>
      </c>
      <c r="L1338" s="62" t="s">
        <v>3</v>
      </c>
      <c r="M1338" s="62">
        <v>211.5062</v>
      </c>
      <c r="N1338" s="62">
        <v>0</v>
      </c>
    </row>
    <row r="1339" spans="1:14">
      <c r="A1339" s="62">
        <v>2025</v>
      </c>
      <c r="B1339" s="62">
        <v>5</v>
      </c>
      <c r="C1339" s="62" t="s">
        <v>5</v>
      </c>
      <c r="D1339" s="62" t="s">
        <v>3</v>
      </c>
      <c r="E1339" s="62">
        <v>384.0166</v>
      </c>
      <c r="F1339" s="62">
        <v>93.83110499999999</v>
      </c>
      <c r="I1339" s="62">
        <v>2017</v>
      </c>
      <c r="J1339" s="62">
        <v>2</v>
      </c>
      <c r="K1339" s="62" t="s">
        <v>17</v>
      </c>
      <c r="L1339" s="62" t="s">
        <v>3</v>
      </c>
      <c r="M1339" s="62">
        <v>281.894</v>
      </c>
      <c r="N1339" s="62">
        <v>0</v>
      </c>
    </row>
    <row r="1340" spans="1:14">
      <c r="A1340" s="62">
        <v>2025</v>
      </c>
      <c r="B1340" s="62">
        <v>6</v>
      </c>
      <c r="C1340" s="62" t="s">
        <v>5</v>
      </c>
      <c r="D1340" s="62" t="s">
        <v>3</v>
      </c>
      <c r="E1340" s="62">
        <v>145.0685</v>
      </c>
      <c r="F1340" s="62">
        <v>27.584625</v>
      </c>
      <c r="I1340" s="62">
        <v>2017</v>
      </c>
      <c r="J1340" s="62">
        <v>3</v>
      </c>
      <c r="K1340" s="62" t="s">
        <v>17</v>
      </c>
      <c r="L1340" s="62" t="s">
        <v>3</v>
      </c>
      <c r="M1340" s="62">
        <v>239.2365</v>
      </c>
      <c r="N1340" s="62">
        <v>0</v>
      </c>
    </row>
    <row r="1341" spans="1:14">
      <c r="A1341" s="62">
        <v>2025</v>
      </c>
      <c r="B1341" s="62">
        <v>7</v>
      </c>
      <c r="C1341" s="62" t="s">
        <v>5</v>
      </c>
      <c r="D1341" s="62" t="s">
        <v>3</v>
      </c>
      <c r="E1341" s="62">
        <v>76.54600000000001</v>
      </c>
      <c r="F1341" s="62">
        <v>16.126975</v>
      </c>
      <c r="I1341" s="62">
        <v>2017</v>
      </c>
      <c r="J1341" s="62">
        <v>4</v>
      </c>
      <c r="K1341" s="62" t="s">
        <v>17</v>
      </c>
      <c r="L1341" s="62" t="s">
        <v>3</v>
      </c>
      <c r="M1341" s="62">
        <v>70.685</v>
      </c>
      <c r="N1341" s="62">
        <v>0</v>
      </c>
    </row>
    <row r="1342" spans="1:14">
      <c r="A1342" s="62">
        <v>2025</v>
      </c>
      <c r="B1342" s="62">
        <v>8</v>
      </c>
      <c r="C1342" s="62" t="s">
        <v>5</v>
      </c>
      <c r="D1342" s="62" t="s">
        <v>3</v>
      </c>
      <c r="E1342" s="62">
        <v>274.7235</v>
      </c>
      <c r="F1342" s="62">
        <v>46.3077625</v>
      </c>
      <c r="I1342" s="62">
        <v>2017</v>
      </c>
      <c r="J1342" s="62">
        <v>5</v>
      </c>
      <c r="K1342" s="62" t="s">
        <v>17</v>
      </c>
      <c r="L1342" s="62" t="s">
        <v>3</v>
      </c>
      <c r="M1342" s="62">
        <v>78.94499999999999</v>
      </c>
      <c r="N1342" s="62">
        <v>0</v>
      </c>
    </row>
    <row r="1343" spans="1:14">
      <c r="A1343" s="62">
        <v>2025</v>
      </c>
      <c r="B1343" s="62">
        <v>9</v>
      </c>
      <c r="C1343" s="62" t="s">
        <v>5</v>
      </c>
      <c r="D1343" s="62" t="s">
        <v>3</v>
      </c>
      <c r="E1343" s="62">
        <v>230.4445</v>
      </c>
      <c r="F1343" s="62">
        <v>42.2632</v>
      </c>
      <c r="I1343" s="62">
        <v>2017</v>
      </c>
      <c r="J1343" s="62">
        <v>6</v>
      </c>
      <c r="K1343" s="62" t="s">
        <v>17</v>
      </c>
      <c r="L1343" s="62" t="s">
        <v>3</v>
      </c>
      <c r="M1343" s="62">
        <v>48.48</v>
      </c>
      <c r="N1343" s="62">
        <v>0</v>
      </c>
    </row>
    <row r="1344" spans="1:14">
      <c r="A1344" s="62">
        <v>2025</v>
      </c>
      <c r="B1344" s="62">
        <v>10</v>
      </c>
      <c r="C1344" s="62" t="s">
        <v>5</v>
      </c>
      <c r="D1344" s="62" t="s">
        <v>3</v>
      </c>
      <c r="E1344" s="62">
        <v>572.7849</v>
      </c>
      <c r="F1344" s="62">
        <v>116.8158075</v>
      </c>
      <c r="I1344" s="62">
        <v>2017</v>
      </c>
      <c r="J1344" s="62">
        <v>7</v>
      </c>
      <c r="K1344" s="62" t="s">
        <v>17</v>
      </c>
      <c r="L1344" s="62" t="s">
        <v>3</v>
      </c>
      <c r="M1344" s="62">
        <v>76.0609</v>
      </c>
      <c r="N1344" s="62">
        <v>0</v>
      </c>
    </row>
    <row r="1345" spans="1:14">
      <c r="A1345" s="62">
        <v>2025</v>
      </c>
      <c r="B1345" s="62">
        <v>11</v>
      </c>
      <c r="C1345" s="62" t="s">
        <v>5</v>
      </c>
      <c r="D1345" s="62" t="s">
        <v>3</v>
      </c>
      <c r="E1345" s="62">
        <v>131.4681</v>
      </c>
      <c r="F1345" s="62">
        <v>24.63273</v>
      </c>
      <c r="I1345" s="62">
        <v>2017</v>
      </c>
      <c r="J1345" s="62">
        <v>8</v>
      </c>
      <c r="K1345" s="62" t="s">
        <v>17</v>
      </c>
      <c r="L1345" s="62" t="s">
        <v>3</v>
      </c>
      <c r="M1345" s="62">
        <v>709.3699</v>
      </c>
      <c r="N1345" s="62">
        <v>0</v>
      </c>
    </row>
    <row r="1346" spans="1:14">
      <c r="A1346" s="62">
        <v>2025</v>
      </c>
      <c r="B1346" s="62">
        <v>12</v>
      </c>
      <c r="C1346" s="62" t="s">
        <v>5</v>
      </c>
      <c r="D1346" s="62" t="s">
        <v>3</v>
      </c>
      <c r="E1346" s="62">
        <v>129.87</v>
      </c>
      <c r="F1346" s="62">
        <v>15.9435</v>
      </c>
      <c r="I1346" s="62">
        <v>2017</v>
      </c>
      <c r="J1346" s="62">
        <v>9</v>
      </c>
      <c r="K1346" s="62" t="s">
        <v>17</v>
      </c>
      <c r="L1346" s="62" t="s">
        <v>3</v>
      </c>
      <c r="M1346" s="62">
        <v>2239.275</v>
      </c>
      <c r="N1346" s="62">
        <v>0</v>
      </c>
    </row>
    <row r="1347" spans="1:14">
      <c r="A1347" s="62">
        <v>2026</v>
      </c>
      <c r="B1347" s="62">
        <v>1</v>
      </c>
      <c r="C1347" s="62" t="s">
        <v>5</v>
      </c>
      <c r="D1347" s="62" t="s">
        <v>3</v>
      </c>
      <c r="E1347" s="62">
        <v>161.3505</v>
      </c>
      <c r="F1347" s="62">
        <v>31.452975</v>
      </c>
      <c r="I1347" s="62">
        <v>2017</v>
      </c>
      <c r="J1347" s="62">
        <v>10</v>
      </c>
      <c r="K1347" s="62" t="s">
        <v>17</v>
      </c>
      <c r="L1347" s="62" t="s">
        <v>3</v>
      </c>
      <c r="M1347" s="62">
        <v>344.1386</v>
      </c>
      <c r="N1347" s="62">
        <v>0</v>
      </c>
    </row>
    <row r="1348" spans="1:14">
      <c r="A1348" s="62">
        <v>2026</v>
      </c>
      <c r="B1348" s="62">
        <v>2</v>
      </c>
      <c r="C1348" s="62" t="s">
        <v>5</v>
      </c>
      <c r="D1348" s="62" t="s">
        <v>3</v>
      </c>
      <c r="E1348" s="62">
        <v>568.1735</v>
      </c>
      <c r="F1348" s="62">
        <v>127.483625</v>
      </c>
      <c r="I1348" s="62">
        <v>2017</v>
      </c>
      <c r="J1348" s="62">
        <v>11</v>
      </c>
      <c r="K1348" s="62" t="s">
        <v>17</v>
      </c>
      <c r="L1348" s="62" t="s">
        <v>3</v>
      </c>
      <c r="M1348" s="62">
        <v>39.42</v>
      </c>
      <c r="N1348" s="62">
        <v>0</v>
      </c>
    </row>
    <row r="1349" spans="1:14">
      <c r="A1349" s="62">
        <v>2026</v>
      </c>
      <c r="B1349" s="62">
        <v>3</v>
      </c>
      <c r="C1349" s="62" t="s">
        <v>5</v>
      </c>
      <c r="D1349" s="62" t="s">
        <v>3</v>
      </c>
      <c r="E1349" s="62">
        <v>119.4167</v>
      </c>
      <c r="F1349" s="62">
        <v>25.5345475</v>
      </c>
      <c r="I1349" s="62">
        <v>2017</v>
      </c>
      <c r="J1349" s="62">
        <v>12</v>
      </c>
      <c r="K1349" s="62" t="s">
        <v>17</v>
      </c>
      <c r="L1349" s="62" t="s">
        <v>3</v>
      </c>
      <c r="M1349" s="62">
        <v>14.66</v>
      </c>
      <c r="N1349" s="62">
        <v>0</v>
      </c>
    </row>
    <row r="1350" spans="1:14">
      <c r="A1350" s="62">
        <v>2026</v>
      </c>
      <c r="B1350" s="62">
        <v>4</v>
      </c>
      <c r="C1350" s="62" t="s">
        <v>5</v>
      </c>
      <c r="D1350" s="62" t="s">
        <v>3</v>
      </c>
      <c r="E1350" s="62">
        <v>287.843</v>
      </c>
      <c r="F1350" s="62">
        <v>58.6618</v>
      </c>
      <c r="I1350" s="62">
        <v>2018</v>
      </c>
      <c r="J1350" s="62">
        <v>1</v>
      </c>
      <c r="K1350" s="62" t="s">
        <v>17</v>
      </c>
      <c r="L1350" s="62" t="s">
        <v>3</v>
      </c>
      <c r="M1350" s="62">
        <v>84.64999999999999</v>
      </c>
      <c r="N1350" s="62">
        <v>0</v>
      </c>
    </row>
    <row r="1351" spans="1:14">
      <c r="A1351" s="62">
        <v>2026</v>
      </c>
      <c r="B1351" s="62">
        <v>5</v>
      </c>
      <c r="C1351" s="62" t="s">
        <v>5</v>
      </c>
      <c r="D1351" s="62" t="s">
        <v>3</v>
      </c>
      <c r="E1351" s="62">
        <v>375.833</v>
      </c>
      <c r="F1351" s="62">
        <v>138.7676</v>
      </c>
      <c r="I1351" s="62">
        <v>2018</v>
      </c>
      <c r="J1351" s="62">
        <v>2</v>
      </c>
      <c r="K1351" s="62" t="s">
        <v>17</v>
      </c>
      <c r="L1351" s="62" t="s">
        <v>3</v>
      </c>
      <c r="M1351" s="62">
        <v>297.236</v>
      </c>
      <c r="N1351" s="62">
        <v>0</v>
      </c>
    </row>
    <row r="1352" spans="1:14">
      <c r="A1352" s="62">
        <v>2026</v>
      </c>
      <c r="B1352" s="62">
        <v>6</v>
      </c>
      <c r="C1352" s="62" t="s">
        <v>5</v>
      </c>
      <c r="D1352" s="62" t="s">
        <v>3</v>
      </c>
      <c r="E1352" s="62">
        <v>163.075</v>
      </c>
      <c r="F1352" s="62">
        <v>62.718</v>
      </c>
      <c r="I1352" s="62">
        <v>2018</v>
      </c>
      <c r="J1352" s="62">
        <v>3</v>
      </c>
      <c r="K1352" s="62" t="s">
        <v>17</v>
      </c>
      <c r="L1352" s="62" t="s">
        <v>3</v>
      </c>
      <c r="M1352" s="62">
        <v>216.779</v>
      </c>
      <c r="N1352" s="62">
        <v>0</v>
      </c>
    </row>
    <row r="1353" spans="1:14">
      <c r="A1353" s="62">
        <v>2026</v>
      </c>
      <c r="B1353" s="62">
        <v>7</v>
      </c>
      <c r="C1353" s="62" t="s">
        <v>5</v>
      </c>
      <c r="D1353" s="62" t="s">
        <v>3</v>
      </c>
      <c r="E1353" s="62">
        <v>13.715</v>
      </c>
      <c r="F1353" s="62">
        <v>4.63975</v>
      </c>
      <c r="I1353" s="62">
        <v>2018</v>
      </c>
      <c r="J1353" s="62">
        <v>4</v>
      </c>
      <c r="K1353" s="62" t="s">
        <v>17</v>
      </c>
      <c r="L1353" s="62" t="s">
        <v>3</v>
      </c>
      <c r="M1353" s="62">
        <v>223.346</v>
      </c>
      <c r="N1353" s="62">
        <v>0</v>
      </c>
    </row>
    <row r="1354" spans="1:14">
      <c r="A1354" s="62">
        <v>2014</v>
      </c>
      <c r="B1354" s="62">
        <v>1</v>
      </c>
      <c r="C1354" s="62" t="s">
        <v>6</v>
      </c>
      <c r="D1354" s="62" t="s">
        <v>1</v>
      </c>
      <c r="E1354" s="62">
        <v>1471.9496</v>
      </c>
      <c r="F1354" s="62">
        <v>341.067705</v>
      </c>
      <c r="I1354" s="62">
        <v>2018</v>
      </c>
      <c r="J1354" s="62">
        <v>5</v>
      </c>
      <c r="K1354" s="62" t="s">
        <v>17</v>
      </c>
      <c r="L1354" s="62" t="s">
        <v>3</v>
      </c>
      <c r="M1354" s="62">
        <v>137.964</v>
      </c>
      <c r="N1354" s="62">
        <v>0</v>
      </c>
    </row>
    <row r="1355" spans="1:14">
      <c r="A1355" s="62">
        <v>2014</v>
      </c>
      <c r="B1355" s="62">
        <v>2</v>
      </c>
      <c r="C1355" s="62" t="s">
        <v>6</v>
      </c>
      <c r="D1355" s="62" t="s">
        <v>1</v>
      </c>
      <c r="E1355" s="62">
        <v>2668.2874</v>
      </c>
      <c r="F1355" s="62">
        <v>575.289845</v>
      </c>
      <c r="I1355" s="62">
        <v>2018</v>
      </c>
      <c r="J1355" s="62">
        <v>6</v>
      </c>
      <c r="K1355" s="62" t="s">
        <v>17</v>
      </c>
      <c r="L1355" s="62" t="s">
        <v>3</v>
      </c>
      <c r="M1355" s="62">
        <v>121.935</v>
      </c>
      <c r="N1355" s="62">
        <v>0</v>
      </c>
    </row>
    <row r="1356" spans="1:14">
      <c r="A1356" s="62">
        <v>2014</v>
      </c>
      <c r="B1356" s="62">
        <v>3</v>
      </c>
      <c r="C1356" s="62" t="s">
        <v>6</v>
      </c>
      <c r="D1356" s="62" t="s">
        <v>1</v>
      </c>
      <c r="E1356" s="62">
        <v>2382.484</v>
      </c>
      <c r="F1356" s="62">
        <v>527.87325</v>
      </c>
      <c r="I1356" s="62">
        <v>2018</v>
      </c>
      <c r="J1356" s="62">
        <v>7</v>
      </c>
      <c r="K1356" s="62" t="s">
        <v>17</v>
      </c>
      <c r="L1356" s="62" t="s">
        <v>3</v>
      </c>
      <c r="M1356" s="62">
        <v>299.587</v>
      </c>
      <c r="N1356" s="62">
        <v>0</v>
      </c>
    </row>
    <row r="1357" spans="1:14">
      <c r="A1357" s="62">
        <v>2014</v>
      </c>
      <c r="B1357" s="62">
        <v>4</v>
      </c>
      <c r="C1357" s="62" t="s">
        <v>6</v>
      </c>
      <c r="D1357" s="62" t="s">
        <v>1</v>
      </c>
      <c r="E1357" s="62">
        <v>1503.0659</v>
      </c>
      <c r="F1357" s="62">
        <v>325.1664575</v>
      </c>
      <c r="I1357" s="62">
        <v>2018</v>
      </c>
      <c r="J1357" s="62">
        <v>8</v>
      </c>
      <c r="K1357" s="62" t="s">
        <v>17</v>
      </c>
      <c r="L1357" s="62" t="s">
        <v>3</v>
      </c>
      <c r="M1357" s="62">
        <v>238.78</v>
      </c>
      <c r="N1357" s="62">
        <v>0</v>
      </c>
    </row>
    <row r="1358" spans="1:14">
      <c r="A1358" s="62">
        <v>2014</v>
      </c>
      <c r="B1358" s="62">
        <v>5</v>
      </c>
      <c r="C1358" s="62" t="s">
        <v>6</v>
      </c>
      <c r="D1358" s="62" t="s">
        <v>1</v>
      </c>
      <c r="E1358" s="62">
        <v>1759.5833</v>
      </c>
      <c r="F1358" s="62">
        <v>337.34164</v>
      </c>
      <c r="I1358" s="62">
        <v>2018</v>
      </c>
      <c r="J1358" s="62">
        <v>9</v>
      </c>
      <c r="K1358" s="62" t="s">
        <v>17</v>
      </c>
      <c r="L1358" s="62" t="s">
        <v>3</v>
      </c>
      <c r="M1358" s="62">
        <v>394.694</v>
      </c>
      <c r="N1358" s="62">
        <v>0</v>
      </c>
    </row>
    <row r="1359" spans="1:14">
      <c r="A1359" s="62">
        <v>2014</v>
      </c>
      <c r="B1359" s="62">
        <v>6</v>
      </c>
      <c r="C1359" s="62" t="s">
        <v>6</v>
      </c>
      <c r="D1359" s="62" t="s">
        <v>1</v>
      </c>
      <c r="E1359" s="62">
        <v>1773.5285</v>
      </c>
      <c r="F1359" s="62">
        <v>397.8594</v>
      </c>
      <c r="I1359" s="62">
        <v>2018</v>
      </c>
      <c r="J1359" s="62">
        <v>10</v>
      </c>
      <c r="K1359" s="62" t="s">
        <v>17</v>
      </c>
      <c r="L1359" s="62" t="s">
        <v>3</v>
      </c>
      <c r="M1359" s="62">
        <v>189.478</v>
      </c>
      <c r="N1359" s="62">
        <v>0</v>
      </c>
    </row>
    <row r="1360" spans="1:14">
      <c r="A1360" s="62">
        <v>2014</v>
      </c>
      <c r="B1360" s="62">
        <v>7</v>
      </c>
      <c r="C1360" s="62" t="s">
        <v>6</v>
      </c>
      <c r="D1360" s="62" t="s">
        <v>1</v>
      </c>
      <c r="E1360" s="62">
        <v>825.689</v>
      </c>
      <c r="F1360" s="62">
        <v>212.577925</v>
      </c>
      <c r="I1360" s="62">
        <v>2018</v>
      </c>
      <c r="J1360" s="62">
        <v>11</v>
      </c>
      <c r="K1360" s="62" t="s">
        <v>17</v>
      </c>
      <c r="L1360" s="62" t="s">
        <v>3</v>
      </c>
      <c r="M1360" s="62">
        <v>74.97</v>
      </c>
      <c r="N1360" s="62">
        <v>0</v>
      </c>
    </row>
    <row r="1361" spans="1:14">
      <c r="A1361" s="62">
        <v>2014</v>
      </c>
      <c r="B1361" s="62">
        <v>8</v>
      </c>
      <c r="C1361" s="62" t="s">
        <v>6</v>
      </c>
      <c r="D1361" s="62" t="s">
        <v>1</v>
      </c>
      <c r="E1361" s="62">
        <v>761.7744</v>
      </c>
      <c r="F1361" s="62">
        <v>228.505205</v>
      </c>
      <c r="I1361" s="62">
        <v>2018</v>
      </c>
      <c r="J1361" s="62">
        <v>12</v>
      </c>
      <c r="K1361" s="62" t="s">
        <v>17</v>
      </c>
      <c r="L1361" s="62" t="s">
        <v>3</v>
      </c>
      <c r="M1361" s="62">
        <v>107.89</v>
      </c>
      <c r="N1361" s="62">
        <v>0</v>
      </c>
    </row>
    <row r="1362" spans="1:14">
      <c r="A1362" s="62">
        <v>2014</v>
      </c>
      <c r="B1362" s="62">
        <v>9</v>
      </c>
      <c r="C1362" s="62" t="s">
        <v>6</v>
      </c>
      <c r="D1362" s="62" t="s">
        <v>1</v>
      </c>
      <c r="E1362" s="62">
        <v>1800.6711</v>
      </c>
      <c r="F1362" s="62">
        <v>578.189995</v>
      </c>
      <c r="I1362" s="62">
        <v>2019</v>
      </c>
      <c r="J1362" s="62">
        <v>1</v>
      </c>
      <c r="K1362" s="62" t="s">
        <v>17</v>
      </c>
      <c r="L1362" s="62" t="s">
        <v>3</v>
      </c>
      <c r="M1362" s="62">
        <v>132.256</v>
      </c>
      <c r="N1362" s="62">
        <v>0</v>
      </c>
    </row>
    <row r="1363" spans="1:14">
      <c r="A1363" s="62">
        <v>2014</v>
      </c>
      <c r="B1363" s="62">
        <v>10</v>
      </c>
      <c r="C1363" s="62" t="s">
        <v>6</v>
      </c>
      <c r="D1363" s="62" t="s">
        <v>1</v>
      </c>
      <c r="E1363" s="62">
        <v>2798.129</v>
      </c>
      <c r="F1363" s="62">
        <v>745.77345</v>
      </c>
      <c r="I1363" s="62">
        <v>2019</v>
      </c>
      <c r="J1363" s="62">
        <v>2</v>
      </c>
      <c r="K1363" s="62" t="s">
        <v>17</v>
      </c>
      <c r="L1363" s="62" t="s">
        <v>3</v>
      </c>
      <c r="M1363" s="62">
        <v>244.7096</v>
      </c>
      <c r="N1363" s="62">
        <v>0</v>
      </c>
    </row>
    <row r="1364" spans="1:14">
      <c r="A1364" s="62">
        <v>2014</v>
      </c>
      <c r="B1364" s="62">
        <v>11</v>
      </c>
      <c r="C1364" s="62" t="s">
        <v>6</v>
      </c>
      <c r="D1364" s="62" t="s">
        <v>1</v>
      </c>
      <c r="E1364" s="62">
        <v>1136.2993</v>
      </c>
      <c r="F1364" s="62">
        <v>245.09813</v>
      </c>
      <c r="I1364" s="62">
        <v>2019</v>
      </c>
      <c r="J1364" s="62">
        <v>3</v>
      </c>
      <c r="K1364" s="62" t="s">
        <v>17</v>
      </c>
      <c r="L1364" s="62" t="s">
        <v>3</v>
      </c>
      <c r="M1364" s="62">
        <v>254.402</v>
      </c>
      <c r="N1364" s="62">
        <v>0</v>
      </c>
    </row>
    <row r="1365" spans="1:14">
      <c r="A1365" s="62">
        <v>2014</v>
      </c>
      <c r="B1365" s="62">
        <v>12</v>
      </c>
      <c r="C1365" s="62" t="s">
        <v>6</v>
      </c>
      <c r="D1365" s="62" t="s">
        <v>1</v>
      </c>
      <c r="E1365" s="62">
        <v>470.048</v>
      </c>
      <c r="F1365" s="62">
        <v>123.467125</v>
      </c>
      <c r="I1365" s="62">
        <v>2019</v>
      </c>
      <c r="J1365" s="62">
        <v>4</v>
      </c>
      <c r="K1365" s="62" t="s">
        <v>17</v>
      </c>
      <c r="L1365" s="62" t="s">
        <v>3</v>
      </c>
      <c r="M1365" s="62">
        <v>577.603</v>
      </c>
      <c r="N1365" s="62">
        <v>0</v>
      </c>
    </row>
    <row r="1366" spans="1:14">
      <c r="A1366" s="62">
        <v>2015</v>
      </c>
      <c r="B1366" s="62">
        <v>1</v>
      </c>
      <c r="C1366" s="62" t="s">
        <v>6</v>
      </c>
      <c r="D1366" s="62" t="s">
        <v>1</v>
      </c>
      <c r="E1366" s="62">
        <v>1795.273</v>
      </c>
      <c r="F1366" s="62">
        <v>439.633625</v>
      </c>
      <c r="I1366" s="62">
        <v>2019</v>
      </c>
      <c r="J1366" s="62">
        <v>5</v>
      </c>
      <c r="K1366" s="62" t="s">
        <v>17</v>
      </c>
      <c r="L1366" s="62" t="s">
        <v>3</v>
      </c>
      <c r="M1366" s="62">
        <v>376.989</v>
      </c>
      <c r="N1366" s="62">
        <v>0</v>
      </c>
    </row>
    <row r="1367" spans="1:14">
      <c r="A1367" s="62">
        <v>2015</v>
      </c>
      <c r="B1367" s="62">
        <v>2</v>
      </c>
      <c r="C1367" s="62" t="s">
        <v>6</v>
      </c>
      <c r="D1367" s="62" t="s">
        <v>1</v>
      </c>
      <c r="E1367" s="62">
        <v>2389.6405</v>
      </c>
      <c r="F1367" s="62">
        <v>645.198025</v>
      </c>
      <c r="I1367" s="62">
        <v>2019</v>
      </c>
      <c r="J1367" s="62">
        <v>6</v>
      </c>
      <c r="K1367" s="62" t="s">
        <v>17</v>
      </c>
      <c r="L1367" s="62" t="s">
        <v>3</v>
      </c>
      <c r="M1367" s="62">
        <v>341.595</v>
      </c>
      <c r="N1367" s="62">
        <v>0</v>
      </c>
    </row>
    <row r="1368" spans="1:14">
      <c r="A1368" s="62">
        <v>2015</v>
      </c>
      <c r="B1368" s="62">
        <v>3</v>
      </c>
      <c r="C1368" s="62" t="s">
        <v>6</v>
      </c>
      <c r="D1368" s="62" t="s">
        <v>1</v>
      </c>
      <c r="E1368" s="62">
        <v>2497.064</v>
      </c>
      <c r="F1368" s="62">
        <v>668.07215</v>
      </c>
      <c r="I1368" s="62">
        <v>2019</v>
      </c>
      <c r="J1368" s="62">
        <v>7</v>
      </c>
      <c r="K1368" s="62" t="s">
        <v>17</v>
      </c>
      <c r="L1368" s="62" t="s">
        <v>3</v>
      </c>
      <c r="M1368" s="62">
        <v>258.429</v>
      </c>
      <c r="N1368" s="62">
        <v>0</v>
      </c>
    </row>
    <row r="1369" spans="1:14">
      <c r="A1369" s="62">
        <v>2015</v>
      </c>
      <c r="B1369" s="62">
        <v>4</v>
      </c>
      <c r="C1369" s="62" t="s">
        <v>6</v>
      </c>
      <c r="D1369" s="62" t="s">
        <v>1</v>
      </c>
      <c r="E1369" s="62">
        <v>1221.898</v>
      </c>
      <c r="F1369" s="62">
        <v>324.2613</v>
      </c>
      <c r="I1369" s="62">
        <v>2019</v>
      </c>
      <c r="J1369" s="62">
        <v>8</v>
      </c>
      <c r="K1369" s="62" t="s">
        <v>17</v>
      </c>
      <c r="L1369" s="62" t="s">
        <v>3</v>
      </c>
      <c r="M1369" s="62">
        <v>98.22499999999999</v>
      </c>
      <c r="N1369" s="62">
        <v>0</v>
      </c>
    </row>
    <row r="1370" spans="1:14">
      <c r="A1370" s="62">
        <v>2015</v>
      </c>
      <c r="B1370" s="62">
        <v>5</v>
      </c>
      <c r="C1370" s="62" t="s">
        <v>6</v>
      </c>
      <c r="D1370" s="62" t="s">
        <v>1</v>
      </c>
      <c r="E1370" s="62">
        <v>948.2105</v>
      </c>
      <c r="F1370" s="62">
        <v>333.7781375</v>
      </c>
      <c r="I1370" s="62">
        <v>2019</v>
      </c>
      <c r="J1370" s="62">
        <v>9</v>
      </c>
      <c r="K1370" s="62" t="s">
        <v>17</v>
      </c>
      <c r="L1370" s="62" t="s">
        <v>3</v>
      </c>
      <c r="M1370" s="62">
        <v>275.082</v>
      </c>
      <c r="N1370" s="62">
        <v>0</v>
      </c>
    </row>
    <row r="1371" spans="1:14">
      <c r="A1371" s="62">
        <v>2015</v>
      </c>
      <c r="B1371" s="62">
        <v>6</v>
      </c>
      <c r="C1371" s="62" t="s">
        <v>6</v>
      </c>
      <c r="D1371" s="62" t="s">
        <v>1</v>
      </c>
      <c r="E1371" s="62">
        <v>980.9714</v>
      </c>
      <c r="F1371" s="62">
        <v>363.5282</v>
      </c>
      <c r="I1371" s="62">
        <v>2019</v>
      </c>
      <c r="J1371" s="62">
        <v>10</v>
      </c>
      <c r="K1371" s="62" t="s">
        <v>17</v>
      </c>
      <c r="L1371" s="62" t="s">
        <v>3</v>
      </c>
      <c r="M1371" s="62">
        <v>325.398</v>
      </c>
      <c r="N1371" s="62">
        <v>0</v>
      </c>
    </row>
    <row r="1372" spans="1:14">
      <c r="A1372" s="62">
        <v>2015</v>
      </c>
      <c r="B1372" s="62">
        <v>7</v>
      </c>
      <c r="C1372" s="62" t="s">
        <v>6</v>
      </c>
      <c r="D1372" s="62" t="s">
        <v>1</v>
      </c>
      <c r="E1372" s="62">
        <v>828.3344999999999</v>
      </c>
      <c r="F1372" s="62">
        <v>234.797335</v>
      </c>
      <c r="I1372" s="62">
        <v>2019</v>
      </c>
      <c r="J1372" s="62">
        <v>11</v>
      </c>
      <c r="K1372" s="62" t="s">
        <v>17</v>
      </c>
      <c r="L1372" s="62" t="s">
        <v>3</v>
      </c>
      <c r="M1372" s="62">
        <v>267.995</v>
      </c>
      <c r="N1372" s="62">
        <v>0</v>
      </c>
    </row>
    <row r="1373" spans="1:14">
      <c r="A1373" s="62">
        <v>2015</v>
      </c>
      <c r="B1373" s="62">
        <v>8</v>
      </c>
      <c r="C1373" s="62" t="s">
        <v>6</v>
      </c>
      <c r="D1373" s="62" t="s">
        <v>1</v>
      </c>
      <c r="E1373" s="62">
        <v>794.7795</v>
      </c>
      <c r="F1373" s="62">
        <v>162.9311875</v>
      </c>
      <c r="I1373" s="62">
        <v>2019</v>
      </c>
      <c r="J1373" s="62">
        <v>12</v>
      </c>
      <c r="K1373" s="62" t="s">
        <v>17</v>
      </c>
      <c r="L1373" s="62" t="s">
        <v>3</v>
      </c>
      <c r="M1373" s="62">
        <v>103.1092</v>
      </c>
      <c r="N1373" s="62">
        <v>0</v>
      </c>
    </row>
    <row r="1374" spans="1:14">
      <c r="A1374" s="62">
        <v>2015</v>
      </c>
      <c r="B1374" s="62">
        <v>9</v>
      </c>
      <c r="C1374" s="62" t="s">
        <v>6</v>
      </c>
      <c r="D1374" s="62" t="s">
        <v>1</v>
      </c>
      <c r="E1374" s="62">
        <v>1306.3772</v>
      </c>
      <c r="F1374" s="62">
        <v>389.5174175</v>
      </c>
      <c r="I1374" s="62">
        <v>2020</v>
      </c>
      <c r="J1374" s="62">
        <v>1</v>
      </c>
      <c r="K1374" s="62" t="s">
        <v>17</v>
      </c>
      <c r="L1374" s="62" t="s">
        <v>3</v>
      </c>
      <c r="M1374" s="62">
        <v>148.1122</v>
      </c>
      <c r="N1374" s="62">
        <v>0</v>
      </c>
    </row>
    <row r="1375" spans="1:14">
      <c r="A1375" s="62">
        <v>2015</v>
      </c>
      <c r="B1375" s="62">
        <v>10</v>
      </c>
      <c r="C1375" s="62" t="s">
        <v>6</v>
      </c>
      <c r="D1375" s="62" t="s">
        <v>1</v>
      </c>
      <c r="E1375" s="62">
        <v>1555.5905</v>
      </c>
      <c r="F1375" s="62">
        <v>465.3324875</v>
      </c>
      <c r="I1375" s="62">
        <v>2020</v>
      </c>
      <c r="J1375" s="62">
        <v>2</v>
      </c>
      <c r="K1375" s="62" t="s">
        <v>17</v>
      </c>
      <c r="L1375" s="62" t="s">
        <v>3</v>
      </c>
      <c r="M1375" s="62">
        <v>161.236</v>
      </c>
      <c r="N1375" s="62">
        <v>0</v>
      </c>
    </row>
    <row r="1376" spans="1:14">
      <c r="A1376" s="62">
        <v>2015</v>
      </c>
      <c r="B1376" s="62">
        <v>11</v>
      </c>
      <c r="C1376" s="62" t="s">
        <v>6</v>
      </c>
      <c r="D1376" s="62" t="s">
        <v>1</v>
      </c>
      <c r="E1376" s="62">
        <v>845.025</v>
      </c>
      <c r="F1376" s="62">
        <v>306.980225</v>
      </c>
      <c r="I1376" s="62">
        <v>2020</v>
      </c>
      <c r="J1376" s="62">
        <v>3</v>
      </c>
      <c r="K1376" s="62" t="s">
        <v>17</v>
      </c>
      <c r="L1376" s="62" t="s">
        <v>3</v>
      </c>
      <c r="M1376" s="62">
        <v>704.5821999999999</v>
      </c>
      <c r="N1376" s="62">
        <v>0</v>
      </c>
    </row>
    <row r="1377" spans="1:14">
      <c r="A1377" s="62">
        <v>2015</v>
      </c>
      <c r="B1377" s="62">
        <v>12</v>
      </c>
      <c r="C1377" s="62" t="s">
        <v>6</v>
      </c>
      <c r="D1377" s="62" t="s">
        <v>1</v>
      </c>
      <c r="E1377" s="62">
        <v>600.364</v>
      </c>
      <c r="F1377" s="62">
        <v>144.044925</v>
      </c>
      <c r="I1377" s="62">
        <v>2020</v>
      </c>
      <c r="J1377" s="62">
        <v>4</v>
      </c>
      <c r="K1377" s="62" t="s">
        <v>17</v>
      </c>
      <c r="L1377" s="62" t="s">
        <v>3</v>
      </c>
      <c r="M1377" s="62">
        <v>3507.4274</v>
      </c>
      <c r="N1377" s="62">
        <v>0</v>
      </c>
    </row>
    <row r="1378" spans="1:14">
      <c r="A1378" s="62">
        <v>2016</v>
      </c>
      <c r="B1378" s="62">
        <v>1</v>
      </c>
      <c r="C1378" s="62" t="s">
        <v>6</v>
      </c>
      <c r="D1378" s="62" t="s">
        <v>1</v>
      </c>
      <c r="E1378" s="62">
        <v>2116.96</v>
      </c>
      <c r="F1378" s="62">
        <v>524.5471249999999</v>
      </c>
      <c r="I1378" s="62">
        <v>2020</v>
      </c>
      <c r="J1378" s="62">
        <v>5</v>
      </c>
      <c r="K1378" s="62" t="s">
        <v>17</v>
      </c>
      <c r="L1378" s="62" t="s">
        <v>3</v>
      </c>
      <c r="M1378" s="62">
        <v>3686.2694</v>
      </c>
      <c r="N1378" s="62">
        <v>0</v>
      </c>
    </row>
    <row r="1379" spans="1:14">
      <c r="A1379" s="62">
        <v>2016</v>
      </c>
      <c r="B1379" s="62">
        <v>2</v>
      </c>
      <c r="C1379" s="62" t="s">
        <v>6</v>
      </c>
      <c r="D1379" s="62" t="s">
        <v>1</v>
      </c>
      <c r="E1379" s="62">
        <v>2137.8363</v>
      </c>
      <c r="F1379" s="62">
        <v>547.2826024999999</v>
      </c>
      <c r="I1379" s="62">
        <v>2020</v>
      </c>
      <c r="J1379" s="62">
        <v>6</v>
      </c>
      <c r="K1379" s="62" t="s">
        <v>17</v>
      </c>
      <c r="L1379" s="62" t="s">
        <v>3</v>
      </c>
      <c r="M1379" s="62">
        <v>3615.7307</v>
      </c>
      <c r="N1379" s="62">
        <v>0</v>
      </c>
    </row>
    <row r="1380" spans="1:14">
      <c r="A1380" s="62">
        <v>2016</v>
      </c>
      <c r="B1380" s="62">
        <v>3</v>
      </c>
      <c r="C1380" s="62" t="s">
        <v>6</v>
      </c>
      <c r="D1380" s="62" t="s">
        <v>1</v>
      </c>
      <c r="E1380" s="62">
        <v>1124.489</v>
      </c>
      <c r="F1380" s="62">
        <v>275.9695125</v>
      </c>
      <c r="I1380" s="62">
        <v>2020</v>
      </c>
      <c r="J1380" s="62">
        <v>7</v>
      </c>
      <c r="K1380" s="62" t="s">
        <v>17</v>
      </c>
      <c r="L1380" s="62" t="s">
        <v>3</v>
      </c>
      <c r="M1380" s="62">
        <v>3553.5419</v>
      </c>
      <c r="N1380" s="62">
        <v>0</v>
      </c>
    </row>
    <row r="1381" spans="1:14">
      <c r="A1381" s="62">
        <v>2016</v>
      </c>
      <c r="B1381" s="62">
        <v>4</v>
      </c>
      <c r="C1381" s="62" t="s">
        <v>6</v>
      </c>
      <c r="D1381" s="62" t="s">
        <v>1</v>
      </c>
      <c r="E1381" s="62">
        <v>1307.7485</v>
      </c>
      <c r="F1381" s="62">
        <v>335.8468</v>
      </c>
      <c r="I1381" s="62">
        <v>2020</v>
      </c>
      <c r="J1381" s="62">
        <v>8</v>
      </c>
      <c r="K1381" s="62" t="s">
        <v>17</v>
      </c>
      <c r="L1381" s="62" t="s">
        <v>3</v>
      </c>
      <c r="M1381" s="62">
        <v>3767.9847</v>
      </c>
      <c r="N1381" s="62">
        <v>0</v>
      </c>
    </row>
    <row r="1382" spans="1:14">
      <c r="A1382" s="62">
        <v>2016</v>
      </c>
      <c r="B1382" s="62">
        <v>5</v>
      </c>
      <c r="C1382" s="62" t="s">
        <v>6</v>
      </c>
      <c r="D1382" s="62" t="s">
        <v>1</v>
      </c>
      <c r="E1382" s="62">
        <v>1144.3683</v>
      </c>
      <c r="F1382" s="62">
        <v>262.8202075</v>
      </c>
      <c r="I1382" s="62">
        <v>2020</v>
      </c>
      <c r="J1382" s="62">
        <v>9</v>
      </c>
      <c r="K1382" s="62" t="s">
        <v>17</v>
      </c>
      <c r="L1382" s="62" t="s">
        <v>3</v>
      </c>
      <c r="M1382" s="62">
        <v>4056.2139</v>
      </c>
      <c r="N1382" s="62">
        <v>0</v>
      </c>
    </row>
    <row r="1383" spans="1:14">
      <c r="A1383" s="62">
        <v>2016</v>
      </c>
      <c r="B1383" s="62">
        <v>6</v>
      </c>
      <c r="C1383" s="62" t="s">
        <v>6</v>
      </c>
      <c r="D1383" s="62" t="s">
        <v>1</v>
      </c>
      <c r="E1383" s="62">
        <v>603.16</v>
      </c>
      <c r="F1383" s="62">
        <v>161.3285</v>
      </c>
      <c r="I1383" s="62">
        <v>2020</v>
      </c>
      <c r="J1383" s="62">
        <v>10</v>
      </c>
      <c r="K1383" s="62" t="s">
        <v>17</v>
      </c>
      <c r="L1383" s="62" t="s">
        <v>3</v>
      </c>
      <c r="M1383" s="62">
        <v>3730.5322</v>
      </c>
      <c r="N1383" s="62">
        <v>0</v>
      </c>
    </row>
    <row r="1384" spans="1:14">
      <c r="A1384" s="62">
        <v>2016</v>
      </c>
      <c r="B1384" s="62">
        <v>7</v>
      </c>
      <c r="C1384" s="62" t="s">
        <v>6</v>
      </c>
      <c r="D1384" s="62" t="s">
        <v>1</v>
      </c>
      <c r="E1384" s="62">
        <v>510.452</v>
      </c>
      <c r="F1384" s="62">
        <v>118.3844</v>
      </c>
      <c r="I1384" s="62">
        <v>2020</v>
      </c>
      <c r="J1384" s="62">
        <v>11</v>
      </c>
      <c r="K1384" s="62" t="s">
        <v>17</v>
      </c>
      <c r="L1384" s="62" t="s">
        <v>3</v>
      </c>
      <c r="M1384" s="62">
        <v>3313.8743</v>
      </c>
      <c r="N1384" s="62">
        <v>0</v>
      </c>
    </row>
    <row r="1385" spans="1:14">
      <c r="A1385" s="62">
        <v>2016</v>
      </c>
      <c r="B1385" s="62">
        <v>8</v>
      </c>
      <c r="C1385" s="62" t="s">
        <v>6</v>
      </c>
      <c r="D1385" s="62" t="s">
        <v>1</v>
      </c>
      <c r="E1385" s="62">
        <v>908.8905</v>
      </c>
      <c r="F1385" s="62">
        <v>201.287125</v>
      </c>
      <c r="I1385" s="62">
        <v>2020</v>
      </c>
      <c r="J1385" s="62">
        <v>12</v>
      </c>
      <c r="K1385" s="62" t="s">
        <v>17</v>
      </c>
      <c r="L1385" s="62" t="s">
        <v>3</v>
      </c>
      <c r="M1385" s="62">
        <v>3247.2848</v>
      </c>
      <c r="N1385" s="62">
        <v>0</v>
      </c>
    </row>
    <row r="1386" spans="1:14">
      <c r="A1386" s="62">
        <v>2016</v>
      </c>
      <c r="B1386" s="62">
        <v>9</v>
      </c>
      <c r="C1386" s="62" t="s">
        <v>6</v>
      </c>
      <c r="D1386" s="62" t="s">
        <v>1</v>
      </c>
      <c r="E1386" s="62">
        <v>1505.2675</v>
      </c>
      <c r="F1386" s="62">
        <v>297.2589875</v>
      </c>
      <c r="I1386" s="62">
        <v>2021</v>
      </c>
      <c r="J1386" s="62">
        <v>1</v>
      </c>
      <c r="K1386" s="62" t="s">
        <v>17</v>
      </c>
      <c r="L1386" s="62" t="s">
        <v>3</v>
      </c>
      <c r="M1386" s="62">
        <v>3204.166</v>
      </c>
      <c r="N1386" s="62">
        <v>0</v>
      </c>
    </row>
    <row r="1387" spans="1:14">
      <c r="A1387" s="62">
        <v>2016</v>
      </c>
      <c r="B1387" s="62">
        <v>10</v>
      </c>
      <c r="C1387" s="62" t="s">
        <v>6</v>
      </c>
      <c r="D1387" s="62" t="s">
        <v>1</v>
      </c>
      <c r="E1387" s="62">
        <v>2476.2685</v>
      </c>
      <c r="F1387" s="62">
        <v>539.027525</v>
      </c>
      <c r="I1387" s="62">
        <v>2021</v>
      </c>
      <c r="J1387" s="62">
        <v>2</v>
      </c>
      <c r="K1387" s="62" t="s">
        <v>17</v>
      </c>
      <c r="L1387" s="62" t="s">
        <v>3</v>
      </c>
      <c r="M1387" s="62">
        <v>3975.3307</v>
      </c>
      <c r="N1387" s="62">
        <v>0</v>
      </c>
    </row>
    <row r="1388" spans="1:14">
      <c r="A1388" s="62">
        <v>2016</v>
      </c>
      <c r="B1388" s="62">
        <v>11</v>
      </c>
      <c r="C1388" s="62" t="s">
        <v>6</v>
      </c>
      <c r="D1388" s="62" t="s">
        <v>1</v>
      </c>
      <c r="E1388" s="62">
        <v>875.98</v>
      </c>
      <c r="F1388" s="62">
        <v>220.475875</v>
      </c>
      <c r="I1388" s="62">
        <v>2021</v>
      </c>
      <c r="J1388" s="62">
        <v>3</v>
      </c>
      <c r="K1388" s="62" t="s">
        <v>17</v>
      </c>
      <c r="L1388" s="62" t="s">
        <v>3</v>
      </c>
      <c r="M1388" s="62">
        <v>2838.4868</v>
      </c>
      <c r="N1388" s="62">
        <v>0</v>
      </c>
    </row>
    <row r="1389" spans="1:14">
      <c r="A1389" s="62">
        <v>2016</v>
      </c>
      <c r="B1389" s="62">
        <v>12</v>
      </c>
      <c r="C1389" s="62" t="s">
        <v>6</v>
      </c>
      <c r="D1389" s="62" t="s">
        <v>1</v>
      </c>
      <c r="E1389" s="62">
        <v>475.3264</v>
      </c>
      <c r="F1389" s="62">
        <v>95.65255499999999</v>
      </c>
      <c r="I1389" s="62">
        <v>2021</v>
      </c>
      <c r="J1389" s="62">
        <v>4</v>
      </c>
      <c r="K1389" s="62" t="s">
        <v>17</v>
      </c>
      <c r="L1389" s="62" t="s">
        <v>3</v>
      </c>
      <c r="M1389" s="62">
        <v>1267.7425</v>
      </c>
      <c r="N1389" s="62">
        <v>0</v>
      </c>
    </row>
    <row r="1390" spans="1:14">
      <c r="A1390" s="62">
        <v>2017</v>
      </c>
      <c r="B1390" s="62">
        <v>1</v>
      </c>
      <c r="C1390" s="62" t="s">
        <v>6</v>
      </c>
      <c r="D1390" s="62" t="s">
        <v>1</v>
      </c>
      <c r="E1390" s="62">
        <v>1969.371</v>
      </c>
      <c r="F1390" s="62">
        <v>525.4250499999999</v>
      </c>
      <c r="I1390" s="62">
        <v>2021</v>
      </c>
      <c r="J1390" s="62">
        <v>5</v>
      </c>
      <c r="K1390" s="62" t="s">
        <v>17</v>
      </c>
      <c r="L1390" s="62" t="s">
        <v>3</v>
      </c>
      <c r="M1390" s="62">
        <v>473.7395</v>
      </c>
      <c r="N1390" s="62">
        <v>0</v>
      </c>
    </row>
    <row r="1391" spans="1:14">
      <c r="A1391" s="62">
        <v>2017</v>
      </c>
      <c r="B1391" s="62">
        <v>2</v>
      </c>
      <c r="C1391" s="62" t="s">
        <v>6</v>
      </c>
      <c r="D1391" s="62" t="s">
        <v>1</v>
      </c>
      <c r="E1391" s="62">
        <v>3024.671</v>
      </c>
      <c r="F1391" s="62">
        <v>788.2758249999999</v>
      </c>
      <c r="I1391" s="62">
        <v>2021</v>
      </c>
      <c r="J1391" s="62">
        <v>6</v>
      </c>
      <c r="K1391" s="62" t="s">
        <v>17</v>
      </c>
      <c r="L1391" s="62" t="s">
        <v>3</v>
      </c>
      <c r="M1391" s="62">
        <v>510.5506</v>
      </c>
      <c r="N1391" s="62">
        <v>0</v>
      </c>
    </row>
    <row r="1392" spans="1:14">
      <c r="A1392" s="62">
        <v>2017</v>
      </c>
      <c r="B1392" s="62">
        <v>3</v>
      </c>
      <c r="C1392" s="62" t="s">
        <v>6</v>
      </c>
      <c r="D1392" s="62" t="s">
        <v>1</v>
      </c>
      <c r="E1392" s="62">
        <v>2641.5295</v>
      </c>
      <c r="F1392" s="62">
        <v>660.690275</v>
      </c>
      <c r="I1392" s="62">
        <v>2021</v>
      </c>
      <c r="J1392" s="62">
        <v>7</v>
      </c>
      <c r="K1392" s="62" t="s">
        <v>17</v>
      </c>
      <c r="L1392" s="62" t="s">
        <v>3</v>
      </c>
      <c r="M1392" s="62">
        <v>270.3584</v>
      </c>
      <c r="N1392" s="62">
        <v>0</v>
      </c>
    </row>
    <row r="1393" spans="1:14">
      <c r="A1393" s="62">
        <v>2017</v>
      </c>
      <c r="B1393" s="62">
        <v>4</v>
      </c>
      <c r="C1393" s="62" t="s">
        <v>6</v>
      </c>
      <c r="D1393" s="62" t="s">
        <v>1</v>
      </c>
      <c r="E1393" s="62">
        <v>1457.111</v>
      </c>
      <c r="F1393" s="62">
        <v>385.4030125</v>
      </c>
      <c r="I1393" s="62">
        <v>2021</v>
      </c>
      <c r="J1393" s="62">
        <v>8</v>
      </c>
      <c r="K1393" s="62" t="s">
        <v>17</v>
      </c>
      <c r="L1393" s="62" t="s">
        <v>3</v>
      </c>
      <c r="M1393" s="62">
        <v>363.989</v>
      </c>
      <c r="N1393" s="62">
        <v>0</v>
      </c>
    </row>
    <row r="1394" spans="1:14">
      <c r="A1394" s="62">
        <v>2017</v>
      </c>
      <c r="B1394" s="62">
        <v>5</v>
      </c>
      <c r="C1394" s="62" t="s">
        <v>6</v>
      </c>
      <c r="D1394" s="62" t="s">
        <v>1</v>
      </c>
      <c r="E1394" s="62">
        <v>590.653</v>
      </c>
      <c r="F1394" s="62">
        <v>163.2423375</v>
      </c>
      <c r="I1394" s="62">
        <v>2021</v>
      </c>
      <c r="J1394" s="62">
        <v>9</v>
      </c>
      <c r="K1394" s="62" t="s">
        <v>17</v>
      </c>
      <c r="L1394" s="62" t="s">
        <v>3</v>
      </c>
      <c r="M1394" s="62">
        <v>1073.1512</v>
      </c>
      <c r="N1394" s="62">
        <v>0</v>
      </c>
    </row>
    <row r="1395" spans="1:14">
      <c r="A1395" s="62">
        <v>2017</v>
      </c>
      <c r="B1395" s="62">
        <v>6</v>
      </c>
      <c r="C1395" s="62" t="s">
        <v>6</v>
      </c>
      <c r="D1395" s="62" t="s">
        <v>1</v>
      </c>
      <c r="E1395" s="62">
        <v>499.79</v>
      </c>
      <c r="F1395" s="62">
        <v>99.87725</v>
      </c>
      <c r="I1395" s="62">
        <v>2021</v>
      </c>
      <c r="J1395" s="62">
        <v>10</v>
      </c>
      <c r="K1395" s="62" t="s">
        <v>17</v>
      </c>
      <c r="L1395" s="62" t="s">
        <v>3</v>
      </c>
      <c r="M1395" s="62">
        <v>606.3081999999999</v>
      </c>
      <c r="N1395" s="62">
        <v>0</v>
      </c>
    </row>
    <row r="1396" spans="1:14">
      <c r="A1396" s="62">
        <v>2017</v>
      </c>
      <c r="B1396" s="62">
        <v>7</v>
      </c>
      <c r="C1396" s="62" t="s">
        <v>6</v>
      </c>
      <c r="D1396" s="62" t="s">
        <v>1</v>
      </c>
      <c r="E1396" s="62">
        <v>395.152</v>
      </c>
      <c r="F1396" s="62">
        <v>151.43495</v>
      </c>
      <c r="I1396" s="62">
        <v>2021</v>
      </c>
      <c r="J1396" s="62">
        <v>11</v>
      </c>
      <c r="K1396" s="62" t="s">
        <v>17</v>
      </c>
      <c r="L1396" s="62" t="s">
        <v>3</v>
      </c>
      <c r="M1396" s="62">
        <v>337.998</v>
      </c>
      <c r="N1396" s="62">
        <v>0</v>
      </c>
    </row>
    <row r="1397" spans="1:14">
      <c r="A1397" s="62">
        <v>2017</v>
      </c>
      <c r="B1397" s="62">
        <v>8</v>
      </c>
      <c r="C1397" s="62" t="s">
        <v>6</v>
      </c>
      <c r="D1397" s="62" t="s">
        <v>1</v>
      </c>
      <c r="E1397" s="62">
        <v>2530.9771</v>
      </c>
      <c r="F1397" s="62">
        <v>590.8669775</v>
      </c>
      <c r="I1397" s="62">
        <v>2021</v>
      </c>
      <c r="J1397" s="62">
        <v>12</v>
      </c>
      <c r="K1397" s="62" t="s">
        <v>17</v>
      </c>
      <c r="L1397" s="62" t="s">
        <v>3</v>
      </c>
      <c r="M1397" s="62">
        <v>156.028</v>
      </c>
      <c r="N1397" s="62">
        <v>0</v>
      </c>
    </row>
    <row r="1398" spans="1:14">
      <c r="A1398" s="62">
        <v>2017</v>
      </c>
      <c r="B1398" s="62">
        <v>9</v>
      </c>
      <c r="C1398" s="62" t="s">
        <v>6</v>
      </c>
      <c r="D1398" s="62" t="s">
        <v>1</v>
      </c>
      <c r="E1398" s="62">
        <v>7016.2965</v>
      </c>
      <c r="F1398" s="62">
        <v>1532.0865625</v>
      </c>
      <c r="I1398" s="62">
        <v>2022</v>
      </c>
      <c r="J1398" s="62">
        <v>1</v>
      </c>
      <c r="K1398" s="62" t="s">
        <v>17</v>
      </c>
      <c r="L1398" s="62" t="s">
        <v>3</v>
      </c>
      <c r="M1398" s="62">
        <v>267.79</v>
      </c>
      <c r="N1398" s="62">
        <v>0</v>
      </c>
    </row>
    <row r="1399" spans="1:14">
      <c r="A1399" s="62">
        <v>2017</v>
      </c>
      <c r="B1399" s="62">
        <v>10</v>
      </c>
      <c r="C1399" s="62" t="s">
        <v>6</v>
      </c>
      <c r="D1399" s="62" t="s">
        <v>1</v>
      </c>
      <c r="E1399" s="62">
        <v>2324.687</v>
      </c>
      <c r="F1399" s="62">
        <v>441.795</v>
      </c>
      <c r="I1399" s="62">
        <v>2022</v>
      </c>
      <c r="J1399" s="62">
        <v>2</v>
      </c>
      <c r="K1399" s="62" t="s">
        <v>17</v>
      </c>
      <c r="L1399" s="62" t="s">
        <v>3</v>
      </c>
      <c r="M1399" s="62">
        <v>749.925</v>
      </c>
      <c r="N1399" s="62">
        <v>0</v>
      </c>
    </row>
    <row r="1400" spans="1:14">
      <c r="A1400" s="62">
        <v>2017</v>
      </c>
      <c r="B1400" s="62">
        <v>11</v>
      </c>
      <c r="C1400" s="62" t="s">
        <v>6</v>
      </c>
      <c r="D1400" s="62" t="s">
        <v>1</v>
      </c>
      <c r="E1400" s="62">
        <v>1438.104</v>
      </c>
      <c r="F1400" s="62">
        <v>421.7625</v>
      </c>
      <c r="I1400" s="62">
        <v>2022</v>
      </c>
      <c r="J1400" s="62">
        <v>3</v>
      </c>
      <c r="K1400" s="62" t="s">
        <v>17</v>
      </c>
      <c r="L1400" s="62" t="s">
        <v>3</v>
      </c>
      <c r="M1400" s="62">
        <v>332.782</v>
      </c>
      <c r="N1400" s="62">
        <v>0</v>
      </c>
    </row>
    <row r="1401" spans="1:14">
      <c r="A1401" s="62">
        <v>2017</v>
      </c>
      <c r="B1401" s="62">
        <v>12</v>
      </c>
      <c r="C1401" s="62" t="s">
        <v>6</v>
      </c>
      <c r="D1401" s="62" t="s">
        <v>1</v>
      </c>
      <c r="E1401" s="62">
        <v>349.1965</v>
      </c>
      <c r="F1401" s="62">
        <v>82.1230125</v>
      </c>
      <c r="I1401" s="62">
        <v>2022</v>
      </c>
      <c r="J1401" s="62">
        <v>4</v>
      </c>
      <c r="K1401" s="62" t="s">
        <v>17</v>
      </c>
      <c r="L1401" s="62" t="s">
        <v>3</v>
      </c>
      <c r="M1401" s="62">
        <v>353.0815</v>
      </c>
      <c r="N1401" s="62">
        <v>0</v>
      </c>
    </row>
    <row r="1402" spans="1:14">
      <c r="A1402" s="62">
        <v>2018</v>
      </c>
      <c r="B1402" s="62">
        <v>1</v>
      </c>
      <c r="C1402" s="62" t="s">
        <v>6</v>
      </c>
      <c r="D1402" s="62" t="s">
        <v>1</v>
      </c>
      <c r="E1402" s="62">
        <v>1118.518</v>
      </c>
      <c r="F1402" s="62">
        <v>260.55445</v>
      </c>
      <c r="I1402" s="62">
        <v>2022</v>
      </c>
      <c r="J1402" s="62">
        <v>5</v>
      </c>
      <c r="K1402" s="62" t="s">
        <v>17</v>
      </c>
      <c r="L1402" s="62" t="s">
        <v>3</v>
      </c>
      <c r="M1402" s="62">
        <v>362.862</v>
      </c>
      <c r="N1402" s="62">
        <v>0</v>
      </c>
    </row>
    <row r="1403" spans="1:14">
      <c r="A1403" s="62">
        <v>2018</v>
      </c>
      <c r="B1403" s="62">
        <v>2</v>
      </c>
      <c r="C1403" s="62" t="s">
        <v>6</v>
      </c>
      <c r="D1403" s="62" t="s">
        <v>1</v>
      </c>
      <c r="E1403" s="62">
        <v>2936.0774</v>
      </c>
      <c r="F1403" s="62">
        <v>662.214655</v>
      </c>
      <c r="I1403" s="62">
        <v>2022</v>
      </c>
      <c r="J1403" s="62">
        <v>6</v>
      </c>
      <c r="K1403" s="62" t="s">
        <v>17</v>
      </c>
      <c r="L1403" s="62" t="s">
        <v>3</v>
      </c>
      <c r="M1403" s="62">
        <v>320.5718</v>
      </c>
      <c r="N1403" s="62">
        <v>0</v>
      </c>
    </row>
    <row r="1404" spans="1:14">
      <c r="A1404" s="62">
        <v>2018</v>
      </c>
      <c r="B1404" s="62">
        <v>3</v>
      </c>
      <c r="C1404" s="62" t="s">
        <v>6</v>
      </c>
      <c r="D1404" s="62" t="s">
        <v>1</v>
      </c>
      <c r="E1404" s="62">
        <v>2031.5047</v>
      </c>
      <c r="F1404" s="62">
        <v>465.4186025</v>
      </c>
      <c r="I1404" s="62">
        <v>2022</v>
      </c>
      <c r="J1404" s="62">
        <v>7</v>
      </c>
      <c r="K1404" s="62" t="s">
        <v>17</v>
      </c>
      <c r="L1404" s="62" t="s">
        <v>3</v>
      </c>
      <c r="M1404" s="62">
        <v>430.221</v>
      </c>
      <c r="N1404" s="62">
        <v>0</v>
      </c>
    </row>
    <row r="1405" spans="1:14">
      <c r="A1405" s="62">
        <v>2018</v>
      </c>
      <c r="B1405" s="62">
        <v>4</v>
      </c>
      <c r="C1405" s="62" t="s">
        <v>6</v>
      </c>
      <c r="D1405" s="62" t="s">
        <v>1</v>
      </c>
      <c r="E1405" s="62">
        <v>1689.6831</v>
      </c>
      <c r="F1405" s="62">
        <v>396.8787425</v>
      </c>
      <c r="I1405" s="62">
        <v>2022</v>
      </c>
      <c r="J1405" s="62">
        <v>8</v>
      </c>
      <c r="K1405" s="62" t="s">
        <v>17</v>
      </c>
      <c r="L1405" s="62" t="s">
        <v>3</v>
      </c>
      <c r="M1405" s="62">
        <v>407.134</v>
      </c>
      <c r="N1405" s="62">
        <v>0</v>
      </c>
    </row>
    <row r="1406" spans="1:14">
      <c r="A1406" s="62">
        <v>2018</v>
      </c>
      <c r="B1406" s="62">
        <v>5</v>
      </c>
      <c r="C1406" s="62" t="s">
        <v>6</v>
      </c>
      <c r="D1406" s="62" t="s">
        <v>1</v>
      </c>
      <c r="E1406" s="62">
        <v>1600.9409</v>
      </c>
      <c r="F1406" s="62">
        <v>382.1695325</v>
      </c>
      <c r="I1406" s="62">
        <v>2022</v>
      </c>
      <c r="J1406" s="62">
        <v>9</v>
      </c>
      <c r="K1406" s="62" t="s">
        <v>17</v>
      </c>
      <c r="L1406" s="62" t="s">
        <v>3</v>
      </c>
      <c r="M1406" s="62">
        <v>180.512</v>
      </c>
      <c r="N1406" s="62">
        <v>0</v>
      </c>
    </row>
    <row r="1407" spans="1:14">
      <c r="A1407" s="62">
        <v>2018</v>
      </c>
      <c r="B1407" s="62">
        <v>6</v>
      </c>
      <c r="C1407" s="62" t="s">
        <v>6</v>
      </c>
      <c r="D1407" s="62" t="s">
        <v>1</v>
      </c>
      <c r="E1407" s="62">
        <v>777.461</v>
      </c>
      <c r="F1407" s="62">
        <v>243.25595</v>
      </c>
      <c r="I1407" s="62">
        <v>2022</v>
      </c>
      <c r="J1407" s="62">
        <v>10</v>
      </c>
      <c r="K1407" s="62" t="s">
        <v>17</v>
      </c>
      <c r="L1407" s="62" t="s">
        <v>3</v>
      </c>
      <c r="M1407" s="62">
        <v>387.412</v>
      </c>
      <c r="N1407" s="62">
        <v>0</v>
      </c>
    </row>
    <row r="1408" spans="1:14">
      <c r="A1408" s="62">
        <v>2018</v>
      </c>
      <c r="B1408" s="62">
        <v>7</v>
      </c>
      <c r="C1408" s="62" t="s">
        <v>6</v>
      </c>
      <c r="D1408" s="62" t="s">
        <v>1</v>
      </c>
      <c r="E1408" s="62">
        <v>1278.163</v>
      </c>
      <c r="F1408" s="62">
        <v>309.850575</v>
      </c>
      <c r="I1408" s="62">
        <v>2022</v>
      </c>
      <c r="J1408" s="62">
        <v>11</v>
      </c>
      <c r="K1408" s="62" t="s">
        <v>17</v>
      </c>
      <c r="L1408" s="62" t="s">
        <v>3</v>
      </c>
      <c r="M1408" s="62">
        <v>479.366</v>
      </c>
      <c r="N1408" s="62">
        <v>0</v>
      </c>
    </row>
    <row r="1409" spans="1:14">
      <c r="A1409" s="62">
        <v>2018</v>
      </c>
      <c r="B1409" s="62">
        <v>8</v>
      </c>
      <c r="C1409" s="62" t="s">
        <v>6</v>
      </c>
      <c r="D1409" s="62" t="s">
        <v>1</v>
      </c>
      <c r="E1409" s="62">
        <v>682.0649999999999</v>
      </c>
      <c r="F1409" s="62">
        <v>147.24245</v>
      </c>
      <c r="I1409" s="62">
        <v>2022</v>
      </c>
      <c r="J1409" s="62">
        <v>12</v>
      </c>
      <c r="K1409" s="62" t="s">
        <v>17</v>
      </c>
      <c r="L1409" s="62" t="s">
        <v>3</v>
      </c>
      <c r="M1409" s="62">
        <v>719.3672</v>
      </c>
      <c r="N1409" s="62">
        <v>0</v>
      </c>
    </row>
    <row r="1410" spans="1:14">
      <c r="A1410" s="62">
        <v>2018</v>
      </c>
      <c r="B1410" s="62">
        <v>9</v>
      </c>
      <c r="C1410" s="62" t="s">
        <v>6</v>
      </c>
      <c r="D1410" s="62" t="s">
        <v>1</v>
      </c>
      <c r="E1410" s="62">
        <v>929.9127</v>
      </c>
      <c r="F1410" s="62">
        <v>163.81018</v>
      </c>
      <c r="I1410" s="62">
        <v>2023</v>
      </c>
      <c r="J1410" s="62">
        <v>1</v>
      </c>
      <c r="K1410" s="62" t="s">
        <v>17</v>
      </c>
      <c r="L1410" s="62" t="s">
        <v>3</v>
      </c>
      <c r="M1410" s="62">
        <v>689.1178</v>
      </c>
      <c r="N1410" s="62">
        <v>0</v>
      </c>
    </row>
    <row r="1411" spans="1:14">
      <c r="A1411" s="62">
        <v>2018</v>
      </c>
      <c r="B1411" s="62">
        <v>10</v>
      </c>
      <c r="C1411" s="62" t="s">
        <v>6</v>
      </c>
      <c r="D1411" s="62" t="s">
        <v>1</v>
      </c>
      <c r="E1411" s="62">
        <v>997.693</v>
      </c>
      <c r="F1411" s="62">
        <v>186.01205</v>
      </c>
      <c r="I1411" s="62">
        <v>2023</v>
      </c>
      <c r="J1411" s="62">
        <v>2</v>
      </c>
      <c r="K1411" s="62" t="s">
        <v>17</v>
      </c>
      <c r="L1411" s="62" t="s">
        <v>3</v>
      </c>
      <c r="M1411" s="62">
        <v>557.8472</v>
      </c>
      <c r="N1411" s="62">
        <v>0</v>
      </c>
    </row>
    <row r="1412" spans="1:14">
      <c r="A1412" s="62">
        <v>2018</v>
      </c>
      <c r="B1412" s="62">
        <v>11</v>
      </c>
      <c r="C1412" s="62" t="s">
        <v>6</v>
      </c>
      <c r="D1412" s="62" t="s">
        <v>1</v>
      </c>
      <c r="E1412" s="62">
        <v>461.332</v>
      </c>
      <c r="F1412" s="62">
        <v>93.520725</v>
      </c>
      <c r="I1412" s="62">
        <v>2023</v>
      </c>
      <c r="J1412" s="62">
        <v>3</v>
      </c>
      <c r="K1412" s="62" t="s">
        <v>17</v>
      </c>
      <c r="L1412" s="62" t="s">
        <v>3</v>
      </c>
      <c r="M1412" s="62">
        <v>539.1614</v>
      </c>
      <c r="N1412" s="62">
        <v>0</v>
      </c>
    </row>
    <row r="1413" spans="1:14">
      <c r="A1413" s="62">
        <v>2018</v>
      </c>
      <c r="B1413" s="62">
        <v>12</v>
      </c>
      <c r="C1413" s="62" t="s">
        <v>6</v>
      </c>
      <c r="D1413" s="62" t="s">
        <v>1</v>
      </c>
      <c r="E1413" s="62">
        <v>293.882</v>
      </c>
      <c r="F1413" s="62">
        <v>64.254475</v>
      </c>
      <c r="I1413" s="62">
        <v>2023</v>
      </c>
      <c r="J1413" s="62">
        <v>4</v>
      </c>
      <c r="K1413" s="62" t="s">
        <v>17</v>
      </c>
      <c r="L1413" s="62" t="s">
        <v>3</v>
      </c>
      <c r="M1413" s="62">
        <v>629.053</v>
      </c>
      <c r="N1413" s="62">
        <v>0</v>
      </c>
    </row>
    <row r="1414" spans="1:14">
      <c r="A1414" s="62">
        <v>2019</v>
      </c>
      <c r="B1414" s="62">
        <v>1</v>
      </c>
      <c r="C1414" s="62" t="s">
        <v>6</v>
      </c>
      <c r="D1414" s="62" t="s">
        <v>1</v>
      </c>
      <c r="E1414" s="62">
        <v>1850.3098</v>
      </c>
      <c r="F1414" s="62">
        <v>492.43821</v>
      </c>
      <c r="I1414" s="62">
        <v>2023</v>
      </c>
      <c r="J1414" s="62">
        <v>5</v>
      </c>
      <c r="K1414" s="62" t="s">
        <v>17</v>
      </c>
      <c r="L1414" s="62" t="s">
        <v>3</v>
      </c>
      <c r="M1414" s="62">
        <v>461.589</v>
      </c>
      <c r="N1414" s="62">
        <v>0</v>
      </c>
    </row>
    <row r="1415" spans="1:14">
      <c r="A1415" s="62">
        <v>2019</v>
      </c>
      <c r="B1415" s="62">
        <v>2</v>
      </c>
      <c r="C1415" s="62" t="s">
        <v>6</v>
      </c>
      <c r="D1415" s="62" t="s">
        <v>1</v>
      </c>
      <c r="E1415" s="62">
        <v>2365.1156</v>
      </c>
      <c r="F1415" s="62">
        <v>522.46363</v>
      </c>
      <c r="I1415" s="62">
        <v>2023</v>
      </c>
      <c r="J1415" s="62">
        <v>6</v>
      </c>
      <c r="K1415" s="62" t="s">
        <v>17</v>
      </c>
      <c r="L1415" s="62" t="s">
        <v>3</v>
      </c>
      <c r="M1415" s="62">
        <v>409.471</v>
      </c>
      <c r="N1415" s="62">
        <v>0</v>
      </c>
    </row>
    <row r="1416" spans="1:14">
      <c r="A1416" s="62">
        <v>2019</v>
      </c>
      <c r="B1416" s="62">
        <v>3</v>
      </c>
      <c r="C1416" s="62" t="s">
        <v>6</v>
      </c>
      <c r="D1416" s="62" t="s">
        <v>1</v>
      </c>
      <c r="E1416" s="62">
        <v>2435.4699</v>
      </c>
      <c r="F1416" s="62">
        <v>603.8177075</v>
      </c>
      <c r="I1416" s="62">
        <v>2023</v>
      </c>
      <c r="J1416" s="62">
        <v>7</v>
      </c>
      <c r="K1416" s="62" t="s">
        <v>17</v>
      </c>
      <c r="L1416" s="62" t="s">
        <v>3</v>
      </c>
      <c r="M1416" s="62">
        <v>314.2854</v>
      </c>
      <c r="N1416" s="62">
        <v>0</v>
      </c>
    </row>
    <row r="1417" spans="1:14">
      <c r="A1417" s="62">
        <v>2019</v>
      </c>
      <c r="B1417" s="62">
        <v>4</v>
      </c>
      <c r="C1417" s="62" t="s">
        <v>6</v>
      </c>
      <c r="D1417" s="62" t="s">
        <v>1</v>
      </c>
      <c r="E1417" s="62">
        <v>2164.7461</v>
      </c>
      <c r="F1417" s="62">
        <v>531.9404175</v>
      </c>
      <c r="I1417" s="62">
        <v>2023</v>
      </c>
      <c r="J1417" s="62">
        <v>8</v>
      </c>
      <c r="K1417" s="62" t="s">
        <v>17</v>
      </c>
      <c r="L1417" s="62" t="s">
        <v>3</v>
      </c>
      <c r="M1417" s="62">
        <v>240.83</v>
      </c>
      <c r="N1417" s="62">
        <v>0</v>
      </c>
    </row>
    <row r="1418" spans="1:14">
      <c r="A1418" s="62">
        <v>2019</v>
      </c>
      <c r="B1418" s="62">
        <v>5</v>
      </c>
      <c r="C1418" s="62" t="s">
        <v>6</v>
      </c>
      <c r="D1418" s="62" t="s">
        <v>1</v>
      </c>
      <c r="E1418" s="62">
        <v>1441.678</v>
      </c>
      <c r="F1418" s="62">
        <v>349.2726</v>
      </c>
      <c r="I1418" s="62">
        <v>2023</v>
      </c>
      <c r="J1418" s="62">
        <v>9</v>
      </c>
      <c r="K1418" s="62" t="s">
        <v>17</v>
      </c>
      <c r="L1418" s="62" t="s">
        <v>3</v>
      </c>
      <c r="M1418" s="62">
        <v>299.812</v>
      </c>
      <c r="N1418" s="62">
        <v>0</v>
      </c>
    </row>
    <row r="1419" spans="1:14">
      <c r="A1419" s="62">
        <v>2019</v>
      </c>
      <c r="B1419" s="62">
        <v>6</v>
      </c>
      <c r="C1419" s="62" t="s">
        <v>6</v>
      </c>
      <c r="D1419" s="62" t="s">
        <v>1</v>
      </c>
      <c r="E1419" s="62">
        <v>1019.125</v>
      </c>
      <c r="F1419" s="62">
        <v>233.377925</v>
      </c>
      <c r="I1419" s="62">
        <v>2023</v>
      </c>
      <c r="J1419" s="62">
        <v>10</v>
      </c>
      <c r="K1419" s="62" t="s">
        <v>17</v>
      </c>
      <c r="L1419" s="62" t="s">
        <v>3</v>
      </c>
      <c r="M1419" s="62">
        <v>366.494</v>
      </c>
      <c r="N1419" s="62">
        <v>0</v>
      </c>
    </row>
    <row r="1420" spans="1:14">
      <c r="A1420" s="62">
        <v>2019</v>
      </c>
      <c r="B1420" s="62">
        <v>7</v>
      </c>
      <c r="C1420" s="62" t="s">
        <v>6</v>
      </c>
      <c r="D1420" s="62" t="s">
        <v>1</v>
      </c>
      <c r="E1420" s="62">
        <v>1071.6446</v>
      </c>
      <c r="F1420" s="62">
        <v>316.1975275</v>
      </c>
      <c r="I1420" s="62">
        <v>2023</v>
      </c>
      <c r="J1420" s="62">
        <v>11</v>
      </c>
      <c r="K1420" s="62" t="s">
        <v>17</v>
      </c>
      <c r="L1420" s="62" t="s">
        <v>3</v>
      </c>
      <c r="M1420" s="62">
        <v>196.661</v>
      </c>
      <c r="N1420" s="62">
        <v>0</v>
      </c>
    </row>
    <row r="1421" spans="1:14">
      <c r="A1421" s="62">
        <v>2019</v>
      </c>
      <c r="B1421" s="62">
        <v>8</v>
      </c>
      <c r="C1421" s="62" t="s">
        <v>6</v>
      </c>
      <c r="D1421" s="62" t="s">
        <v>1</v>
      </c>
      <c r="E1421" s="62">
        <v>989.1513</v>
      </c>
      <c r="F1421" s="62">
        <v>275.5897625</v>
      </c>
      <c r="I1421" s="62">
        <v>2023</v>
      </c>
      <c r="J1421" s="62">
        <v>12</v>
      </c>
      <c r="K1421" s="62" t="s">
        <v>17</v>
      </c>
      <c r="L1421" s="62" t="s">
        <v>3</v>
      </c>
      <c r="M1421" s="62">
        <v>106.884</v>
      </c>
      <c r="N1421" s="62">
        <v>0</v>
      </c>
    </row>
    <row r="1422" spans="1:14">
      <c r="A1422" s="62">
        <v>2019</v>
      </c>
      <c r="B1422" s="62">
        <v>9</v>
      </c>
      <c r="C1422" s="62" t="s">
        <v>6</v>
      </c>
      <c r="D1422" s="62" t="s">
        <v>1</v>
      </c>
      <c r="E1422" s="62">
        <v>2680.2575</v>
      </c>
      <c r="F1422" s="62">
        <v>565.3221125</v>
      </c>
      <c r="I1422" s="62">
        <v>2024</v>
      </c>
      <c r="J1422" s="62">
        <v>1</v>
      </c>
      <c r="K1422" s="62" t="s">
        <v>17</v>
      </c>
      <c r="L1422" s="62" t="s">
        <v>3</v>
      </c>
      <c r="M1422" s="62">
        <v>351.727</v>
      </c>
      <c r="N1422" s="62">
        <v>0</v>
      </c>
    </row>
    <row r="1423" spans="1:14">
      <c r="A1423" s="62">
        <v>2019</v>
      </c>
      <c r="B1423" s="62">
        <v>10</v>
      </c>
      <c r="C1423" s="62" t="s">
        <v>6</v>
      </c>
      <c r="D1423" s="62" t="s">
        <v>1</v>
      </c>
      <c r="E1423" s="62">
        <v>3415.5639</v>
      </c>
      <c r="F1423" s="62">
        <v>788.8568074999999</v>
      </c>
      <c r="I1423" s="62">
        <v>2024</v>
      </c>
      <c r="J1423" s="62">
        <v>2</v>
      </c>
      <c r="K1423" s="62" t="s">
        <v>17</v>
      </c>
      <c r="L1423" s="62" t="s">
        <v>3</v>
      </c>
      <c r="M1423" s="62">
        <v>1015.756</v>
      </c>
      <c r="N1423" s="62">
        <v>0</v>
      </c>
    </row>
    <row r="1424" spans="1:14">
      <c r="A1424" s="62">
        <v>2019</v>
      </c>
      <c r="B1424" s="62">
        <v>11</v>
      </c>
      <c r="C1424" s="62" t="s">
        <v>6</v>
      </c>
      <c r="D1424" s="62" t="s">
        <v>1</v>
      </c>
      <c r="E1424" s="62">
        <v>2286.218</v>
      </c>
      <c r="F1424" s="62">
        <v>551.2047249999999</v>
      </c>
      <c r="I1424" s="62">
        <v>2024</v>
      </c>
      <c r="J1424" s="62">
        <v>3</v>
      </c>
      <c r="K1424" s="62" t="s">
        <v>17</v>
      </c>
      <c r="L1424" s="62" t="s">
        <v>3</v>
      </c>
      <c r="M1424" s="62">
        <v>500.657</v>
      </c>
      <c r="N1424" s="62">
        <v>0</v>
      </c>
    </row>
    <row r="1425" spans="1:14">
      <c r="A1425" s="62">
        <v>2019</v>
      </c>
      <c r="B1425" s="62">
        <v>12</v>
      </c>
      <c r="C1425" s="62" t="s">
        <v>6</v>
      </c>
      <c r="D1425" s="62" t="s">
        <v>1</v>
      </c>
      <c r="E1425" s="62">
        <v>925.2084</v>
      </c>
      <c r="F1425" s="62">
        <v>225.068235</v>
      </c>
      <c r="I1425" s="62">
        <v>2024</v>
      </c>
      <c r="J1425" s="62">
        <v>4</v>
      </c>
      <c r="K1425" s="62" t="s">
        <v>17</v>
      </c>
      <c r="L1425" s="62" t="s">
        <v>3</v>
      </c>
      <c r="M1425" s="62">
        <v>337.73</v>
      </c>
      <c r="N1425" s="62">
        <v>0</v>
      </c>
    </row>
    <row r="1426" spans="1:14">
      <c r="A1426" s="62">
        <v>2020</v>
      </c>
      <c r="B1426" s="62">
        <v>1</v>
      </c>
      <c r="C1426" s="62" t="s">
        <v>6</v>
      </c>
      <c r="D1426" s="62" t="s">
        <v>1</v>
      </c>
      <c r="E1426" s="62">
        <v>1785.9975</v>
      </c>
      <c r="F1426" s="62">
        <v>507.0979375</v>
      </c>
      <c r="I1426" s="62">
        <v>2024</v>
      </c>
      <c r="J1426" s="62">
        <v>5</v>
      </c>
      <c r="K1426" s="62" t="s">
        <v>17</v>
      </c>
      <c r="L1426" s="62" t="s">
        <v>3</v>
      </c>
      <c r="M1426" s="62">
        <v>263.625</v>
      </c>
      <c r="N1426" s="62">
        <v>0</v>
      </c>
    </row>
    <row r="1427" spans="1:14">
      <c r="A1427" s="62">
        <v>2020</v>
      </c>
      <c r="B1427" s="62">
        <v>2</v>
      </c>
      <c r="C1427" s="62" t="s">
        <v>6</v>
      </c>
      <c r="D1427" s="62" t="s">
        <v>1</v>
      </c>
      <c r="E1427" s="62">
        <v>2886.177</v>
      </c>
      <c r="F1427" s="62">
        <v>961.3796</v>
      </c>
      <c r="I1427" s="62">
        <v>2024</v>
      </c>
      <c r="J1427" s="62">
        <v>6</v>
      </c>
      <c r="K1427" s="62" t="s">
        <v>17</v>
      </c>
      <c r="L1427" s="62" t="s">
        <v>3</v>
      </c>
      <c r="M1427" s="62">
        <v>286.806</v>
      </c>
      <c r="N1427" s="62">
        <v>0</v>
      </c>
    </row>
    <row r="1428" spans="1:14">
      <c r="A1428" s="62">
        <v>2020</v>
      </c>
      <c r="B1428" s="62">
        <v>3</v>
      </c>
      <c r="C1428" s="62" t="s">
        <v>6</v>
      </c>
      <c r="D1428" s="62" t="s">
        <v>1</v>
      </c>
      <c r="E1428" s="62">
        <v>2876.2379</v>
      </c>
      <c r="F1428" s="62">
        <v>851.4941249999999</v>
      </c>
      <c r="I1428" s="62">
        <v>2024</v>
      </c>
      <c r="J1428" s="62">
        <v>7</v>
      </c>
      <c r="K1428" s="62" t="s">
        <v>17</v>
      </c>
      <c r="L1428" s="62" t="s">
        <v>3</v>
      </c>
      <c r="M1428" s="62">
        <v>289.065</v>
      </c>
      <c r="N1428" s="62">
        <v>0</v>
      </c>
    </row>
    <row r="1429" spans="1:14">
      <c r="A1429" s="62">
        <v>2020</v>
      </c>
      <c r="B1429" s="62">
        <v>4</v>
      </c>
      <c r="C1429" s="62" t="s">
        <v>6</v>
      </c>
      <c r="D1429" s="62" t="s">
        <v>1</v>
      </c>
      <c r="E1429" s="62">
        <v>7688.2765</v>
      </c>
      <c r="F1429" s="62">
        <v>1798.4614075</v>
      </c>
      <c r="I1429" s="62">
        <v>2024</v>
      </c>
      <c r="J1429" s="62">
        <v>8</v>
      </c>
      <c r="K1429" s="62" t="s">
        <v>17</v>
      </c>
      <c r="L1429" s="62" t="s">
        <v>3</v>
      </c>
      <c r="M1429" s="62">
        <v>255.999</v>
      </c>
      <c r="N1429" s="62">
        <v>0</v>
      </c>
    </row>
    <row r="1430" spans="1:14">
      <c r="A1430" s="62">
        <v>2020</v>
      </c>
      <c r="B1430" s="62">
        <v>5</v>
      </c>
      <c r="C1430" s="62" t="s">
        <v>6</v>
      </c>
      <c r="D1430" s="62" t="s">
        <v>1</v>
      </c>
      <c r="E1430" s="62">
        <v>7851.4063</v>
      </c>
      <c r="F1430" s="62">
        <v>1883.19161</v>
      </c>
      <c r="I1430" s="62">
        <v>2024</v>
      </c>
      <c r="J1430" s="62">
        <v>9</v>
      </c>
      <c r="K1430" s="62" t="s">
        <v>17</v>
      </c>
      <c r="L1430" s="62" t="s">
        <v>3</v>
      </c>
      <c r="M1430" s="62">
        <v>303.698</v>
      </c>
      <c r="N1430" s="62">
        <v>0</v>
      </c>
    </row>
    <row r="1431" spans="1:14">
      <c r="A1431" s="62">
        <v>2020</v>
      </c>
      <c r="B1431" s="62">
        <v>6</v>
      </c>
      <c r="C1431" s="62" t="s">
        <v>6</v>
      </c>
      <c r="D1431" s="62" t="s">
        <v>1</v>
      </c>
      <c r="E1431" s="62">
        <v>7601.2219</v>
      </c>
      <c r="F1431" s="62">
        <v>1823.5001075</v>
      </c>
      <c r="I1431" s="62">
        <v>2024</v>
      </c>
      <c r="J1431" s="62">
        <v>10</v>
      </c>
      <c r="K1431" s="62" t="s">
        <v>17</v>
      </c>
      <c r="L1431" s="62" t="s">
        <v>3</v>
      </c>
      <c r="M1431" s="62">
        <v>349.346</v>
      </c>
      <c r="N1431" s="62">
        <v>0</v>
      </c>
    </row>
    <row r="1432" spans="1:14">
      <c r="A1432" s="62">
        <v>2020</v>
      </c>
      <c r="B1432" s="62">
        <v>7</v>
      </c>
      <c r="C1432" s="62" t="s">
        <v>6</v>
      </c>
      <c r="D1432" s="62" t="s">
        <v>1</v>
      </c>
      <c r="E1432" s="62">
        <v>7303.5659</v>
      </c>
      <c r="F1432" s="62">
        <v>1665.76127</v>
      </c>
      <c r="I1432" s="62">
        <v>2024</v>
      </c>
      <c r="J1432" s="62">
        <v>11</v>
      </c>
      <c r="K1432" s="62" t="s">
        <v>17</v>
      </c>
      <c r="L1432" s="62" t="s">
        <v>3</v>
      </c>
      <c r="M1432" s="62">
        <v>108.632</v>
      </c>
      <c r="N1432" s="62">
        <v>0</v>
      </c>
    </row>
    <row r="1433" spans="1:14">
      <c r="A1433" s="62">
        <v>2020</v>
      </c>
      <c r="B1433" s="62">
        <v>8</v>
      </c>
      <c r="C1433" s="62" t="s">
        <v>6</v>
      </c>
      <c r="D1433" s="62" t="s">
        <v>1</v>
      </c>
      <c r="E1433" s="62">
        <v>7910.2516</v>
      </c>
      <c r="F1433" s="62">
        <v>1708.70286</v>
      </c>
      <c r="I1433" s="62">
        <v>2024</v>
      </c>
      <c r="J1433" s="62">
        <v>12</v>
      </c>
      <c r="K1433" s="62" t="s">
        <v>17</v>
      </c>
      <c r="L1433" s="62" t="s">
        <v>3</v>
      </c>
      <c r="M1433" s="62">
        <v>70.518</v>
      </c>
      <c r="N1433" s="62">
        <v>0</v>
      </c>
    </row>
    <row r="1434" spans="1:14">
      <c r="A1434" s="62">
        <v>2020</v>
      </c>
      <c r="B1434" s="62">
        <v>9</v>
      </c>
      <c r="C1434" s="62" t="s">
        <v>6</v>
      </c>
      <c r="D1434" s="62" t="s">
        <v>1</v>
      </c>
      <c r="E1434" s="62">
        <v>9614.5036</v>
      </c>
      <c r="F1434" s="62">
        <v>2138.619115</v>
      </c>
      <c r="I1434" s="62">
        <v>2025</v>
      </c>
      <c r="J1434" s="62">
        <v>1</v>
      </c>
      <c r="K1434" s="62" t="s">
        <v>17</v>
      </c>
      <c r="L1434" s="62" t="s">
        <v>3</v>
      </c>
      <c r="M1434" s="62">
        <v>235.722</v>
      </c>
      <c r="N1434" s="62">
        <v>0</v>
      </c>
    </row>
    <row r="1435" spans="1:14">
      <c r="A1435" s="62">
        <v>2020</v>
      </c>
      <c r="B1435" s="62">
        <v>10</v>
      </c>
      <c r="C1435" s="62" t="s">
        <v>6</v>
      </c>
      <c r="D1435" s="62" t="s">
        <v>1</v>
      </c>
      <c r="E1435" s="62">
        <v>9135.5026</v>
      </c>
      <c r="F1435" s="62">
        <v>2019.2615625</v>
      </c>
      <c r="I1435" s="62">
        <v>2025</v>
      </c>
      <c r="J1435" s="62">
        <v>2</v>
      </c>
      <c r="K1435" s="62" t="s">
        <v>17</v>
      </c>
      <c r="L1435" s="62" t="s">
        <v>3</v>
      </c>
      <c r="M1435" s="62">
        <v>560.383</v>
      </c>
      <c r="N1435" s="62">
        <v>0</v>
      </c>
    </row>
    <row r="1436" spans="1:14">
      <c r="A1436" s="62">
        <v>2020</v>
      </c>
      <c r="B1436" s="62">
        <v>11</v>
      </c>
      <c r="C1436" s="62" t="s">
        <v>6</v>
      </c>
      <c r="D1436" s="62" t="s">
        <v>1</v>
      </c>
      <c r="E1436" s="62">
        <v>7605.6366</v>
      </c>
      <c r="F1436" s="62">
        <v>1696.3905725</v>
      </c>
      <c r="I1436" s="62">
        <v>2025</v>
      </c>
      <c r="J1436" s="62">
        <v>3</v>
      </c>
      <c r="K1436" s="62" t="s">
        <v>17</v>
      </c>
      <c r="L1436" s="62" t="s">
        <v>3</v>
      </c>
      <c r="M1436" s="62">
        <v>568.83</v>
      </c>
      <c r="N1436" s="62">
        <v>0</v>
      </c>
    </row>
    <row r="1437" spans="1:14">
      <c r="A1437" s="62">
        <v>2020</v>
      </c>
      <c r="B1437" s="62">
        <v>12</v>
      </c>
      <c r="C1437" s="62" t="s">
        <v>6</v>
      </c>
      <c r="D1437" s="62" t="s">
        <v>1</v>
      </c>
      <c r="E1437" s="62">
        <v>7771.8891</v>
      </c>
      <c r="F1437" s="62">
        <v>1750.5279425</v>
      </c>
      <c r="I1437" s="62">
        <v>2025</v>
      </c>
      <c r="J1437" s="62">
        <v>4</v>
      </c>
      <c r="K1437" s="62" t="s">
        <v>17</v>
      </c>
      <c r="L1437" s="62" t="s">
        <v>3</v>
      </c>
      <c r="M1437" s="62">
        <v>635.1610000000001</v>
      </c>
      <c r="N1437" s="62">
        <v>0</v>
      </c>
    </row>
    <row r="1438" spans="1:14">
      <c r="A1438" s="62">
        <v>2021</v>
      </c>
      <c r="B1438" s="62">
        <v>1</v>
      </c>
      <c r="C1438" s="62" t="s">
        <v>6</v>
      </c>
      <c r="D1438" s="62" t="s">
        <v>1</v>
      </c>
      <c r="E1438" s="62">
        <v>7557.8432</v>
      </c>
      <c r="F1438" s="62">
        <v>1759.4465</v>
      </c>
      <c r="I1438" s="62">
        <v>2025</v>
      </c>
      <c r="J1438" s="62">
        <v>5</v>
      </c>
      <c r="K1438" s="62" t="s">
        <v>17</v>
      </c>
      <c r="L1438" s="62" t="s">
        <v>3</v>
      </c>
      <c r="M1438" s="62">
        <v>355.3466</v>
      </c>
      <c r="N1438" s="62">
        <v>0</v>
      </c>
    </row>
    <row r="1439" spans="1:14">
      <c r="A1439" s="62">
        <v>2021</v>
      </c>
      <c r="B1439" s="62">
        <v>2</v>
      </c>
      <c r="C1439" s="62" t="s">
        <v>6</v>
      </c>
      <c r="D1439" s="62" t="s">
        <v>1</v>
      </c>
      <c r="E1439" s="62">
        <v>12389.0081</v>
      </c>
      <c r="F1439" s="62">
        <v>2951.3724425</v>
      </c>
      <c r="I1439" s="62">
        <v>2025</v>
      </c>
      <c r="J1439" s="62">
        <v>6</v>
      </c>
      <c r="K1439" s="62" t="s">
        <v>17</v>
      </c>
      <c r="L1439" s="62" t="s">
        <v>3</v>
      </c>
      <c r="M1439" s="62">
        <v>243.725</v>
      </c>
      <c r="N1439" s="62">
        <v>0</v>
      </c>
    </row>
    <row r="1440" spans="1:14">
      <c r="A1440" s="62">
        <v>2021</v>
      </c>
      <c r="B1440" s="62">
        <v>3</v>
      </c>
      <c r="C1440" s="62" t="s">
        <v>6</v>
      </c>
      <c r="D1440" s="62" t="s">
        <v>1</v>
      </c>
      <c r="E1440" s="62">
        <v>8370.369199999999</v>
      </c>
      <c r="F1440" s="62">
        <v>1938.5899725</v>
      </c>
      <c r="I1440" s="62">
        <v>2025</v>
      </c>
      <c r="J1440" s="62">
        <v>7</v>
      </c>
      <c r="K1440" s="62" t="s">
        <v>17</v>
      </c>
      <c r="L1440" s="62" t="s">
        <v>3</v>
      </c>
      <c r="M1440" s="62">
        <v>201.909</v>
      </c>
      <c r="N1440" s="62">
        <v>0</v>
      </c>
    </row>
    <row r="1441" spans="1:14">
      <c r="A1441" s="62">
        <v>2021</v>
      </c>
      <c r="B1441" s="62">
        <v>4</v>
      </c>
      <c r="C1441" s="62" t="s">
        <v>6</v>
      </c>
      <c r="D1441" s="62" t="s">
        <v>1</v>
      </c>
      <c r="E1441" s="62">
        <v>3742.718</v>
      </c>
      <c r="F1441" s="62">
        <v>987.9912449999999</v>
      </c>
      <c r="I1441" s="62">
        <v>2025</v>
      </c>
      <c r="J1441" s="62">
        <v>8</v>
      </c>
      <c r="K1441" s="62" t="s">
        <v>17</v>
      </c>
      <c r="L1441" s="62" t="s">
        <v>3</v>
      </c>
      <c r="M1441" s="62">
        <v>247.703</v>
      </c>
      <c r="N1441" s="62">
        <v>0</v>
      </c>
    </row>
    <row r="1442" spans="1:14">
      <c r="A1442" s="62">
        <v>2021</v>
      </c>
      <c r="B1442" s="62">
        <v>5</v>
      </c>
      <c r="C1442" s="62" t="s">
        <v>6</v>
      </c>
      <c r="D1442" s="62" t="s">
        <v>1</v>
      </c>
      <c r="E1442" s="62">
        <v>1418.117</v>
      </c>
      <c r="F1442" s="62">
        <v>378.67401</v>
      </c>
      <c r="I1442" s="62">
        <v>2025</v>
      </c>
      <c r="J1442" s="62">
        <v>9</v>
      </c>
      <c r="K1442" s="62" t="s">
        <v>17</v>
      </c>
      <c r="L1442" s="62" t="s">
        <v>3</v>
      </c>
      <c r="M1442" s="62">
        <v>320.68</v>
      </c>
      <c r="N1442" s="62">
        <v>0</v>
      </c>
    </row>
    <row r="1443" spans="1:14">
      <c r="A1443" s="62">
        <v>2021</v>
      </c>
      <c r="B1443" s="62">
        <v>6</v>
      </c>
      <c r="C1443" s="62" t="s">
        <v>6</v>
      </c>
      <c r="D1443" s="62" t="s">
        <v>1</v>
      </c>
      <c r="E1443" s="62">
        <v>1596.3179</v>
      </c>
      <c r="F1443" s="62">
        <v>399.9126325</v>
      </c>
      <c r="I1443" s="62">
        <v>2025</v>
      </c>
      <c r="J1443" s="62">
        <v>10</v>
      </c>
      <c r="K1443" s="62" t="s">
        <v>17</v>
      </c>
      <c r="L1443" s="62" t="s">
        <v>3</v>
      </c>
      <c r="M1443" s="62">
        <v>612.6891000000001</v>
      </c>
      <c r="N1443" s="62">
        <v>0</v>
      </c>
    </row>
    <row r="1444" spans="1:14">
      <c r="A1444" s="62">
        <v>2021</v>
      </c>
      <c r="B1444" s="62">
        <v>7</v>
      </c>
      <c r="C1444" s="62" t="s">
        <v>6</v>
      </c>
      <c r="D1444" s="62" t="s">
        <v>1</v>
      </c>
      <c r="E1444" s="62">
        <v>1757.029</v>
      </c>
      <c r="F1444" s="62">
        <v>498.461375</v>
      </c>
      <c r="I1444" s="62">
        <v>2025</v>
      </c>
      <c r="J1444" s="62">
        <v>11</v>
      </c>
      <c r="K1444" s="62" t="s">
        <v>17</v>
      </c>
      <c r="L1444" s="62" t="s">
        <v>3</v>
      </c>
      <c r="M1444" s="62">
        <v>295.0725</v>
      </c>
      <c r="N1444" s="62">
        <v>0</v>
      </c>
    </row>
    <row r="1445" spans="1:14">
      <c r="A1445" s="62">
        <v>2021</v>
      </c>
      <c r="B1445" s="62">
        <v>8</v>
      </c>
      <c r="C1445" s="62" t="s">
        <v>6</v>
      </c>
      <c r="D1445" s="62" t="s">
        <v>1</v>
      </c>
      <c r="E1445" s="62">
        <v>2611.8574</v>
      </c>
      <c r="F1445" s="62">
        <v>685.263965</v>
      </c>
      <c r="I1445" s="62">
        <v>2025</v>
      </c>
      <c r="J1445" s="62">
        <v>12</v>
      </c>
      <c r="K1445" s="62" t="s">
        <v>17</v>
      </c>
      <c r="L1445" s="62" t="s">
        <v>3</v>
      </c>
      <c r="M1445" s="62">
        <v>257.991</v>
      </c>
      <c r="N1445" s="62">
        <v>0</v>
      </c>
    </row>
    <row r="1446" spans="1:14">
      <c r="A1446" s="62">
        <v>2021</v>
      </c>
      <c r="B1446" s="62">
        <v>9</v>
      </c>
      <c r="C1446" s="62" t="s">
        <v>6</v>
      </c>
      <c r="D1446" s="62" t="s">
        <v>1</v>
      </c>
      <c r="E1446" s="62">
        <v>5976.412</v>
      </c>
      <c r="F1446" s="62">
        <v>1402.784875</v>
      </c>
      <c r="I1446" s="62">
        <v>2026</v>
      </c>
      <c r="J1446" s="62">
        <v>1</v>
      </c>
      <c r="K1446" s="62" t="s">
        <v>17</v>
      </c>
      <c r="L1446" s="62" t="s">
        <v>3</v>
      </c>
      <c r="M1446" s="62">
        <v>162.12</v>
      </c>
      <c r="N1446" s="62">
        <v>0</v>
      </c>
    </row>
    <row r="1447" spans="1:14">
      <c r="A1447" s="62">
        <v>2021</v>
      </c>
      <c r="B1447" s="62">
        <v>10</v>
      </c>
      <c r="C1447" s="62" t="s">
        <v>6</v>
      </c>
      <c r="D1447" s="62" t="s">
        <v>1</v>
      </c>
      <c r="E1447" s="62">
        <v>4936.395</v>
      </c>
      <c r="F1447" s="62">
        <v>1212.690725</v>
      </c>
      <c r="I1447" s="62">
        <v>2026</v>
      </c>
      <c r="J1447" s="62">
        <v>2</v>
      </c>
      <c r="K1447" s="62" t="s">
        <v>17</v>
      </c>
      <c r="L1447" s="62" t="s">
        <v>3</v>
      </c>
      <c r="M1447" s="62">
        <v>334.989</v>
      </c>
      <c r="N1447" s="62">
        <v>0</v>
      </c>
    </row>
    <row r="1448" spans="1:14">
      <c r="A1448" s="62">
        <v>2021</v>
      </c>
      <c r="B1448" s="62">
        <v>11</v>
      </c>
      <c r="C1448" s="62" t="s">
        <v>6</v>
      </c>
      <c r="D1448" s="62" t="s">
        <v>1</v>
      </c>
      <c r="E1448" s="62">
        <v>3186.221</v>
      </c>
      <c r="F1448" s="62">
        <v>750.23215</v>
      </c>
      <c r="I1448" s="62">
        <v>2026</v>
      </c>
      <c r="J1448" s="62">
        <v>3</v>
      </c>
      <c r="K1448" s="62" t="s">
        <v>17</v>
      </c>
      <c r="L1448" s="62" t="s">
        <v>3</v>
      </c>
      <c r="M1448" s="62">
        <v>178.9815</v>
      </c>
      <c r="N1448" s="62">
        <v>0</v>
      </c>
    </row>
    <row r="1449" spans="1:14">
      <c r="A1449" s="62">
        <v>2021</v>
      </c>
      <c r="B1449" s="62">
        <v>12</v>
      </c>
      <c r="C1449" s="62" t="s">
        <v>6</v>
      </c>
      <c r="D1449" s="62" t="s">
        <v>1</v>
      </c>
      <c r="E1449" s="62">
        <v>2029.4184</v>
      </c>
      <c r="F1449" s="62">
        <v>537.490645</v>
      </c>
      <c r="I1449" s="62">
        <v>2026</v>
      </c>
      <c r="J1449" s="62">
        <v>4</v>
      </c>
      <c r="K1449" s="62" t="s">
        <v>17</v>
      </c>
      <c r="L1449" s="62" t="s">
        <v>3</v>
      </c>
      <c r="M1449" s="62">
        <v>191.567</v>
      </c>
      <c r="N1449" s="62">
        <v>0</v>
      </c>
    </row>
    <row r="1450" spans="1:14">
      <c r="A1450" s="62">
        <v>2022</v>
      </c>
      <c r="B1450" s="62">
        <v>1</v>
      </c>
      <c r="C1450" s="62" t="s">
        <v>6</v>
      </c>
      <c r="D1450" s="62" t="s">
        <v>1</v>
      </c>
      <c r="E1450" s="62">
        <v>2513.8459</v>
      </c>
      <c r="F1450" s="62">
        <v>731.6383049999999</v>
      </c>
      <c r="I1450" s="62">
        <v>2026</v>
      </c>
      <c r="J1450" s="62">
        <v>5</v>
      </c>
      <c r="K1450" s="62" t="s">
        <v>17</v>
      </c>
      <c r="L1450" s="62" t="s">
        <v>3</v>
      </c>
      <c r="M1450" s="62">
        <v>213.173</v>
      </c>
      <c r="N1450" s="62">
        <v>0</v>
      </c>
    </row>
    <row r="1451" spans="1:14">
      <c r="A1451" s="62">
        <v>2022</v>
      </c>
      <c r="B1451" s="62">
        <v>2</v>
      </c>
      <c r="C1451" s="62" t="s">
        <v>6</v>
      </c>
      <c r="D1451" s="62" t="s">
        <v>1</v>
      </c>
      <c r="E1451" s="62">
        <v>3524.756</v>
      </c>
      <c r="F1451" s="62">
        <v>878.54995</v>
      </c>
      <c r="I1451" s="62">
        <v>2026</v>
      </c>
      <c r="J1451" s="62">
        <v>6</v>
      </c>
      <c r="K1451" s="62" t="s">
        <v>17</v>
      </c>
      <c r="L1451" s="62" t="s">
        <v>3</v>
      </c>
      <c r="M1451" s="62">
        <v>320.695</v>
      </c>
      <c r="N1451" s="62">
        <v>0</v>
      </c>
    </row>
    <row r="1452" spans="1:14">
      <c r="A1452" s="62">
        <v>2022</v>
      </c>
      <c r="B1452" s="62">
        <v>3</v>
      </c>
      <c r="C1452" s="62" t="s">
        <v>6</v>
      </c>
      <c r="D1452" s="62" t="s">
        <v>1</v>
      </c>
      <c r="E1452" s="62">
        <v>2141.288</v>
      </c>
      <c r="F1452" s="62">
        <v>538.11315</v>
      </c>
      <c r="I1452" s="62">
        <v>2026</v>
      </c>
      <c r="J1452" s="62">
        <v>7</v>
      </c>
      <c r="K1452" s="62" t="s">
        <v>17</v>
      </c>
      <c r="L1452" s="62" t="s">
        <v>3</v>
      </c>
      <c r="M1452" s="62">
        <v>89.435</v>
      </c>
      <c r="N1452" s="62">
        <v>0</v>
      </c>
    </row>
    <row r="1453" spans="1:14">
      <c r="A1453" s="62">
        <v>2022</v>
      </c>
      <c r="B1453" s="62">
        <v>4</v>
      </c>
      <c r="C1453" s="62" t="s">
        <v>6</v>
      </c>
      <c r="D1453" s="62" t="s">
        <v>1</v>
      </c>
      <c r="E1453" s="62">
        <v>2173.2479</v>
      </c>
      <c r="F1453" s="62">
        <v>532.146115</v>
      </c>
      <c r="I1453" s="62">
        <v>2026</v>
      </c>
      <c r="J1453" s="62">
        <v>8</v>
      </c>
      <c r="K1453" s="62" t="s">
        <v>17</v>
      </c>
      <c r="L1453" s="62" t="s">
        <v>3</v>
      </c>
      <c r="M1453" s="62">
        <v>47</v>
      </c>
      <c r="N1453" s="62">
        <v>0</v>
      </c>
    </row>
    <row r="1454" spans="1:14">
      <c r="A1454" s="62">
        <v>2022</v>
      </c>
      <c r="B1454" s="62">
        <v>5</v>
      </c>
      <c r="C1454" s="62" t="s">
        <v>6</v>
      </c>
      <c r="D1454" s="62" t="s">
        <v>1</v>
      </c>
      <c r="E1454" s="62">
        <v>2013.9128</v>
      </c>
      <c r="F1454" s="62">
        <v>405.633115</v>
      </c>
      <c r="I1454" s="62">
        <v>2026</v>
      </c>
      <c r="J1454" s="62">
        <v>9</v>
      </c>
      <c r="K1454" s="62" t="s">
        <v>17</v>
      </c>
      <c r="L1454" s="62" t="s">
        <v>3</v>
      </c>
      <c r="M1454" s="62">
        <v>47</v>
      </c>
      <c r="N1454" s="62">
        <v>0</v>
      </c>
    </row>
    <row r="1455" spans="1:14">
      <c r="A1455" s="62">
        <v>2022</v>
      </c>
      <c r="B1455" s="62">
        <v>6</v>
      </c>
      <c r="C1455" s="62" t="s">
        <v>6</v>
      </c>
      <c r="D1455" s="62" t="s">
        <v>1</v>
      </c>
      <c r="E1455" s="62">
        <v>1376.732</v>
      </c>
      <c r="F1455" s="62">
        <v>324.33315</v>
      </c>
      <c r="I1455" s="62">
        <v>2026</v>
      </c>
      <c r="J1455" s="62">
        <v>10</v>
      </c>
      <c r="K1455" s="62" t="s">
        <v>17</v>
      </c>
      <c r="L1455" s="62" t="s">
        <v>3</v>
      </c>
      <c r="M1455" s="62">
        <v>47</v>
      </c>
      <c r="N1455" s="62">
        <v>0</v>
      </c>
    </row>
    <row r="1456" spans="1:14">
      <c r="A1456" s="62">
        <v>2022</v>
      </c>
      <c r="B1456" s="62">
        <v>7</v>
      </c>
      <c r="C1456" s="62" t="s">
        <v>6</v>
      </c>
      <c r="D1456" s="62" t="s">
        <v>1</v>
      </c>
      <c r="E1456" s="62">
        <v>1093.184</v>
      </c>
      <c r="F1456" s="62">
        <v>263.929</v>
      </c>
      <c r="I1456" s="62">
        <v>2026</v>
      </c>
      <c r="J1456" s="62">
        <v>11</v>
      </c>
      <c r="K1456" s="62" t="s">
        <v>17</v>
      </c>
      <c r="L1456" s="62" t="s">
        <v>3</v>
      </c>
      <c r="M1456" s="62">
        <v>42.3</v>
      </c>
      <c r="N1456" s="62">
        <v>0</v>
      </c>
    </row>
    <row r="1457" spans="1:14">
      <c r="A1457" s="62">
        <v>2022</v>
      </c>
      <c r="B1457" s="62">
        <v>8</v>
      </c>
      <c r="C1457" s="62" t="s">
        <v>6</v>
      </c>
      <c r="D1457" s="62" t="s">
        <v>1</v>
      </c>
      <c r="E1457" s="62">
        <v>1440.619</v>
      </c>
      <c r="F1457" s="62">
        <v>326.2652</v>
      </c>
      <c r="I1457" s="62">
        <v>2014</v>
      </c>
      <c r="J1457" s="62">
        <v>1</v>
      </c>
      <c r="K1457" s="62" t="s">
        <v>18</v>
      </c>
      <c r="L1457" s="62" t="s">
        <v>1</v>
      </c>
      <c r="M1457" s="62">
        <v>261.09</v>
      </c>
      <c r="N1457" s="62">
        <v>169.7085</v>
      </c>
    </row>
    <row r="1458" spans="1:14">
      <c r="A1458" s="62">
        <v>2022</v>
      </c>
      <c r="B1458" s="62">
        <v>9</v>
      </c>
      <c r="C1458" s="62" t="s">
        <v>6</v>
      </c>
      <c r="D1458" s="62" t="s">
        <v>1</v>
      </c>
      <c r="E1458" s="62">
        <v>1749.0999</v>
      </c>
      <c r="F1458" s="62">
        <v>406.5574175</v>
      </c>
      <c r="I1458" s="62">
        <v>2014</v>
      </c>
      <c r="J1458" s="62">
        <v>2</v>
      </c>
      <c r="K1458" s="62" t="s">
        <v>18</v>
      </c>
      <c r="L1458" s="62" t="s">
        <v>1</v>
      </c>
      <c r="M1458" s="62">
        <v>464.038</v>
      </c>
      <c r="N1458" s="62">
        <v>301.6247</v>
      </c>
    </row>
    <row r="1459" spans="1:14">
      <c r="A1459" s="62">
        <v>2022</v>
      </c>
      <c r="B1459" s="62">
        <v>10</v>
      </c>
      <c r="C1459" s="62" t="s">
        <v>6</v>
      </c>
      <c r="D1459" s="62" t="s">
        <v>1</v>
      </c>
      <c r="E1459" s="62">
        <v>3314.046</v>
      </c>
      <c r="F1459" s="62">
        <v>793.810525</v>
      </c>
      <c r="I1459" s="62">
        <v>2014</v>
      </c>
      <c r="J1459" s="62">
        <v>3</v>
      </c>
      <c r="K1459" s="62" t="s">
        <v>18</v>
      </c>
      <c r="L1459" s="62" t="s">
        <v>1</v>
      </c>
      <c r="M1459" s="62">
        <v>552.8100000000001</v>
      </c>
      <c r="N1459" s="62">
        <v>359.3265</v>
      </c>
    </row>
    <row r="1460" spans="1:14">
      <c r="A1460" s="62">
        <v>2022</v>
      </c>
      <c r="B1460" s="62">
        <v>11</v>
      </c>
      <c r="C1460" s="62" t="s">
        <v>6</v>
      </c>
      <c r="D1460" s="62" t="s">
        <v>1</v>
      </c>
      <c r="E1460" s="62">
        <v>1873.8921</v>
      </c>
      <c r="F1460" s="62">
        <v>472.42717</v>
      </c>
      <c r="I1460" s="62">
        <v>2014</v>
      </c>
      <c r="J1460" s="62">
        <v>4</v>
      </c>
      <c r="K1460" s="62" t="s">
        <v>18</v>
      </c>
      <c r="L1460" s="62" t="s">
        <v>1</v>
      </c>
      <c r="M1460" s="62">
        <v>421.23</v>
      </c>
      <c r="N1460" s="62">
        <v>273.7995</v>
      </c>
    </row>
    <row r="1461" spans="1:14">
      <c r="A1461" s="62">
        <v>2022</v>
      </c>
      <c r="B1461" s="62">
        <v>12</v>
      </c>
      <c r="C1461" s="62" t="s">
        <v>6</v>
      </c>
      <c r="D1461" s="62" t="s">
        <v>1</v>
      </c>
      <c r="E1461" s="62">
        <v>3154.5108</v>
      </c>
      <c r="F1461" s="62">
        <v>790.722495</v>
      </c>
      <c r="I1461" s="62">
        <v>2014</v>
      </c>
      <c r="J1461" s="62">
        <v>5</v>
      </c>
      <c r="K1461" s="62" t="s">
        <v>18</v>
      </c>
      <c r="L1461" s="62" t="s">
        <v>1</v>
      </c>
      <c r="M1461" s="62">
        <v>236.15</v>
      </c>
      <c r="N1461" s="62">
        <v>153.4975</v>
      </c>
    </row>
    <row r="1462" spans="1:14">
      <c r="A1462" s="62">
        <v>2023</v>
      </c>
      <c r="B1462" s="62">
        <v>1</v>
      </c>
      <c r="C1462" s="62" t="s">
        <v>6</v>
      </c>
      <c r="D1462" s="62" t="s">
        <v>1</v>
      </c>
      <c r="E1462" s="62">
        <v>3219.0812</v>
      </c>
      <c r="F1462" s="62">
        <v>851.936145</v>
      </c>
      <c r="I1462" s="62">
        <v>2014</v>
      </c>
      <c r="J1462" s="62">
        <v>6</v>
      </c>
      <c r="K1462" s="62" t="s">
        <v>18</v>
      </c>
      <c r="L1462" s="62" t="s">
        <v>1</v>
      </c>
      <c r="M1462" s="62">
        <v>180.804</v>
      </c>
      <c r="N1462" s="62">
        <v>117.5226</v>
      </c>
    </row>
    <row r="1463" spans="1:14">
      <c r="A1463" s="62">
        <v>2023</v>
      </c>
      <c r="B1463" s="62">
        <v>2</v>
      </c>
      <c r="C1463" s="62" t="s">
        <v>6</v>
      </c>
      <c r="D1463" s="62" t="s">
        <v>1</v>
      </c>
      <c r="E1463" s="62">
        <v>3622.339</v>
      </c>
      <c r="F1463" s="62">
        <v>908.4785000000001</v>
      </c>
      <c r="I1463" s="62">
        <v>2014</v>
      </c>
      <c r="J1463" s="62">
        <v>7</v>
      </c>
      <c r="K1463" s="62" t="s">
        <v>18</v>
      </c>
      <c r="L1463" s="62" t="s">
        <v>1</v>
      </c>
      <c r="M1463" s="62">
        <v>208.371</v>
      </c>
      <c r="N1463" s="62">
        <v>135.44115</v>
      </c>
    </row>
    <row r="1464" spans="1:14">
      <c r="A1464" s="62">
        <v>2023</v>
      </c>
      <c r="B1464" s="62">
        <v>3</v>
      </c>
      <c r="C1464" s="62" t="s">
        <v>6</v>
      </c>
      <c r="D1464" s="62" t="s">
        <v>1</v>
      </c>
      <c r="E1464" s="62">
        <v>3305.26</v>
      </c>
      <c r="F1464" s="62">
        <v>767.3908750000001</v>
      </c>
      <c r="I1464" s="62">
        <v>2014</v>
      </c>
      <c r="J1464" s="62">
        <v>8</v>
      </c>
      <c r="K1464" s="62" t="s">
        <v>18</v>
      </c>
      <c r="L1464" s="62" t="s">
        <v>1</v>
      </c>
      <c r="M1464" s="62">
        <v>261.512</v>
      </c>
      <c r="N1464" s="62">
        <v>169.9828</v>
      </c>
    </row>
    <row r="1465" spans="1:14">
      <c r="A1465" s="62">
        <v>2023</v>
      </c>
      <c r="B1465" s="62">
        <v>4</v>
      </c>
      <c r="C1465" s="62" t="s">
        <v>6</v>
      </c>
      <c r="D1465" s="62" t="s">
        <v>1</v>
      </c>
      <c r="E1465" s="62">
        <v>2929.6089</v>
      </c>
      <c r="F1465" s="62">
        <v>613.9717075</v>
      </c>
      <c r="I1465" s="62">
        <v>2014</v>
      </c>
      <c r="J1465" s="62">
        <v>9</v>
      </c>
      <c r="K1465" s="62" t="s">
        <v>18</v>
      </c>
      <c r="L1465" s="62" t="s">
        <v>1</v>
      </c>
      <c r="M1465" s="62">
        <v>717.845</v>
      </c>
      <c r="N1465" s="62">
        <v>466.59925</v>
      </c>
    </row>
    <row r="1466" spans="1:14">
      <c r="A1466" s="62">
        <v>2023</v>
      </c>
      <c r="B1466" s="62">
        <v>5</v>
      </c>
      <c r="C1466" s="62" t="s">
        <v>6</v>
      </c>
      <c r="D1466" s="62" t="s">
        <v>1</v>
      </c>
      <c r="E1466" s="62">
        <v>2020.7778</v>
      </c>
      <c r="F1466" s="62">
        <v>488.323215</v>
      </c>
      <c r="I1466" s="62">
        <v>2014</v>
      </c>
      <c r="J1466" s="62">
        <v>10</v>
      </c>
      <c r="K1466" s="62" t="s">
        <v>18</v>
      </c>
      <c r="L1466" s="62" t="s">
        <v>1</v>
      </c>
      <c r="M1466" s="62">
        <v>808.284</v>
      </c>
      <c r="N1466" s="62">
        <v>525.3846</v>
      </c>
    </row>
    <row r="1467" spans="1:14">
      <c r="A1467" s="62">
        <v>2023</v>
      </c>
      <c r="B1467" s="62">
        <v>6</v>
      </c>
      <c r="C1467" s="62" t="s">
        <v>6</v>
      </c>
      <c r="D1467" s="62" t="s">
        <v>1</v>
      </c>
      <c r="E1467" s="62">
        <v>1367.2069</v>
      </c>
      <c r="F1467" s="62">
        <v>381.168275</v>
      </c>
      <c r="I1467" s="62">
        <v>2014</v>
      </c>
      <c r="J1467" s="62">
        <v>11</v>
      </c>
      <c r="K1467" s="62" t="s">
        <v>18</v>
      </c>
      <c r="L1467" s="62" t="s">
        <v>1</v>
      </c>
      <c r="M1467" s="62">
        <v>209.6575</v>
      </c>
      <c r="N1467" s="62">
        <v>136.277375</v>
      </c>
    </row>
    <row r="1468" spans="1:14">
      <c r="A1468" s="62">
        <v>2023</v>
      </c>
      <c r="B1468" s="62">
        <v>7</v>
      </c>
      <c r="C1468" s="62" t="s">
        <v>6</v>
      </c>
      <c r="D1468" s="62" t="s">
        <v>1</v>
      </c>
      <c r="E1468" s="62">
        <v>772.8094</v>
      </c>
      <c r="F1468" s="62">
        <v>219.78113</v>
      </c>
      <c r="I1468" s="62">
        <v>2014</v>
      </c>
      <c r="J1468" s="62">
        <v>12</v>
      </c>
      <c r="K1468" s="62" t="s">
        <v>18</v>
      </c>
      <c r="L1468" s="62" t="s">
        <v>1</v>
      </c>
      <c r="M1468" s="62">
        <v>75.605</v>
      </c>
      <c r="N1468" s="62">
        <v>49.14325</v>
      </c>
    </row>
    <row r="1469" spans="1:14">
      <c r="A1469" s="62">
        <v>2023</v>
      </c>
      <c r="B1469" s="62">
        <v>8</v>
      </c>
      <c r="C1469" s="62" t="s">
        <v>6</v>
      </c>
      <c r="D1469" s="62" t="s">
        <v>1</v>
      </c>
      <c r="E1469" s="62">
        <v>1367.907</v>
      </c>
      <c r="F1469" s="62">
        <v>374.16935</v>
      </c>
      <c r="I1469" s="62">
        <v>2015</v>
      </c>
      <c r="J1469" s="62">
        <v>1</v>
      </c>
      <c r="K1469" s="62" t="s">
        <v>18</v>
      </c>
      <c r="L1469" s="62" t="s">
        <v>1</v>
      </c>
      <c r="M1469" s="62">
        <v>504.939</v>
      </c>
      <c r="N1469" s="62">
        <v>328.21035</v>
      </c>
    </row>
    <row r="1470" spans="1:14">
      <c r="A1470" s="62">
        <v>2023</v>
      </c>
      <c r="B1470" s="62">
        <v>9</v>
      </c>
      <c r="C1470" s="62" t="s">
        <v>6</v>
      </c>
      <c r="D1470" s="62" t="s">
        <v>1</v>
      </c>
      <c r="E1470" s="62">
        <v>1980.1739</v>
      </c>
      <c r="F1470" s="62">
        <v>470.0961925</v>
      </c>
      <c r="I1470" s="62">
        <v>2015</v>
      </c>
      <c r="J1470" s="62">
        <v>2</v>
      </c>
      <c r="K1470" s="62" t="s">
        <v>18</v>
      </c>
      <c r="L1470" s="62" t="s">
        <v>1</v>
      </c>
      <c r="M1470" s="62">
        <v>813.1065</v>
      </c>
      <c r="N1470" s="62">
        <v>528.519225</v>
      </c>
    </row>
    <row r="1471" spans="1:14">
      <c r="A1471" s="62">
        <v>2023</v>
      </c>
      <c r="B1471" s="62">
        <v>10</v>
      </c>
      <c r="C1471" s="62" t="s">
        <v>6</v>
      </c>
      <c r="D1471" s="62" t="s">
        <v>1</v>
      </c>
      <c r="E1471" s="62">
        <v>3552.627</v>
      </c>
      <c r="F1471" s="62">
        <v>843.562625</v>
      </c>
      <c r="I1471" s="62">
        <v>2015</v>
      </c>
      <c r="J1471" s="62">
        <v>3</v>
      </c>
      <c r="K1471" s="62" t="s">
        <v>18</v>
      </c>
      <c r="L1471" s="62" t="s">
        <v>1</v>
      </c>
      <c r="M1471" s="62">
        <v>896.707</v>
      </c>
      <c r="N1471" s="62">
        <v>582.85955</v>
      </c>
    </row>
    <row r="1472" spans="1:14">
      <c r="A1472" s="62">
        <v>2023</v>
      </c>
      <c r="B1472" s="62">
        <v>11</v>
      </c>
      <c r="C1472" s="62" t="s">
        <v>6</v>
      </c>
      <c r="D1472" s="62" t="s">
        <v>1</v>
      </c>
      <c r="E1472" s="62">
        <v>1809.522</v>
      </c>
      <c r="F1472" s="62">
        <v>452.701675</v>
      </c>
      <c r="I1472" s="62">
        <v>2015</v>
      </c>
      <c r="J1472" s="62">
        <v>4</v>
      </c>
      <c r="K1472" s="62" t="s">
        <v>18</v>
      </c>
      <c r="L1472" s="62" t="s">
        <v>1</v>
      </c>
      <c r="M1472" s="62">
        <v>568.59</v>
      </c>
      <c r="N1472" s="62">
        <v>369.5835</v>
      </c>
    </row>
    <row r="1473" spans="1:14">
      <c r="A1473" s="62">
        <v>2023</v>
      </c>
      <c r="B1473" s="62">
        <v>12</v>
      </c>
      <c r="C1473" s="62" t="s">
        <v>6</v>
      </c>
      <c r="D1473" s="62" t="s">
        <v>1</v>
      </c>
      <c r="E1473" s="62">
        <v>541.6272</v>
      </c>
      <c r="F1473" s="62">
        <v>140.652265</v>
      </c>
      <c r="I1473" s="62">
        <v>2015</v>
      </c>
      <c r="J1473" s="62">
        <v>5</v>
      </c>
      <c r="K1473" s="62" t="s">
        <v>18</v>
      </c>
      <c r="L1473" s="62" t="s">
        <v>1</v>
      </c>
      <c r="M1473" s="62">
        <v>345.908</v>
      </c>
      <c r="N1473" s="62">
        <v>224.8402</v>
      </c>
    </row>
    <row r="1474" spans="1:14">
      <c r="A1474" s="62">
        <v>2024</v>
      </c>
      <c r="B1474" s="62">
        <v>1</v>
      </c>
      <c r="C1474" s="62" t="s">
        <v>6</v>
      </c>
      <c r="D1474" s="62" t="s">
        <v>1</v>
      </c>
      <c r="E1474" s="62">
        <v>3897.7506</v>
      </c>
      <c r="F1474" s="62">
        <v>903.9183449999999</v>
      </c>
      <c r="I1474" s="62">
        <v>2015</v>
      </c>
      <c r="J1474" s="62">
        <v>6</v>
      </c>
      <c r="K1474" s="62" t="s">
        <v>18</v>
      </c>
      <c r="L1474" s="62" t="s">
        <v>1</v>
      </c>
      <c r="M1474" s="62">
        <v>374.441</v>
      </c>
      <c r="N1474" s="62">
        <v>243.38665</v>
      </c>
    </row>
    <row r="1475" spans="1:14">
      <c r="A1475" s="62">
        <v>2024</v>
      </c>
      <c r="B1475" s="62">
        <v>2</v>
      </c>
      <c r="C1475" s="62" t="s">
        <v>6</v>
      </c>
      <c r="D1475" s="62" t="s">
        <v>1</v>
      </c>
      <c r="E1475" s="62">
        <v>5540.9283</v>
      </c>
      <c r="F1475" s="62">
        <v>1360.3172325</v>
      </c>
      <c r="I1475" s="62">
        <v>2015</v>
      </c>
      <c r="J1475" s="62">
        <v>7</v>
      </c>
      <c r="K1475" s="62" t="s">
        <v>18</v>
      </c>
      <c r="L1475" s="62" t="s">
        <v>1</v>
      </c>
      <c r="M1475" s="62">
        <v>229.29</v>
      </c>
      <c r="N1475" s="62">
        <v>149.0385</v>
      </c>
    </row>
    <row r="1476" spans="1:14">
      <c r="A1476" s="62">
        <v>2024</v>
      </c>
      <c r="B1476" s="62">
        <v>3</v>
      </c>
      <c r="C1476" s="62" t="s">
        <v>6</v>
      </c>
      <c r="D1476" s="62" t="s">
        <v>1</v>
      </c>
      <c r="E1476" s="62">
        <v>2248.1637</v>
      </c>
      <c r="F1476" s="62">
        <v>621.1104925</v>
      </c>
      <c r="I1476" s="62">
        <v>2015</v>
      </c>
      <c r="J1476" s="62">
        <v>8</v>
      </c>
      <c r="K1476" s="62" t="s">
        <v>18</v>
      </c>
      <c r="L1476" s="62" t="s">
        <v>1</v>
      </c>
      <c r="M1476" s="62">
        <v>215.23</v>
      </c>
      <c r="N1476" s="62">
        <v>139.8995</v>
      </c>
    </row>
    <row r="1477" spans="1:14">
      <c r="A1477" s="62">
        <v>2024</v>
      </c>
      <c r="B1477" s="62">
        <v>4</v>
      </c>
      <c r="C1477" s="62" t="s">
        <v>6</v>
      </c>
      <c r="D1477" s="62" t="s">
        <v>1</v>
      </c>
      <c r="E1477" s="62">
        <v>2012.658</v>
      </c>
      <c r="F1477" s="62">
        <v>581.6270499999999</v>
      </c>
      <c r="I1477" s="62">
        <v>2015</v>
      </c>
      <c r="J1477" s="62">
        <v>9</v>
      </c>
      <c r="K1477" s="62" t="s">
        <v>18</v>
      </c>
      <c r="L1477" s="62" t="s">
        <v>1</v>
      </c>
      <c r="M1477" s="62">
        <v>359.046</v>
      </c>
      <c r="N1477" s="62">
        <v>233.3799</v>
      </c>
    </row>
    <row r="1478" spans="1:14">
      <c r="A1478" s="62">
        <v>2024</v>
      </c>
      <c r="B1478" s="62">
        <v>5</v>
      </c>
      <c r="C1478" s="62" t="s">
        <v>6</v>
      </c>
      <c r="D1478" s="62" t="s">
        <v>1</v>
      </c>
      <c r="E1478" s="62">
        <v>1141.365</v>
      </c>
      <c r="F1478" s="62">
        <v>317.107</v>
      </c>
      <c r="I1478" s="62">
        <v>2015</v>
      </c>
      <c r="J1478" s="62">
        <v>10</v>
      </c>
      <c r="K1478" s="62" t="s">
        <v>18</v>
      </c>
      <c r="L1478" s="62" t="s">
        <v>1</v>
      </c>
      <c r="M1478" s="62">
        <v>725.38</v>
      </c>
      <c r="N1478" s="62">
        <v>471.497</v>
      </c>
    </row>
    <row r="1479" spans="1:14">
      <c r="A1479" s="62">
        <v>2024</v>
      </c>
      <c r="B1479" s="62">
        <v>6</v>
      </c>
      <c r="C1479" s="62" t="s">
        <v>6</v>
      </c>
      <c r="D1479" s="62" t="s">
        <v>1</v>
      </c>
      <c r="E1479" s="62">
        <v>1180.7915</v>
      </c>
      <c r="F1479" s="62">
        <v>322.5100125</v>
      </c>
      <c r="I1479" s="62">
        <v>2015</v>
      </c>
      <c r="J1479" s="62">
        <v>11</v>
      </c>
      <c r="K1479" s="62" t="s">
        <v>18</v>
      </c>
      <c r="L1479" s="62" t="s">
        <v>1</v>
      </c>
      <c r="M1479" s="62">
        <v>579.409</v>
      </c>
      <c r="N1479" s="62">
        <v>376.61585</v>
      </c>
    </row>
    <row r="1480" spans="1:14">
      <c r="A1480" s="62">
        <v>2024</v>
      </c>
      <c r="B1480" s="62">
        <v>7</v>
      </c>
      <c r="C1480" s="62" t="s">
        <v>6</v>
      </c>
      <c r="D1480" s="62" t="s">
        <v>1</v>
      </c>
      <c r="E1480" s="62">
        <v>1019.787</v>
      </c>
      <c r="F1480" s="62">
        <v>285.37775</v>
      </c>
      <c r="I1480" s="62">
        <v>2015</v>
      </c>
      <c r="J1480" s="62">
        <v>12</v>
      </c>
      <c r="K1480" s="62" t="s">
        <v>18</v>
      </c>
      <c r="L1480" s="62" t="s">
        <v>1</v>
      </c>
      <c r="M1480" s="62">
        <v>419.96</v>
      </c>
      <c r="N1480" s="62">
        <v>272.974</v>
      </c>
    </row>
    <row r="1481" spans="1:14">
      <c r="A1481" s="62">
        <v>2024</v>
      </c>
      <c r="B1481" s="62">
        <v>8</v>
      </c>
      <c r="C1481" s="62" t="s">
        <v>6</v>
      </c>
      <c r="D1481" s="62" t="s">
        <v>1</v>
      </c>
      <c r="E1481" s="62">
        <v>1019.9182</v>
      </c>
      <c r="F1481" s="62">
        <v>269.51269</v>
      </c>
      <c r="I1481" s="62">
        <v>2016</v>
      </c>
      <c r="J1481" s="62">
        <v>1</v>
      </c>
      <c r="K1481" s="62" t="s">
        <v>18</v>
      </c>
      <c r="L1481" s="62" t="s">
        <v>1</v>
      </c>
      <c r="M1481" s="62">
        <v>332.69</v>
      </c>
      <c r="N1481" s="62">
        <v>216.2485</v>
      </c>
    </row>
    <row r="1482" spans="1:14">
      <c r="A1482" s="62">
        <v>2024</v>
      </c>
      <c r="B1482" s="62">
        <v>9</v>
      </c>
      <c r="C1482" s="62" t="s">
        <v>6</v>
      </c>
      <c r="D1482" s="62" t="s">
        <v>1</v>
      </c>
      <c r="E1482" s="62">
        <v>1784.1745</v>
      </c>
      <c r="F1482" s="62">
        <v>462.90385</v>
      </c>
      <c r="I1482" s="62">
        <v>2016</v>
      </c>
      <c r="J1482" s="62">
        <v>2</v>
      </c>
      <c r="K1482" s="62" t="s">
        <v>18</v>
      </c>
      <c r="L1482" s="62" t="s">
        <v>1</v>
      </c>
      <c r="M1482" s="62">
        <v>459.97</v>
      </c>
      <c r="N1482" s="62">
        <v>298.9805</v>
      </c>
    </row>
    <row r="1483" spans="1:14">
      <c r="A1483" s="62">
        <v>2024</v>
      </c>
      <c r="B1483" s="62">
        <v>10</v>
      </c>
      <c r="C1483" s="62" t="s">
        <v>6</v>
      </c>
      <c r="D1483" s="62" t="s">
        <v>1</v>
      </c>
      <c r="E1483" s="62">
        <v>2036.786</v>
      </c>
      <c r="F1483" s="62">
        <v>503.7256</v>
      </c>
      <c r="I1483" s="62">
        <v>2016</v>
      </c>
      <c r="J1483" s="62">
        <v>3</v>
      </c>
      <c r="K1483" s="62" t="s">
        <v>18</v>
      </c>
      <c r="L1483" s="62" t="s">
        <v>1</v>
      </c>
      <c r="M1483" s="62">
        <v>393.5165</v>
      </c>
      <c r="N1483" s="62">
        <v>255.785725</v>
      </c>
    </row>
    <row r="1484" spans="1:14">
      <c r="A1484" s="62">
        <v>2024</v>
      </c>
      <c r="B1484" s="62">
        <v>11</v>
      </c>
      <c r="C1484" s="62" t="s">
        <v>6</v>
      </c>
      <c r="D1484" s="62" t="s">
        <v>1</v>
      </c>
      <c r="E1484" s="62">
        <v>1212.9515</v>
      </c>
      <c r="F1484" s="62">
        <v>289.193825</v>
      </c>
      <c r="I1484" s="62">
        <v>2016</v>
      </c>
      <c r="J1484" s="62">
        <v>4</v>
      </c>
      <c r="K1484" s="62" t="s">
        <v>18</v>
      </c>
      <c r="L1484" s="62" t="s">
        <v>1</v>
      </c>
      <c r="M1484" s="62">
        <v>468.0525</v>
      </c>
      <c r="N1484" s="62">
        <v>304.234125</v>
      </c>
    </row>
    <row r="1485" spans="1:14">
      <c r="A1485" s="62">
        <v>2024</v>
      </c>
      <c r="B1485" s="62">
        <v>12</v>
      </c>
      <c r="C1485" s="62" t="s">
        <v>6</v>
      </c>
      <c r="D1485" s="62" t="s">
        <v>1</v>
      </c>
      <c r="E1485" s="62">
        <v>324.6714</v>
      </c>
      <c r="F1485" s="62">
        <v>74.81273</v>
      </c>
      <c r="I1485" s="62">
        <v>2016</v>
      </c>
      <c r="J1485" s="62">
        <v>5</v>
      </c>
      <c r="K1485" s="62" t="s">
        <v>18</v>
      </c>
      <c r="L1485" s="62" t="s">
        <v>1</v>
      </c>
      <c r="M1485" s="62">
        <v>308.546</v>
      </c>
      <c r="N1485" s="62">
        <v>200.5549</v>
      </c>
    </row>
    <row r="1486" spans="1:14">
      <c r="A1486" s="62">
        <v>2025</v>
      </c>
      <c r="B1486" s="62">
        <v>1</v>
      </c>
      <c r="C1486" s="62" t="s">
        <v>6</v>
      </c>
      <c r="D1486" s="62" t="s">
        <v>1</v>
      </c>
      <c r="E1486" s="62">
        <v>2513.4756</v>
      </c>
      <c r="F1486" s="62">
        <v>483.9641625</v>
      </c>
      <c r="I1486" s="62">
        <v>2016</v>
      </c>
      <c r="J1486" s="62">
        <v>6</v>
      </c>
      <c r="K1486" s="62" t="s">
        <v>18</v>
      </c>
      <c r="L1486" s="62" t="s">
        <v>1</v>
      </c>
      <c r="M1486" s="62">
        <v>156.76</v>
      </c>
      <c r="N1486" s="62">
        <v>101.894</v>
      </c>
    </row>
    <row r="1487" spans="1:14">
      <c r="A1487" s="62">
        <v>2025</v>
      </c>
      <c r="B1487" s="62">
        <v>2</v>
      </c>
      <c r="C1487" s="62" t="s">
        <v>6</v>
      </c>
      <c r="D1487" s="62" t="s">
        <v>1</v>
      </c>
      <c r="E1487" s="62">
        <v>2916.5111</v>
      </c>
      <c r="F1487" s="62">
        <v>574.3129775</v>
      </c>
      <c r="I1487" s="62">
        <v>2016</v>
      </c>
      <c r="J1487" s="62">
        <v>7</v>
      </c>
      <c r="K1487" s="62" t="s">
        <v>18</v>
      </c>
      <c r="L1487" s="62" t="s">
        <v>1</v>
      </c>
      <c r="M1487" s="62">
        <v>145.23</v>
      </c>
      <c r="N1487" s="62">
        <v>94.39950000000002</v>
      </c>
    </row>
    <row r="1488" spans="1:14">
      <c r="A1488" s="62">
        <v>2025</v>
      </c>
      <c r="B1488" s="62">
        <v>3</v>
      </c>
      <c r="C1488" s="62" t="s">
        <v>6</v>
      </c>
      <c r="D1488" s="62" t="s">
        <v>1</v>
      </c>
      <c r="E1488" s="62">
        <v>1164.668</v>
      </c>
      <c r="F1488" s="62">
        <v>300.299475</v>
      </c>
      <c r="I1488" s="62">
        <v>2016</v>
      </c>
      <c r="J1488" s="62">
        <v>8</v>
      </c>
      <c r="K1488" s="62" t="s">
        <v>18</v>
      </c>
      <c r="L1488" s="62" t="s">
        <v>1</v>
      </c>
      <c r="M1488" s="62">
        <v>97.11</v>
      </c>
      <c r="N1488" s="62">
        <v>63.1215</v>
      </c>
    </row>
    <row r="1489" spans="1:14">
      <c r="A1489" s="62">
        <v>2025</v>
      </c>
      <c r="B1489" s="62">
        <v>4</v>
      </c>
      <c r="C1489" s="62" t="s">
        <v>6</v>
      </c>
      <c r="D1489" s="62" t="s">
        <v>1</v>
      </c>
      <c r="E1489" s="62">
        <v>951.206</v>
      </c>
      <c r="F1489" s="62">
        <v>215.412275</v>
      </c>
      <c r="I1489" s="62">
        <v>2016</v>
      </c>
      <c r="J1489" s="62">
        <v>9</v>
      </c>
      <c r="K1489" s="62" t="s">
        <v>18</v>
      </c>
      <c r="L1489" s="62" t="s">
        <v>1</v>
      </c>
      <c r="M1489" s="62">
        <v>262.698</v>
      </c>
      <c r="N1489" s="62">
        <v>170.7537</v>
      </c>
    </row>
    <row r="1490" spans="1:14">
      <c r="A1490" s="62">
        <v>2025</v>
      </c>
      <c r="B1490" s="62">
        <v>5</v>
      </c>
      <c r="C1490" s="62" t="s">
        <v>6</v>
      </c>
      <c r="D1490" s="62" t="s">
        <v>1</v>
      </c>
      <c r="E1490" s="62">
        <v>451.324</v>
      </c>
      <c r="F1490" s="62">
        <v>99.398</v>
      </c>
      <c r="I1490" s="62">
        <v>2016</v>
      </c>
      <c r="J1490" s="62">
        <v>10</v>
      </c>
      <c r="K1490" s="62" t="s">
        <v>18</v>
      </c>
      <c r="L1490" s="62" t="s">
        <v>1</v>
      </c>
      <c r="M1490" s="62">
        <v>562.378</v>
      </c>
      <c r="N1490" s="62">
        <v>365.5457</v>
      </c>
    </row>
    <row r="1491" spans="1:14">
      <c r="A1491" s="62">
        <v>2025</v>
      </c>
      <c r="B1491" s="62">
        <v>6</v>
      </c>
      <c r="C1491" s="62" t="s">
        <v>6</v>
      </c>
      <c r="D1491" s="62" t="s">
        <v>1</v>
      </c>
      <c r="E1491" s="62">
        <v>382.749</v>
      </c>
      <c r="F1491" s="62">
        <v>87.06865000000001</v>
      </c>
      <c r="I1491" s="62">
        <v>2016</v>
      </c>
      <c r="J1491" s="62">
        <v>11</v>
      </c>
      <c r="K1491" s="62" t="s">
        <v>18</v>
      </c>
      <c r="L1491" s="62" t="s">
        <v>1</v>
      </c>
      <c r="M1491" s="62">
        <v>299.0875</v>
      </c>
      <c r="N1491" s="62">
        <v>194.406875</v>
      </c>
    </row>
    <row r="1492" spans="1:14">
      <c r="A1492" s="62">
        <v>2025</v>
      </c>
      <c r="B1492" s="62">
        <v>7</v>
      </c>
      <c r="C1492" s="62" t="s">
        <v>6</v>
      </c>
      <c r="D1492" s="62" t="s">
        <v>1</v>
      </c>
      <c r="E1492" s="62">
        <v>296.0898</v>
      </c>
      <c r="F1492" s="62">
        <v>57.19936</v>
      </c>
      <c r="I1492" s="62">
        <v>2016</v>
      </c>
      <c r="J1492" s="62">
        <v>12</v>
      </c>
      <c r="K1492" s="62" t="s">
        <v>18</v>
      </c>
      <c r="L1492" s="62" t="s">
        <v>1</v>
      </c>
      <c r="M1492" s="62">
        <v>54.3725</v>
      </c>
      <c r="N1492" s="62">
        <v>35.342125</v>
      </c>
    </row>
    <row r="1493" spans="1:14">
      <c r="A1493" s="62">
        <v>2025</v>
      </c>
      <c r="B1493" s="62">
        <v>8</v>
      </c>
      <c r="C1493" s="62" t="s">
        <v>6</v>
      </c>
      <c r="D1493" s="62" t="s">
        <v>1</v>
      </c>
      <c r="E1493" s="62">
        <v>608.524</v>
      </c>
      <c r="F1493" s="62">
        <v>146.09075</v>
      </c>
      <c r="I1493" s="62">
        <v>2017</v>
      </c>
      <c r="J1493" s="62">
        <v>1</v>
      </c>
      <c r="K1493" s="62" t="s">
        <v>18</v>
      </c>
      <c r="L1493" s="62" t="s">
        <v>1</v>
      </c>
      <c r="M1493" s="62">
        <v>308.955</v>
      </c>
      <c r="N1493" s="62">
        <v>200.82075</v>
      </c>
    </row>
    <row r="1494" spans="1:14">
      <c r="A1494" s="62">
        <v>2025</v>
      </c>
      <c r="B1494" s="62">
        <v>9</v>
      </c>
      <c r="C1494" s="62" t="s">
        <v>6</v>
      </c>
      <c r="D1494" s="62" t="s">
        <v>1</v>
      </c>
      <c r="E1494" s="62">
        <v>2193.196</v>
      </c>
      <c r="F1494" s="62">
        <v>453.230275</v>
      </c>
      <c r="I1494" s="62">
        <v>2017</v>
      </c>
      <c r="J1494" s="62">
        <v>2</v>
      </c>
      <c r="K1494" s="62" t="s">
        <v>18</v>
      </c>
      <c r="L1494" s="62" t="s">
        <v>1</v>
      </c>
      <c r="M1494" s="62">
        <v>680.511</v>
      </c>
      <c r="N1494" s="62">
        <v>442.33215</v>
      </c>
    </row>
    <row r="1495" spans="1:14">
      <c r="A1495" s="62">
        <v>2025</v>
      </c>
      <c r="B1495" s="62">
        <v>10</v>
      </c>
      <c r="C1495" s="62" t="s">
        <v>6</v>
      </c>
      <c r="D1495" s="62" t="s">
        <v>1</v>
      </c>
      <c r="E1495" s="62">
        <v>3093.4153</v>
      </c>
      <c r="F1495" s="62">
        <v>681.22649</v>
      </c>
      <c r="I1495" s="62">
        <v>2017</v>
      </c>
      <c r="J1495" s="62">
        <v>3</v>
      </c>
      <c r="K1495" s="62" t="s">
        <v>18</v>
      </c>
      <c r="L1495" s="62" t="s">
        <v>1</v>
      </c>
      <c r="M1495" s="62">
        <v>657.42</v>
      </c>
      <c r="N1495" s="62">
        <v>427.323</v>
      </c>
    </row>
    <row r="1496" spans="1:14">
      <c r="A1496" s="62">
        <v>2025</v>
      </c>
      <c r="B1496" s="62">
        <v>11</v>
      </c>
      <c r="C1496" s="62" t="s">
        <v>6</v>
      </c>
      <c r="D1496" s="62" t="s">
        <v>1</v>
      </c>
      <c r="E1496" s="62">
        <v>1683.7699</v>
      </c>
      <c r="F1496" s="62">
        <v>355.310585</v>
      </c>
      <c r="I1496" s="62">
        <v>2017</v>
      </c>
      <c r="J1496" s="62">
        <v>4</v>
      </c>
      <c r="K1496" s="62" t="s">
        <v>18</v>
      </c>
      <c r="L1496" s="62" t="s">
        <v>1</v>
      </c>
      <c r="M1496" s="62">
        <v>367.633</v>
      </c>
      <c r="N1496" s="62">
        <v>238.96145</v>
      </c>
    </row>
    <row r="1497" spans="1:14">
      <c r="A1497" s="62">
        <v>2025</v>
      </c>
      <c r="B1497" s="62">
        <v>12</v>
      </c>
      <c r="C1497" s="62" t="s">
        <v>6</v>
      </c>
      <c r="D1497" s="62" t="s">
        <v>1</v>
      </c>
      <c r="E1497" s="62">
        <v>172.694</v>
      </c>
      <c r="F1497" s="62">
        <v>30.67225</v>
      </c>
      <c r="I1497" s="62">
        <v>2017</v>
      </c>
      <c r="J1497" s="62">
        <v>5</v>
      </c>
      <c r="K1497" s="62" t="s">
        <v>18</v>
      </c>
      <c r="L1497" s="62" t="s">
        <v>1</v>
      </c>
      <c r="M1497" s="62">
        <v>265.36</v>
      </c>
      <c r="N1497" s="62">
        <v>172.484</v>
      </c>
    </row>
    <row r="1498" spans="1:14">
      <c r="A1498" s="62">
        <v>2026</v>
      </c>
      <c r="B1498" s="62">
        <v>1</v>
      </c>
      <c r="C1498" s="62" t="s">
        <v>6</v>
      </c>
      <c r="D1498" s="62" t="s">
        <v>1</v>
      </c>
      <c r="E1498" s="62">
        <v>1155.2534</v>
      </c>
      <c r="F1498" s="62">
        <v>282.302875</v>
      </c>
      <c r="I1498" s="62">
        <v>2017</v>
      </c>
      <c r="J1498" s="62">
        <v>6</v>
      </c>
      <c r="K1498" s="62" t="s">
        <v>18</v>
      </c>
      <c r="L1498" s="62" t="s">
        <v>1</v>
      </c>
      <c r="M1498" s="62">
        <v>161.77</v>
      </c>
      <c r="N1498" s="62">
        <v>105.1505</v>
      </c>
    </row>
    <row r="1499" spans="1:14">
      <c r="A1499" s="62">
        <v>2026</v>
      </c>
      <c r="B1499" s="62">
        <v>2</v>
      </c>
      <c r="C1499" s="62" t="s">
        <v>6</v>
      </c>
      <c r="D1499" s="62" t="s">
        <v>1</v>
      </c>
      <c r="E1499" s="62">
        <v>2305.337</v>
      </c>
      <c r="F1499" s="62">
        <v>582.150475</v>
      </c>
      <c r="I1499" s="62">
        <v>2017</v>
      </c>
      <c r="J1499" s="62">
        <v>7</v>
      </c>
      <c r="K1499" s="62" t="s">
        <v>18</v>
      </c>
      <c r="L1499" s="62" t="s">
        <v>1</v>
      </c>
      <c r="M1499" s="62">
        <v>173.231</v>
      </c>
      <c r="N1499" s="62">
        <v>112.60015</v>
      </c>
    </row>
    <row r="1500" spans="1:14">
      <c r="A1500" s="62">
        <v>2026</v>
      </c>
      <c r="B1500" s="62">
        <v>3</v>
      </c>
      <c r="C1500" s="62" t="s">
        <v>6</v>
      </c>
      <c r="D1500" s="62" t="s">
        <v>1</v>
      </c>
      <c r="E1500" s="62">
        <v>1298.356</v>
      </c>
      <c r="F1500" s="62">
        <v>278.985525</v>
      </c>
      <c r="I1500" s="62">
        <v>2017</v>
      </c>
      <c r="J1500" s="62">
        <v>8</v>
      </c>
      <c r="K1500" s="62" t="s">
        <v>18</v>
      </c>
      <c r="L1500" s="62" t="s">
        <v>1</v>
      </c>
      <c r="M1500" s="62">
        <v>287.929</v>
      </c>
      <c r="N1500" s="62">
        <v>187.15385</v>
      </c>
    </row>
    <row r="1501" spans="1:14">
      <c r="A1501" s="62">
        <v>2026</v>
      </c>
      <c r="B1501" s="62">
        <v>4</v>
      </c>
      <c r="C1501" s="62" t="s">
        <v>6</v>
      </c>
      <c r="D1501" s="62" t="s">
        <v>1</v>
      </c>
      <c r="E1501" s="62">
        <v>1274.583</v>
      </c>
      <c r="F1501" s="62">
        <v>334.01755</v>
      </c>
      <c r="I1501" s="62">
        <v>2017</v>
      </c>
      <c r="J1501" s="62">
        <v>9</v>
      </c>
      <c r="K1501" s="62" t="s">
        <v>18</v>
      </c>
      <c r="L1501" s="62" t="s">
        <v>1</v>
      </c>
      <c r="M1501" s="62">
        <v>671.3679999999999</v>
      </c>
      <c r="N1501" s="62">
        <v>436.3892</v>
      </c>
    </row>
    <row r="1502" spans="1:14">
      <c r="A1502" s="62">
        <v>2026</v>
      </c>
      <c r="B1502" s="62">
        <v>5</v>
      </c>
      <c r="C1502" s="62" t="s">
        <v>6</v>
      </c>
      <c r="D1502" s="62" t="s">
        <v>1</v>
      </c>
      <c r="E1502" s="62">
        <v>752.5585</v>
      </c>
      <c r="F1502" s="62">
        <v>206.279875</v>
      </c>
      <c r="I1502" s="62">
        <v>2017</v>
      </c>
      <c r="J1502" s="62">
        <v>10</v>
      </c>
      <c r="K1502" s="62" t="s">
        <v>18</v>
      </c>
      <c r="L1502" s="62" t="s">
        <v>1</v>
      </c>
      <c r="M1502" s="62">
        <v>312.5125</v>
      </c>
      <c r="N1502" s="62">
        <v>203.133125</v>
      </c>
    </row>
    <row r="1503" spans="1:14">
      <c r="A1503" s="62">
        <v>2026</v>
      </c>
      <c r="B1503" s="62">
        <v>6</v>
      </c>
      <c r="C1503" s="62" t="s">
        <v>6</v>
      </c>
      <c r="D1503" s="62" t="s">
        <v>1</v>
      </c>
      <c r="E1503" s="62">
        <v>637.8049999999999</v>
      </c>
      <c r="F1503" s="62">
        <v>141.40675</v>
      </c>
      <c r="I1503" s="62">
        <v>2017</v>
      </c>
      <c r="J1503" s="62">
        <v>11</v>
      </c>
      <c r="K1503" s="62" t="s">
        <v>18</v>
      </c>
      <c r="L1503" s="62" t="s">
        <v>1</v>
      </c>
      <c r="M1503" s="62">
        <v>209.315</v>
      </c>
      <c r="N1503" s="62">
        <v>136.05475</v>
      </c>
    </row>
    <row r="1504" spans="1:14">
      <c r="A1504" s="62">
        <v>2026</v>
      </c>
      <c r="B1504" s="62">
        <v>7</v>
      </c>
      <c r="C1504" s="62" t="s">
        <v>6</v>
      </c>
      <c r="D1504" s="62" t="s">
        <v>1</v>
      </c>
      <c r="E1504" s="62">
        <v>238.677</v>
      </c>
      <c r="F1504" s="62">
        <v>32.9876</v>
      </c>
      <c r="I1504" s="62">
        <v>2017</v>
      </c>
      <c r="J1504" s="62">
        <v>12</v>
      </c>
      <c r="K1504" s="62" t="s">
        <v>18</v>
      </c>
      <c r="L1504" s="62" t="s">
        <v>1</v>
      </c>
      <c r="M1504" s="62">
        <v>72.90000000000001</v>
      </c>
      <c r="N1504" s="62">
        <v>47.385</v>
      </c>
    </row>
    <row r="1505" spans="1:14">
      <c r="A1505" s="62">
        <v>2026</v>
      </c>
      <c r="B1505" s="62">
        <v>8</v>
      </c>
      <c r="C1505" s="62" t="s">
        <v>6</v>
      </c>
      <c r="D1505" s="62" t="s">
        <v>1</v>
      </c>
      <c r="E1505" s="62">
        <v>203.58</v>
      </c>
      <c r="F1505" s="62">
        <v>15.711</v>
      </c>
      <c r="I1505" s="62">
        <v>2018</v>
      </c>
      <c r="J1505" s="62">
        <v>1</v>
      </c>
      <c r="K1505" s="62" t="s">
        <v>18</v>
      </c>
      <c r="L1505" s="62" t="s">
        <v>1</v>
      </c>
      <c r="M1505" s="62">
        <v>161.127</v>
      </c>
      <c r="N1505" s="62">
        <v>104.73255</v>
      </c>
    </row>
    <row r="1506" spans="1:14">
      <c r="A1506" s="62">
        <v>2026</v>
      </c>
      <c r="B1506" s="62">
        <v>9</v>
      </c>
      <c r="C1506" s="62" t="s">
        <v>6</v>
      </c>
      <c r="D1506" s="62" t="s">
        <v>1</v>
      </c>
      <c r="E1506" s="62">
        <v>463.941</v>
      </c>
      <c r="F1506" s="62">
        <v>92.53124999999999</v>
      </c>
      <c r="I1506" s="62">
        <v>2018</v>
      </c>
      <c r="J1506" s="62">
        <v>2</v>
      </c>
      <c r="K1506" s="62" t="s">
        <v>18</v>
      </c>
      <c r="L1506" s="62" t="s">
        <v>1</v>
      </c>
      <c r="M1506" s="62">
        <v>401.82</v>
      </c>
      <c r="N1506" s="62">
        <v>261.183</v>
      </c>
    </row>
    <row r="1507" spans="1:14">
      <c r="A1507" s="62">
        <v>2026</v>
      </c>
      <c r="B1507" s="62">
        <v>10</v>
      </c>
      <c r="C1507" s="62" t="s">
        <v>6</v>
      </c>
      <c r="D1507" s="62" t="s">
        <v>1</v>
      </c>
      <c r="E1507" s="62">
        <v>634.8024</v>
      </c>
      <c r="F1507" s="62">
        <v>149.5266</v>
      </c>
      <c r="I1507" s="62">
        <v>2018</v>
      </c>
      <c r="J1507" s="62">
        <v>3</v>
      </c>
      <c r="K1507" s="62" t="s">
        <v>18</v>
      </c>
      <c r="L1507" s="62" t="s">
        <v>1</v>
      </c>
      <c r="M1507" s="62">
        <v>483.955</v>
      </c>
      <c r="N1507" s="62">
        <v>314.57075</v>
      </c>
    </row>
    <row r="1508" spans="1:14">
      <c r="A1508" s="62">
        <v>2026</v>
      </c>
      <c r="B1508" s="62">
        <v>11</v>
      </c>
      <c r="C1508" s="62" t="s">
        <v>6</v>
      </c>
      <c r="D1508" s="62" t="s">
        <v>1</v>
      </c>
      <c r="E1508" s="62">
        <v>163.78</v>
      </c>
      <c r="F1508" s="62">
        <v>36.74125</v>
      </c>
      <c r="I1508" s="62">
        <v>2018</v>
      </c>
      <c r="J1508" s="62">
        <v>4</v>
      </c>
      <c r="K1508" s="62" t="s">
        <v>18</v>
      </c>
      <c r="L1508" s="62" t="s">
        <v>1</v>
      </c>
      <c r="M1508" s="62">
        <v>284.027</v>
      </c>
      <c r="N1508" s="62">
        <v>184.61755</v>
      </c>
    </row>
    <row r="1509" spans="1:14">
      <c r="A1509" s="62">
        <v>2027</v>
      </c>
      <c r="B1509" s="62">
        <v>1</v>
      </c>
      <c r="C1509" s="62" t="s">
        <v>6</v>
      </c>
      <c r="D1509" s="62" t="s">
        <v>1</v>
      </c>
      <c r="E1509" s="62">
        <v>692.313</v>
      </c>
      <c r="F1509" s="62">
        <v>222.046875</v>
      </c>
      <c r="I1509" s="62">
        <v>2018</v>
      </c>
      <c r="J1509" s="62">
        <v>5</v>
      </c>
      <c r="K1509" s="62" t="s">
        <v>18</v>
      </c>
      <c r="L1509" s="62" t="s">
        <v>1</v>
      </c>
      <c r="M1509" s="62">
        <v>371.0815</v>
      </c>
      <c r="N1509" s="62">
        <v>241.202975</v>
      </c>
    </row>
    <row r="1510" spans="1:14">
      <c r="A1510" s="62">
        <v>2027</v>
      </c>
      <c r="B1510" s="62">
        <v>2</v>
      </c>
      <c r="C1510" s="62" t="s">
        <v>6</v>
      </c>
      <c r="D1510" s="62" t="s">
        <v>1</v>
      </c>
      <c r="E1510" s="62">
        <v>1256.1221</v>
      </c>
      <c r="F1510" s="62">
        <v>346.847265</v>
      </c>
      <c r="I1510" s="62">
        <v>2018</v>
      </c>
      <c r="J1510" s="62">
        <v>6</v>
      </c>
      <c r="K1510" s="62" t="s">
        <v>18</v>
      </c>
      <c r="L1510" s="62" t="s">
        <v>1</v>
      </c>
      <c r="M1510" s="62">
        <v>409.274</v>
      </c>
      <c r="N1510" s="62">
        <v>266.0281</v>
      </c>
    </row>
    <row r="1511" spans="1:14">
      <c r="A1511" s="62">
        <v>2027</v>
      </c>
      <c r="B1511" s="62">
        <v>3</v>
      </c>
      <c r="C1511" s="62" t="s">
        <v>6</v>
      </c>
      <c r="D1511" s="62" t="s">
        <v>1</v>
      </c>
      <c r="E1511" s="62">
        <v>1565.6915</v>
      </c>
      <c r="F1511" s="62">
        <v>414.468125</v>
      </c>
      <c r="I1511" s="62">
        <v>2018</v>
      </c>
      <c r="J1511" s="62">
        <v>7</v>
      </c>
      <c r="K1511" s="62" t="s">
        <v>18</v>
      </c>
      <c r="L1511" s="62" t="s">
        <v>1</v>
      </c>
      <c r="M1511" s="62">
        <v>402.339</v>
      </c>
      <c r="N1511" s="62">
        <v>261.52035</v>
      </c>
    </row>
    <row r="1512" spans="1:14">
      <c r="A1512" s="62">
        <v>2027</v>
      </c>
      <c r="B1512" s="62">
        <v>4</v>
      </c>
      <c r="C1512" s="62" t="s">
        <v>6</v>
      </c>
      <c r="D1512" s="62" t="s">
        <v>1</v>
      </c>
      <c r="E1512" s="62">
        <v>664.0222</v>
      </c>
      <c r="F1512" s="62">
        <v>162.5212675</v>
      </c>
      <c r="I1512" s="62">
        <v>2018</v>
      </c>
      <c r="J1512" s="62">
        <v>8</v>
      </c>
      <c r="K1512" s="62" t="s">
        <v>18</v>
      </c>
      <c r="L1512" s="62" t="s">
        <v>1</v>
      </c>
      <c r="M1512" s="62">
        <v>289.772</v>
      </c>
      <c r="N1512" s="62">
        <v>188.3518</v>
      </c>
    </row>
    <row r="1513" spans="1:14">
      <c r="A1513" s="62">
        <v>2027</v>
      </c>
      <c r="B1513" s="62">
        <v>5</v>
      </c>
      <c r="C1513" s="62" t="s">
        <v>6</v>
      </c>
      <c r="D1513" s="62" t="s">
        <v>1</v>
      </c>
      <c r="E1513" s="62">
        <v>134.4</v>
      </c>
      <c r="F1513" s="62">
        <v>11.28</v>
      </c>
      <c r="I1513" s="62">
        <v>2018</v>
      </c>
      <c r="J1513" s="62">
        <v>9</v>
      </c>
      <c r="K1513" s="62" t="s">
        <v>18</v>
      </c>
      <c r="L1513" s="62" t="s">
        <v>1</v>
      </c>
      <c r="M1513" s="62">
        <v>333.7122</v>
      </c>
      <c r="N1513" s="62">
        <v>216.91293</v>
      </c>
    </row>
    <row r="1514" spans="1:14">
      <c r="A1514" s="62">
        <v>2027</v>
      </c>
      <c r="B1514" s="62">
        <v>6</v>
      </c>
      <c r="C1514" s="62" t="s">
        <v>6</v>
      </c>
      <c r="D1514" s="62" t="s">
        <v>1</v>
      </c>
      <c r="E1514" s="62">
        <v>210.95</v>
      </c>
      <c r="F1514" s="62">
        <v>61.84</v>
      </c>
      <c r="I1514" s="62">
        <v>2018</v>
      </c>
      <c r="J1514" s="62">
        <v>10</v>
      </c>
      <c r="K1514" s="62" t="s">
        <v>18</v>
      </c>
      <c r="L1514" s="62" t="s">
        <v>1</v>
      </c>
      <c r="M1514" s="62">
        <v>427.996</v>
      </c>
      <c r="N1514" s="62">
        <v>278.1974</v>
      </c>
    </row>
    <row r="1515" spans="1:14">
      <c r="A1515" s="62">
        <v>2027</v>
      </c>
      <c r="B1515" s="62">
        <v>7</v>
      </c>
      <c r="C1515" s="62" t="s">
        <v>6</v>
      </c>
      <c r="D1515" s="62" t="s">
        <v>1</v>
      </c>
      <c r="E1515" s="62">
        <v>164</v>
      </c>
      <c r="F1515" s="62">
        <v>61</v>
      </c>
      <c r="I1515" s="62">
        <v>2018</v>
      </c>
      <c r="J1515" s="62">
        <v>11</v>
      </c>
      <c r="K1515" s="62" t="s">
        <v>18</v>
      </c>
      <c r="L1515" s="62" t="s">
        <v>1</v>
      </c>
      <c r="M1515" s="62">
        <v>207.912</v>
      </c>
      <c r="N1515" s="62">
        <v>135.1428</v>
      </c>
    </row>
    <row r="1516" spans="1:14">
      <c r="A1516" s="62">
        <v>2027</v>
      </c>
      <c r="B1516" s="62">
        <v>8</v>
      </c>
      <c r="C1516" s="62" t="s">
        <v>6</v>
      </c>
      <c r="D1516" s="62" t="s">
        <v>1</v>
      </c>
      <c r="E1516" s="62">
        <v>47.56</v>
      </c>
      <c r="F1516" s="62">
        <v>17.69</v>
      </c>
      <c r="I1516" s="62">
        <v>2018</v>
      </c>
      <c r="J1516" s="62">
        <v>12</v>
      </c>
      <c r="K1516" s="62" t="s">
        <v>18</v>
      </c>
      <c r="L1516" s="62" t="s">
        <v>1</v>
      </c>
      <c r="M1516" s="62">
        <v>90.928</v>
      </c>
      <c r="N1516" s="62">
        <v>59.1032</v>
      </c>
    </row>
    <row r="1517" spans="1:14">
      <c r="A1517" s="62">
        <v>2027</v>
      </c>
      <c r="B1517" s="62">
        <v>9</v>
      </c>
      <c r="C1517" s="62" t="s">
        <v>6</v>
      </c>
      <c r="D1517" s="62" t="s">
        <v>1</v>
      </c>
      <c r="E1517" s="62">
        <v>1545.905</v>
      </c>
      <c r="F1517" s="62">
        <v>215.53225</v>
      </c>
      <c r="I1517" s="62">
        <v>2019</v>
      </c>
      <c r="J1517" s="62">
        <v>1</v>
      </c>
      <c r="K1517" s="62" t="s">
        <v>18</v>
      </c>
      <c r="L1517" s="62" t="s">
        <v>1</v>
      </c>
      <c r="M1517" s="62">
        <v>248.189</v>
      </c>
      <c r="N1517" s="62">
        <v>161.32285</v>
      </c>
    </row>
    <row r="1518" spans="1:14">
      <c r="A1518" s="62">
        <v>2027</v>
      </c>
      <c r="B1518" s="62">
        <v>10</v>
      </c>
      <c r="C1518" s="62" t="s">
        <v>6</v>
      </c>
      <c r="D1518" s="62" t="s">
        <v>1</v>
      </c>
      <c r="E1518" s="62">
        <v>1819.237</v>
      </c>
      <c r="F1518" s="62">
        <v>284.53475</v>
      </c>
      <c r="I1518" s="62">
        <v>2019</v>
      </c>
      <c r="J1518" s="62">
        <v>2</v>
      </c>
      <c r="K1518" s="62" t="s">
        <v>18</v>
      </c>
      <c r="L1518" s="62" t="s">
        <v>1</v>
      </c>
      <c r="M1518" s="62">
        <v>468.753</v>
      </c>
      <c r="N1518" s="62">
        <v>304.68945</v>
      </c>
    </row>
    <row r="1519" spans="1:14">
      <c r="A1519" s="62">
        <v>2027</v>
      </c>
      <c r="B1519" s="62">
        <v>11</v>
      </c>
      <c r="C1519" s="62" t="s">
        <v>6</v>
      </c>
      <c r="D1519" s="62" t="s">
        <v>1</v>
      </c>
      <c r="E1519" s="62">
        <v>446.133</v>
      </c>
      <c r="F1519" s="62">
        <v>86.05175</v>
      </c>
      <c r="I1519" s="62">
        <v>2019</v>
      </c>
      <c r="J1519" s="62">
        <v>3</v>
      </c>
      <c r="K1519" s="62" t="s">
        <v>18</v>
      </c>
      <c r="L1519" s="62" t="s">
        <v>1</v>
      </c>
      <c r="M1519" s="62">
        <v>636.449</v>
      </c>
      <c r="N1519" s="62">
        <v>413.69185</v>
      </c>
    </row>
    <row r="1520" spans="1:14">
      <c r="A1520" s="62">
        <v>2014</v>
      </c>
      <c r="B1520" s="62">
        <v>1</v>
      </c>
      <c r="C1520" s="62" t="s">
        <v>6</v>
      </c>
      <c r="D1520" s="62" t="s">
        <v>2</v>
      </c>
      <c r="E1520" s="62">
        <v>954.1806</v>
      </c>
      <c r="F1520" s="62">
        <v>205.21103</v>
      </c>
      <c r="I1520" s="62">
        <v>2019</v>
      </c>
      <c r="J1520" s="62">
        <v>4</v>
      </c>
      <c r="K1520" s="62" t="s">
        <v>18</v>
      </c>
      <c r="L1520" s="62" t="s">
        <v>1</v>
      </c>
      <c r="M1520" s="62">
        <v>802.924</v>
      </c>
      <c r="N1520" s="62">
        <v>521.9006000000001</v>
      </c>
    </row>
    <row r="1521" spans="1:14">
      <c r="A1521" s="62">
        <v>2014</v>
      </c>
      <c r="B1521" s="62">
        <v>2</v>
      </c>
      <c r="C1521" s="62" t="s">
        <v>6</v>
      </c>
      <c r="D1521" s="62" t="s">
        <v>2</v>
      </c>
      <c r="E1521" s="62">
        <v>2167.4174</v>
      </c>
      <c r="F1521" s="62">
        <v>450.47527</v>
      </c>
      <c r="I1521" s="62">
        <v>2019</v>
      </c>
      <c r="J1521" s="62">
        <v>5</v>
      </c>
      <c r="K1521" s="62" t="s">
        <v>18</v>
      </c>
      <c r="L1521" s="62" t="s">
        <v>1</v>
      </c>
      <c r="M1521" s="62">
        <v>599.025</v>
      </c>
      <c r="N1521" s="62">
        <v>389.36625</v>
      </c>
    </row>
    <row r="1522" spans="1:14">
      <c r="A1522" s="62">
        <v>2014</v>
      </c>
      <c r="B1522" s="62">
        <v>3</v>
      </c>
      <c r="C1522" s="62" t="s">
        <v>6</v>
      </c>
      <c r="D1522" s="62" t="s">
        <v>2</v>
      </c>
      <c r="E1522" s="62">
        <v>2155.879</v>
      </c>
      <c r="F1522" s="62">
        <v>466.563625</v>
      </c>
      <c r="I1522" s="62">
        <v>2019</v>
      </c>
      <c r="J1522" s="62">
        <v>6</v>
      </c>
      <c r="K1522" s="62" t="s">
        <v>18</v>
      </c>
      <c r="L1522" s="62" t="s">
        <v>1</v>
      </c>
      <c r="M1522" s="62">
        <v>399.208</v>
      </c>
      <c r="N1522" s="62">
        <v>259.4852</v>
      </c>
    </row>
    <row r="1523" spans="1:14">
      <c r="A1523" s="62">
        <v>2014</v>
      </c>
      <c r="B1523" s="62">
        <v>4</v>
      </c>
      <c r="C1523" s="62" t="s">
        <v>6</v>
      </c>
      <c r="D1523" s="62" t="s">
        <v>2</v>
      </c>
      <c r="E1523" s="62">
        <v>1237.74</v>
      </c>
      <c r="F1523" s="62">
        <v>252.7655</v>
      </c>
      <c r="I1523" s="62">
        <v>2019</v>
      </c>
      <c r="J1523" s="62">
        <v>7</v>
      </c>
      <c r="K1523" s="62" t="s">
        <v>18</v>
      </c>
      <c r="L1523" s="62" t="s">
        <v>1</v>
      </c>
      <c r="M1523" s="62">
        <v>409.839</v>
      </c>
      <c r="N1523" s="62">
        <v>266.39535</v>
      </c>
    </row>
    <row r="1524" spans="1:14">
      <c r="A1524" s="62">
        <v>2014</v>
      </c>
      <c r="B1524" s="62">
        <v>5</v>
      </c>
      <c r="C1524" s="62" t="s">
        <v>6</v>
      </c>
      <c r="D1524" s="62" t="s">
        <v>2</v>
      </c>
      <c r="E1524" s="62">
        <v>1567.639</v>
      </c>
      <c r="F1524" s="62">
        <v>287.125975</v>
      </c>
      <c r="I1524" s="62">
        <v>2019</v>
      </c>
      <c r="J1524" s="62">
        <v>8</v>
      </c>
      <c r="K1524" s="62" t="s">
        <v>18</v>
      </c>
      <c r="L1524" s="62" t="s">
        <v>1</v>
      </c>
      <c r="M1524" s="62">
        <v>284.878</v>
      </c>
      <c r="N1524" s="62">
        <v>185.1707</v>
      </c>
    </row>
    <row r="1525" spans="1:14">
      <c r="A1525" s="62">
        <v>2014</v>
      </c>
      <c r="B1525" s="62">
        <v>6</v>
      </c>
      <c r="C1525" s="62" t="s">
        <v>6</v>
      </c>
      <c r="D1525" s="62" t="s">
        <v>2</v>
      </c>
      <c r="E1525" s="62">
        <v>1075.6245</v>
      </c>
      <c r="F1525" s="62">
        <v>209.95605</v>
      </c>
      <c r="I1525" s="62">
        <v>2019</v>
      </c>
      <c r="J1525" s="62">
        <v>9</v>
      </c>
      <c r="K1525" s="62" t="s">
        <v>18</v>
      </c>
      <c r="L1525" s="62" t="s">
        <v>1</v>
      </c>
      <c r="M1525" s="62">
        <v>541.121</v>
      </c>
      <c r="N1525" s="62">
        <v>351.72865</v>
      </c>
    </row>
    <row r="1526" spans="1:14">
      <c r="A1526" s="62">
        <v>2014</v>
      </c>
      <c r="B1526" s="62">
        <v>7</v>
      </c>
      <c r="C1526" s="62" t="s">
        <v>6</v>
      </c>
      <c r="D1526" s="62" t="s">
        <v>2</v>
      </c>
      <c r="E1526" s="62">
        <v>248.331</v>
      </c>
      <c r="F1526" s="62">
        <v>56.343925</v>
      </c>
      <c r="I1526" s="62">
        <v>2019</v>
      </c>
      <c r="J1526" s="62">
        <v>10</v>
      </c>
      <c r="K1526" s="62" t="s">
        <v>18</v>
      </c>
      <c r="L1526" s="62" t="s">
        <v>1</v>
      </c>
      <c r="M1526" s="62">
        <v>690.091</v>
      </c>
      <c r="N1526" s="62">
        <v>448.55915</v>
      </c>
    </row>
    <row r="1527" spans="1:14">
      <c r="A1527" s="62">
        <v>2014</v>
      </c>
      <c r="B1527" s="62">
        <v>8</v>
      </c>
      <c r="C1527" s="62" t="s">
        <v>6</v>
      </c>
      <c r="D1527" s="62" t="s">
        <v>2</v>
      </c>
      <c r="E1527" s="62">
        <v>167.66</v>
      </c>
      <c r="F1527" s="62">
        <v>48.10625</v>
      </c>
      <c r="I1527" s="62">
        <v>2019</v>
      </c>
      <c r="J1527" s="62">
        <v>11</v>
      </c>
      <c r="K1527" s="62" t="s">
        <v>18</v>
      </c>
      <c r="L1527" s="62" t="s">
        <v>1</v>
      </c>
      <c r="M1527" s="62">
        <v>407.986</v>
      </c>
      <c r="N1527" s="62">
        <v>265.1909</v>
      </c>
    </row>
    <row r="1528" spans="1:14">
      <c r="A1528" s="62">
        <v>2014</v>
      </c>
      <c r="B1528" s="62">
        <v>9</v>
      </c>
      <c r="C1528" s="62" t="s">
        <v>6</v>
      </c>
      <c r="D1528" s="62" t="s">
        <v>2</v>
      </c>
      <c r="E1528" s="62">
        <v>827.7995</v>
      </c>
      <c r="F1528" s="62">
        <v>207.144175</v>
      </c>
      <c r="I1528" s="62">
        <v>2019</v>
      </c>
      <c r="J1528" s="62">
        <v>12</v>
      </c>
      <c r="K1528" s="62" t="s">
        <v>18</v>
      </c>
      <c r="L1528" s="62" t="s">
        <v>1</v>
      </c>
      <c r="M1528" s="62">
        <v>201.6234</v>
      </c>
      <c r="N1528" s="62">
        <v>131.05521</v>
      </c>
    </row>
    <row r="1529" spans="1:14">
      <c r="A1529" s="62">
        <v>2014</v>
      </c>
      <c r="B1529" s="62">
        <v>10</v>
      </c>
      <c r="C1529" s="62" t="s">
        <v>6</v>
      </c>
      <c r="D1529" s="62" t="s">
        <v>2</v>
      </c>
      <c r="E1529" s="62">
        <v>2067.367</v>
      </c>
      <c r="F1529" s="62">
        <v>494.279725</v>
      </c>
      <c r="I1529" s="62">
        <v>2020</v>
      </c>
      <c r="J1529" s="62">
        <v>1</v>
      </c>
      <c r="K1529" s="62" t="s">
        <v>18</v>
      </c>
      <c r="L1529" s="62" t="s">
        <v>1</v>
      </c>
      <c r="M1529" s="62">
        <v>523.235</v>
      </c>
      <c r="N1529" s="62">
        <v>340.10275</v>
      </c>
    </row>
    <row r="1530" spans="1:14">
      <c r="A1530" s="62">
        <v>2014</v>
      </c>
      <c r="B1530" s="62">
        <v>11</v>
      </c>
      <c r="C1530" s="62" t="s">
        <v>6</v>
      </c>
      <c r="D1530" s="62" t="s">
        <v>2</v>
      </c>
      <c r="E1530" s="62">
        <v>905.5019</v>
      </c>
      <c r="F1530" s="62">
        <v>208.56715</v>
      </c>
      <c r="I1530" s="62">
        <v>2020</v>
      </c>
      <c r="J1530" s="62">
        <v>2</v>
      </c>
      <c r="K1530" s="62" t="s">
        <v>18</v>
      </c>
      <c r="L1530" s="62" t="s">
        <v>1</v>
      </c>
      <c r="M1530" s="62">
        <v>1133.38</v>
      </c>
      <c r="N1530" s="62">
        <v>736.697</v>
      </c>
    </row>
    <row r="1531" spans="1:14">
      <c r="A1531" s="62">
        <v>2014</v>
      </c>
      <c r="B1531" s="62">
        <v>12</v>
      </c>
      <c r="C1531" s="62" t="s">
        <v>6</v>
      </c>
      <c r="D1531" s="62" t="s">
        <v>2</v>
      </c>
      <c r="E1531" s="62">
        <v>183.863</v>
      </c>
      <c r="F1531" s="62">
        <v>59.8057</v>
      </c>
      <c r="I1531" s="62">
        <v>2020</v>
      </c>
      <c r="J1531" s="62">
        <v>3</v>
      </c>
      <c r="K1531" s="62" t="s">
        <v>18</v>
      </c>
      <c r="L1531" s="62" t="s">
        <v>1</v>
      </c>
      <c r="M1531" s="62">
        <v>1042.4647</v>
      </c>
      <c r="N1531" s="62">
        <v>677.6020550000001</v>
      </c>
    </row>
    <row r="1532" spans="1:14">
      <c r="A1532" s="62">
        <v>2015</v>
      </c>
      <c r="B1532" s="62">
        <v>1</v>
      </c>
      <c r="C1532" s="62" t="s">
        <v>6</v>
      </c>
      <c r="D1532" s="62" t="s">
        <v>2</v>
      </c>
      <c r="E1532" s="62">
        <v>1419.188</v>
      </c>
      <c r="F1532" s="62">
        <v>314.952</v>
      </c>
      <c r="I1532" s="62">
        <v>2020</v>
      </c>
      <c r="J1532" s="62">
        <v>4</v>
      </c>
      <c r="K1532" s="62" t="s">
        <v>18</v>
      </c>
      <c r="L1532" s="62" t="s">
        <v>1</v>
      </c>
      <c r="M1532" s="62">
        <v>2093.9112</v>
      </c>
      <c r="N1532" s="62">
        <v>1361.04228</v>
      </c>
    </row>
    <row r="1533" spans="1:14">
      <c r="A1533" s="62">
        <v>2015</v>
      </c>
      <c r="B1533" s="62">
        <v>2</v>
      </c>
      <c r="C1533" s="62" t="s">
        <v>6</v>
      </c>
      <c r="D1533" s="62" t="s">
        <v>2</v>
      </c>
      <c r="E1533" s="62">
        <v>2054.513</v>
      </c>
      <c r="F1533" s="62">
        <v>495.7509</v>
      </c>
      <c r="I1533" s="62">
        <v>2020</v>
      </c>
      <c r="J1533" s="62">
        <v>5</v>
      </c>
      <c r="K1533" s="62" t="s">
        <v>18</v>
      </c>
      <c r="L1533" s="62" t="s">
        <v>1</v>
      </c>
      <c r="M1533" s="62">
        <v>2157.0184</v>
      </c>
      <c r="N1533" s="62">
        <v>1402.06196</v>
      </c>
    </row>
    <row r="1534" spans="1:14">
      <c r="A1534" s="62">
        <v>2015</v>
      </c>
      <c r="B1534" s="62">
        <v>3</v>
      </c>
      <c r="C1534" s="62" t="s">
        <v>6</v>
      </c>
      <c r="D1534" s="62" t="s">
        <v>2</v>
      </c>
      <c r="E1534" s="62">
        <v>2071.574</v>
      </c>
      <c r="F1534" s="62">
        <v>459.2574</v>
      </c>
      <c r="I1534" s="62">
        <v>2020</v>
      </c>
      <c r="J1534" s="62">
        <v>6</v>
      </c>
      <c r="K1534" s="62" t="s">
        <v>18</v>
      </c>
      <c r="L1534" s="62" t="s">
        <v>1</v>
      </c>
      <c r="M1534" s="62">
        <v>2003.763</v>
      </c>
      <c r="N1534" s="62">
        <v>1302.44595</v>
      </c>
    </row>
    <row r="1535" spans="1:14">
      <c r="A1535" s="62">
        <v>2015</v>
      </c>
      <c r="B1535" s="62">
        <v>4</v>
      </c>
      <c r="C1535" s="62" t="s">
        <v>6</v>
      </c>
      <c r="D1535" s="62" t="s">
        <v>2</v>
      </c>
      <c r="E1535" s="62">
        <v>703.395</v>
      </c>
      <c r="F1535" s="62">
        <v>137.452225</v>
      </c>
      <c r="I1535" s="62">
        <v>2020</v>
      </c>
      <c r="J1535" s="62">
        <v>7</v>
      </c>
      <c r="K1535" s="62" t="s">
        <v>18</v>
      </c>
      <c r="L1535" s="62" t="s">
        <v>1</v>
      </c>
      <c r="M1535" s="62">
        <v>1833.882</v>
      </c>
      <c r="N1535" s="62">
        <v>1192.0233</v>
      </c>
    </row>
    <row r="1536" spans="1:14">
      <c r="A1536" s="62">
        <v>2015</v>
      </c>
      <c r="B1536" s="62">
        <v>5</v>
      </c>
      <c r="C1536" s="62" t="s">
        <v>6</v>
      </c>
      <c r="D1536" s="62" t="s">
        <v>2</v>
      </c>
      <c r="E1536" s="62">
        <v>496.9765</v>
      </c>
      <c r="F1536" s="62">
        <v>219.7985875</v>
      </c>
      <c r="I1536" s="62">
        <v>2020</v>
      </c>
      <c r="J1536" s="62">
        <v>8</v>
      </c>
      <c r="K1536" s="62" t="s">
        <v>18</v>
      </c>
      <c r="L1536" s="62" t="s">
        <v>1</v>
      </c>
      <c r="M1536" s="62">
        <v>1522.9738</v>
      </c>
      <c r="N1536" s="62">
        <v>989.9329700000001</v>
      </c>
    </row>
    <row r="1537" spans="1:14">
      <c r="A1537" s="62">
        <v>2015</v>
      </c>
      <c r="B1537" s="62">
        <v>6</v>
      </c>
      <c r="C1537" s="62" t="s">
        <v>6</v>
      </c>
      <c r="D1537" s="62" t="s">
        <v>2</v>
      </c>
      <c r="E1537" s="62">
        <v>512.431</v>
      </c>
      <c r="F1537" s="62">
        <v>208.7101</v>
      </c>
      <c r="I1537" s="62">
        <v>2020</v>
      </c>
      <c r="J1537" s="62">
        <v>9</v>
      </c>
      <c r="K1537" s="62" t="s">
        <v>18</v>
      </c>
      <c r="L1537" s="62" t="s">
        <v>1</v>
      </c>
      <c r="M1537" s="62">
        <v>1768.6705</v>
      </c>
      <c r="N1537" s="62">
        <v>1149.635825</v>
      </c>
    </row>
    <row r="1538" spans="1:14">
      <c r="A1538" s="62">
        <v>2015</v>
      </c>
      <c r="B1538" s="62">
        <v>7</v>
      </c>
      <c r="C1538" s="62" t="s">
        <v>6</v>
      </c>
      <c r="D1538" s="62" t="s">
        <v>2</v>
      </c>
      <c r="E1538" s="62">
        <v>331.3525</v>
      </c>
      <c r="F1538" s="62">
        <v>103.52225</v>
      </c>
      <c r="I1538" s="62">
        <v>2020</v>
      </c>
      <c r="J1538" s="62">
        <v>10</v>
      </c>
      <c r="K1538" s="62" t="s">
        <v>18</v>
      </c>
      <c r="L1538" s="62" t="s">
        <v>1</v>
      </c>
      <c r="M1538" s="62">
        <v>1796.6831</v>
      </c>
      <c r="N1538" s="62">
        <v>1167.844015</v>
      </c>
    </row>
    <row r="1539" spans="1:14">
      <c r="A1539" s="62">
        <v>2015</v>
      </c>
      <c r="B1539" s="62">
        <v>8</v>
      </c>
      <c r="C1539" s="62" t="s">
        <v>6</v>
      </c>
      <c r="D1539" s="62" t="s">
        <v>2</v>
      </c>
      <c r="E1539" s="62">
        <v>210.535</v>
      </c>
      <c r="F1539" s="62">
        <v>43.409</v>
      </c>
      <c r="I1539" s="62">
        <v>2020</v>
      </c>
      <c r="J1539" s="62">
        <v>11</v>
      </c>
      <c r="K1539" s="62" t="s">
        <v>18</v>
      </c>
      <c r="L1539" s="62" t="s">
        <v>1</v>
      </c>
      <c r="M1539" s="62">
        <v>1743.3976</v>
      </c>
      <c r="N1539" s="62">
        <v>1133.20844</v>
      </c>
    </row>
    <row r="1540" spans="1:14">
      <c r="A1540" s="62">
        <v>2015</v>
      </c>
      <c r="B1540" s="62">
        <v>9</v>
      </c>
      <c r="C1540" s="62" t="s">
        <v>6</v>
      </c>
      <c r="D1540" s="62" t="s">
        <v>2</v>
      </c>
      <c r="E1540" s="62">
        <v>529.5625</v>
      </c>
      <c r="F1540" s="62">
        <v>115.776625</v>
      </c>
      <c r="I1540" s="62">
        <v>2020</v>
      </c>
      <c r="J1540" s="62">
        <v>12</v>
      </c>
      <c r="K1540" s="62" t="s">
        <v>18</v>
      </c>
      <c r="L1540" s="62" t="s">
        <v>1</v>
      </c>
      <c r="M1540" s="62">
        <v>1742.5485</v>
      </c>
      <c r="N1540" s="62">
        <v>1132.656525</v>
      </c>
    </row>
    <row r="1541" spans="1:14">
      <c r="A1541" s="62">
        <v>2015</v>
      </c>
      <c r="B1541" s="62">
        <v>10</v>
      </c>
      <c r="C1541" s="62" t="s">
        <v>6</v>
      </c>
      <c r="D1541" s="62" t="s">
        <v>2</v>
      </c>
      <c r="E1541" s="62">
        <v>976.7855</v>
      </c>
      <c r="F1541" s="62">
        <v>204.7592375</v>
      </c>
      <c r="I1541" s="62">
        <v>2021</v>
      </c>
      <c r="J1541" s="62">
        <v>1</v>
      </c>
      <c r="K1541" s="62" t="s">
        <v>18</v>
      </c>
      <c r="L1541" s="62" t="s">
        <v>1</v>
      </c>
      <c r="M1541" s="62">
        <v>1772.943</v>
      </c>
      <c r="N1541" s="62">
        <v>1152.41295</v>
      </c>
    </row>
    <row r="1542" spans="1:14">
      <c r="A1542" s="62">
        <v>2015</v>
      </c>
      <c r="B1542" s="62">
        <v>11</v>
      </c>
      <c r="C1542" s="62" t="s">
        <v>6</v>
      </c>
      <c r="D1542" s="62" t="s">
        <v>2</v>
      </c>
      <c r="E1542" s="62">
        <v>349.1475</v>
      </c>
      <c r="F1542" s="62">
        <v>157.2365625</v>
      </c>
      <c r="I1542" s="62">
        <v>2021</v>
      </c>
      <c r="J1542" s="62">
        <v>2</v>
      </c>
      <c r="K1542" s="62" t="s">
        <v>18</v>
      </c>
      <c r="L1542" s="62" t="s">
        <v>1</v>
      </c>
      <c r="M1542" s="62">
        <v>2303.5255</v>
      </c>
      <c r="N1542" s="62">
        <v>1497.291575</v>
      </c>
    </row>
    <row r="1543" spans="1:14">
      <c r="A1543" s="62">
        <v>2015</v>
      </c>
      <c r="B1543" s="62">
        <v>12</v>
      </c>
      <c r="C1543" s="62" t="s">
        <v>6</v>
      </c>
      <c r="D1543" s="62" t="s">
        <v>2</v>
      </c>
      <c r="E1543" s="62">
        <v>233.089</v>
      </c>
      <c r="F1543" s="62">
        <v>75.7753</v>
      </c>
      <c r="I1543" s="62">
        <v>2021</v>
      </c>
      <c r="J1543" s="62">
        <v>3</v>
      </c>
      <c r="K1543" s="62" t="s">
        <v>18</v>
      </c>
      <c r="L1543" s="62" t="s">
        <v>1</v>
      </c>
      <c r="M1543" s="62">
        <v>1673.733</v>
      </c>
      <c r="N1543" s="62">
        <v>1087.92645</v>
      </c>
    </row>
    <row r="1544" spans="1:14">
      <c r="A1544" s="62">
        <v>2016</v>
      </c>
      <c r="B1544" s="62">
        <v>1</v>
      </c>
      <c r="C1544" s="62" t="s">
        <v>6</v>
      </c>
      <c r="D1544" s="62" t="s">
        <v>2</v>
      </c>
      <c r="E1544" s="62">
        <v>1167.759</v>
      </c>
      <c r="F1544" s="62">
        <v>259.93745</v>
      </c>
      <c r="I1544" s="62">
        <v>2021</v>
      </c>
      <c r="J1544" s="62">
        <v>4</v>
      </c>
      <c r="K1544" s="62" t="s">
        <v>18</v>
      </c>
      <c r="L1544" s="62" t="s">
        <v>1</v>
      </c>
      <c r="M1544" s="62">
        <v>1177.4463</v>
      </c>
      <c r="N1544" s="62">
        <v>765.340095</v>
      </c>
    </row>
    <row r="1545" spans="1:14">
      <c r="A1545" s="62">
        <v>2016</v>
      </c>
      <c r="B1545" s="62">
        <v>2</v>
      </c>
      <c r="C1545" s="62" t="s">
        <v>6</v>
      </c>
      <c r="D1545" s="62" t="s">
        <v>2</v>
      </c>
      <c r="E1545" s="62">
        <v>1486.6948</v>
      </c>
      <c r="F1545" s="62">
        <v>350.26804</v>
      </c>
      <c r="I1545" s="62">
        <v>2021</v>
      </c>
      <c r="J1545" s="62">
        <v>5</v>
      </c>
      <c r="K1545" s="62" t="s">
        <v>18</v>
      </c>
      <c r="L1545" s="62" t="s">
        <v>1</v>
      </c>
      <c r="M1545" s="62">
        <v>495.9141</v>
      </c>
      <c r="N1545" s="62">
        <v>322.344165</v>
      </c>
    </row>
    <row r="1546" spans="1:14">
      <c r="A1546" s="62">
        <v>2016</v>
      </c>
      <c r="B1546" s="62">
        <v>3</v>
      </c>
      <c r="C1546" s="62" t="s">
        <v>6</v>
      </c>
      <c r="D1546" s="62" t="s">
        <v>2</v>
      </c>
      <c r="E1546" s="62">
        <v>923.901</v>
      </c>
      <c r="F1546" s="62">
        <v>226.2977625</v>
      </c>
      <c r="I1546" s="62">
        <v>2021</v>
      </c>
      <c r="J1546" s="62">
        <v>6</v>
      </c>
      <c r="K1546" s="62" t="s">
        <v>18</v>
      </c>
      <c r="L1546" s="62" t="s">
        <v>1</v>
      </c>
      <c r="M1546" s="62">
        <v>416.3758</v>
      </c>
      <c r="N1546" s="62">
        <v>270.64427</v>
      </c>
    </row>
    <row r="1547" spans="1:14">
      <c r="A1547" s="62">
        <v>2016</v>
      </c>
      <c r="B1547" s="62">
        <v>4</v>
      </c>
      <c r="C1547" s="62" t="s">
        <v>6</v>
      </c>
      <c r="D1547" s="62" t="s">
        <v>2</v>
      </c>
      <c r="E1547" s="62">
        <v>753.646</v>
      </c>
      <c r="F1547" s="62">
        <v>184.5643625</v>
      </c>
      <c r="I1547" s="62">
        <v>2021</v>
      </c>
      <c r="J1547" s="62">
        <v>7</v>
      </c>
      <c r="K1547" s="62" t="s">
        <v>18</v>
      </c>
      <c r="L1547" s="62" t="s">
        <v>1</v>
      </c>
      <c r="M1547" s="62">
        <v>504.721</v>
      </c>
      <c r="N1547" s="62">
        <v>328.06865</v>
      </c>
    </row>
    <row r="1548" spans="1:14">
      <c r="A1548" s="62">
        <v>2016</v>
      </c>
      <c r="B1548" s="62">
        <v>5</v>
      </c>
      <c r="C1548" s="62" t="s">
        <v>6</v>
      </c>
      <c r="D1548" s="62" t="s">
        <v>2</v>
      </c>
      <c r="E1548" s="62">
        <v>794.41</v>
      </c>
      <c r="F1548" s="62">
        <v>183.9855</v>
      </c>
      <c r="I1548" s="62">
        <v>2021</v>
      </c>
      <c r="J1548" s="62">
        <v>8</v>
      </c>
      <c r="K1548" s="62" t="s">
        <v>18</v>
      </c>
      <c r="L1548" s="62" t="s">
        <v>1</v>
      </c>
      <c r="M1548" s="62">
        <v>571.6925</v>
      </c>
      <c r="N1548" s="62">
        <v>371.600125</v>
      </c>
    </row>
    <row r="1549" spans="1:14">
      <c r="A1549" s="62">
        <v>2016</v>
      </c>
      <c r="B1549" s="62">
        <v>6</v>
      </c>
      <c r="C1549" s="62" t="s">
        <v>6</v>
      </c>
      <c r="D1549" s="62" t="s">
        <v>2</v>
      </c>
      <c r="E1549" s="62">
        <v>397.31</v>
      </c>
      <c r="F1549" s="62">
        <v>99.78475</v>
      </c>
      <c r="I1549" s="62">
        <v>2021</v>
      </c>
      <c r="J1549" s="62">
        <v>9</v>
      </c>
      <c r="K1549" s="62" t="s">
        <v>18</v>
      </c>
      <c r="L1549" s="62" t="s">
        <v>1</v>
      </c>
      <c r="M1549" s="62">
        <v>1122.286</v>
      </c>
      <c r="N1549" s="62">
        <v>729.4859</v>
      </c>
    </row>
    <row r="1550" spans="1:14">
      <c r="A1550" s="62">
        <v>2016</v>
      </c>
      <c r="B1550" s="62">
        <v>7</v>
      </c>
      <c r="C1550" s="62" t="s">
        <v>6</v>
      </c>
      <c r="D1550" s="62" t="s">
        <v>2</v>
      </c>
      <c r="E1550" s="62">
        <v>424.308</v>
      </c>
      <c r="F1550" s="62">
        <v>84.93039999999999</v>
      </c>
      <c r="I1550" s="62">
        <v>2021</v>
      </c>
      <c r="J1550" s="62">
        <v>10</v>
      </c>
      <c r="K1550" s="62" t="s">
        <v>18</v>
      </c>
      <c r="L1550" s="62" t="s">
        <v>1</v>
      </c>
      <c r="M1550" s="62">
        <v>1068.783</v>
      </c>
      <c r="N1550" s="62">
        <v>694.7089500000001</v>
      </c>
    </row>
    <row r="1551" spans="1:14">
      <c r="A1551" s="62">
        <v>2016</v>
      </c>
      <c r="B1551" s="62">
        <v>8</v>
      </c>
      <c r="C1551" s="62" t="s">
        <v>6</v>
      </c>
      <c r="D1551" s="62" t="s">
        <v>2</v>
      </c>
      <c r="E1551" s="62">
        <v>520.111</v>
      </c>
      <c r="F1551" s="62">
        <v>79.699</v>
      </c>
      <c r="I1551" s="62">
        <v>2021</v>
      </c>
      <c r="J1551" s="62">
        <v>11</v>
      </c>
      <c r="K1551" s="62" t="s">
        <v>18</v>
      </c>
      <c r="L1551" s="62" t="s">
        <v>1</v>
      </c>
      <c r="M1551" s="62">
        <v>662.284</v>
      </c>
      <c r="N1551" s="62">
        <v>430.4846</v>
      </c>
    </row>
    <row r="1552" spans="1:14">
      <c r="A1552" s="62">
        <v>2016</v>
      </c>
      <c r="B1552" s="62">
        <v>9</v>
      </c>
      <c r="C1552" s="62" t="s">
        <v>6</v>
      </c>
      <c r="D1552" s="62" t="s">
        <v>2</v>
      </c>
      <c r="E1552" s="62">
        <v>802.899</v>
      </c>
      <c r="F1552" s="62">
        <v>167.6529875</v>
      </c>
      <c r="I1552" s="62">
        <v>2021</v>
      </c>
      <c r="J1552" s="62">
        <v>12</v>
      </c>
      <c r="K1552" s="62" t="s">
        <v>18</v>
      </c>
      <c r="L1552" s="62" t="s">
        <v>1</v>
      </c>
      <c r="M1552" s="62">
        <v>409.925</v>
      </c>
      <c r="N1552" s="62">
        <v>266.45125</v>
      </c>
    </row>
    <row r="1553" spans="1:14">
      <c r="A1553" s="62">
        <v>2016</v>
      </c>
      <c r="B1553" s="62">
        <v>10</v>
      </c>
      <c r="C1553" s="62" t="s">
        <v>6</v>
      </c>
      <c r="D1553" s="62" t="s">
        <v>2</v>
      </c>
      <c r="E1553" s="62">
        <v>1679.8765</v>
      </c>
      <c r="F1553" s="62">
        <v>351.1467</v>
      </c>
      <c r="I1553" s="62">
        <v>2022</v>
      </c>
      <c r="J1553" s="62">
        <v>1</v>
      </c>
      <c r="K1553" s="62" t="s">
        <v>18</v>
      </c>
      <c r="L1553" s="62" t="s">
        <v>1</v>
      </c>
      <c r="M1553" s="62">
        <v>649.7665</v>
      </c>
      <c r="N1553" s="62">
        <v>422.348225</v>
      </c>
    </row>
    <row r="1554" spans="1:14">
      <c r="A1554" s="62">
        <v>2016</v>
      </c>
      <c r="B1554" s="62">
        <v>11</v>
      </c>
      <c r="C1554" s="62" t="s">
        <v>6</v>
      </c>
      <c r="D1554" s="62" t="s">
        <v>2</v>
      </c>
      <c r="E1554" s="62">
        <v>345.095</v>
      </c>
      <c r="F1554" s="62">
        <v>84.93015</v>
      </c>
      <c r="I1554" s="62">
        <v>2022</v>
      </c>
      <c r="J1554" s="62">
        <v>2</v>
      </c>
      <c r="K1554" s="62" t="s">
        <v>18</v>
      </c>
      <c r="L1554" s="62" t="s">
        <v>1</v>
      </c>
      <c r="M1554" s="62">
        <v>656.658</v>
      </c>
      <c r="N1554" s="62">
        <v>426.8277</v>
      </c>
    </row>
    <row r="1555" spans="1:14">
      <c r="A1555" s="62">
        <v>2016</v>
      </c>
      <c r="B1555" s="62">
        <v>12</v>
      </c>
      <c r="C1555" s="62" t="s">
        <v>6</v>
      </c>
      <c r="D1555" s="62" t="s">
        <v>2</v>
      </c>
      <c r="E1555" s="62">
        <v>115.75</v>
      </c>
      <c r="F1555" s="62">
        <v>35.28125</v>
      </c>
      <c r="I1555" s="62">
        <v>2022</v>
      </c>
      <c r="J1555" s="62">
        <v>3</v>
      </c>
      <c r="K1555" s="62" t="s">
        <v>18</v>
      </c>
      <c r="L1555" s="62" t="s">
        <v>1</v>
      </c>
      <c r="M1555" s="62">
        <v>539.85</v>
      </c>
      <c r="N1555" s="62">
        <v>350.9025</v>
      </c>
    </row>
    <row r="1556" spans="1:14">
      <c r="A1556" s="62">
        <v>2017</v>
      </c>
      <c r="B1556" s="62">
        <v>1</v>
      </c>
      <c r="C1556" s="62" t="s">
        <v>6</v>
      </c>
      <c r="D1556" s="62" t="s">
        <v>2</v>
      </c>
      <c r="E1556" s="62">
        <v>1081.687</v>
      </c>
      <c r="F1556" s="62">
        <v>283.899625</v>
      </c>
      <c r="I1556" s="62">
        <v>2022</v>
      </c>
      <c r="J1556" s="62">
        <v>4</v>
      </c>
      <c r="K1556" s="62" t="s">
        <v>18</v>
      </c>
      <c r="L1556" s="62" t="s">
        <v>1</v>
      </c>
      <c r="M1556" s="62">
        <v>482.125</v>
      </c>
      <c r="N1556" s="62">
        <v>313.38125</v>
      </c>
    </row>
    <row r="1557" spans="1:14">
      <c r="A1557" s="62">
        <v>2017</v>
      </c>
      <c r="B1557" s="62">
        <v>2</v>
      </c>
      <c r="C1557" s="62" t="s">
        <v>6</v>
      </c>
      <c r="D1557" s="62" t="s">
        <v>2</v>
      </c>
      <c r="E1557" s="62">
        <v>2193.0745</v>
      </c>
      <c r="F1557" s="62">
        <v>571.437075</v>
      </c>
      <c r="I1557" s="62">
        <v>2022</v>
      </c>
      <c r="J1557" s="62">
        <v>5</v>
      </c>
      <c r="K1557" s="62" t="s">
        <v>18</v>
      </c>
      <c r="L1557" s="62" t="s">
        <v>1</v>
      </c>
      <c r="M1557" s="62">
        <v>392.928</v>
      </c>
      <c r="N1557" s="62">
        <v>255.4032</v>
      </c>
    </row>
    <row r="1558" spans="1:14">
      <c r="A1558" s="62">
        <v>2017</v>
      </c>
      <c r="B1558" s="62">
        <v>3</v>
      </c>
      <c r="C1558" s="62" t="s">
        <v>6</v>
      </c>
      <c r="D1558" s="62" t="s">
        <v>2</v>
      </c>
      <c r="E1558" s="62">
        <v>2080.3235</v>
      </c>
      <c r="F1558" s="62">
        <v>502.944525</v>
      </c>
      <c r="I1558" s="62">
        <v>2022</v>
      </c>
      <c r="J1558" s="62">
        <v>6</v>
      </c>
      <c r="K1558" s="62" t="s">
        <v>18</v>
      </c>
      <c r="L1558" s="62" t="s">
        <v>1</v>
      </c>
      <c r="M1558" s="62">
        <v>356.44</v>
      </c>
      <c r="N1558" s="62">
        <v>231.686</v>
      </c>
    </row>
    <row r="1559" spans="1:14">
      <c r="A1559" s="62">
        <v>2017</v>
      </c>
      <c r="B1559" s="62">
        <v>4</v>
      </c>
      <c r="C1559" s="62" t="s">
        <v>6</v>
      </c>
      <c r="D1559" s="62" t="s">
        <v>2</v>
      </c>
      <c r="E1559" s="62">
        <v>1129.0345</v>
      </c>
      <c r="F1559" s="62">
        <v>271.728375</v>
      </c>
      <c r="I1559" s="62">
        <v>2022</v>
      </c>
      <c r="J1559" s="62">
        <v>7</v>
      </c>
      <c r="K1559" s="62" t="s">
        <v>18</v>
      </c>
      <c r="L1559" s="62" t="s">
        <v>1</v>
      </c>
      <c r="M1559" s="62">
        <v>233.157</v>
      </c>
      <c r="N1559" s="62">
        <v>151.55205</v>
      </c>
    </row>
    <row r="1560" spans="1:14">
      <c r="A1560" s="62">
        <v>2017</v>
      </c>
      <c r="B1560" s="62">
        <v>5</v>
      </c>
      <c r="C1560" s="62" t="s">
        <v>6</v>
      </c>
      <c r="D1560" s="62" t="s">
        <v>2</v>
      </c>
      <c r="E1560" s="62">
        <v>391.4755</v>
      </c>
      <c r="F1560" s="62">
        <v>117.3874</v>
      </c>
      <c r="I1560" s="62">
        <v>2022</v>
      </c>
      <c r="J1560" s="62">
        <v>8</v>
      </c>
      <c r="K1560" s="62" t="s">
        <v>18</v>
      </c>
      <c r="L1560" s="62" t="s">
        <v>1</v>
      </c>
      <c r="M1560" s="62">
        <v>257.535</v>
      </c>
      <c r="N1560" s="62">
        <v>167.39775</v>
      </c>
    </row>
    <row r="1561" spans="1:14">
      <c r="A1561" s="62">
        <v>2017</v>
      </c>
      <c r="B1561" s="62">
        <v>6</v>
      </c>
      <c r="C1561" s="62" t="s">
        <v>6</v>
      </c>
      <c r="D1561" s="62" t="s">
        <v>2</v>
      </c>
      <c r="E1561" s="62">
        <v>329.09</v>
      </c>
      <c r="F1561" s="62">
        <v>69.15174999999999</v>
      </c>
      <c r="I1561" s="62">
        <v>2022</v>
      </c>
      <c r="J1561" s="62">
        <v>9</v>
      </c>
      <c r="K1561" s="62" t="s">
        <v>18</v>
      </c>
      <c r="L1561" s="62" t="s">
        <v>1</v>
      </c>
      <c r="M1561" s="62">
        <v>285.58</v>
      </c>
      <c r="N1561" s="62">
        <v>185.627</v>
      </c>
    </row>
    <row r="1562" spans="1:14">
      <c r="A1562" s="62">
        <v>2017</v>
      </c>
      <c r="B1562" s="62">
        <v>7</v>
      </c>
      <c r="C1562" s="62" t="s">
        <v>6</v>
      </c>
      <c r="D1562" s="62" t="s">
        <v>2</v>
      </c>
      <c r="E1562" s="62">
        <v>193.42</v>
      </c>
      <c r="F1562" s="62">
        <v>69.572</v>
      </c>
      <c r="I1562" s="62">
        <v>2022</v>
      </c>
      <c r="J1562" s="62">
        <v>10</v>
      </c>
      <c r="K1562" s="62" t="s">
        <v>18</v>
      </c>
      <c r="L1562" s="62" t="s">
        <v>1</v>
      </c>
      <c r="M1562" s="62">
        <v>658.745</v>
      </c>
      <c r="N1562" s="62">
        <v>428.18425</v>
      </c>
    </row>
    <row r="1563" spans="1:14">
      <c r="A1563" s="62">
        <v>2017</v>
      </c>
      <c r="B1563" s="62">
        <v>8</v>
      </c>
      <c r="C1563" s="62" t="s">
        <v>6</v>
      </c>
      <c r="D1563" s="62" t="s">
        <v>2</v>
      </c>
      <c r="E1563" s="62">
        <v>275.677</v>
      </c>
      <c r="F1563" s="62">
        <v>93.639775</v>
      </c>
      <c r="I1563" s="62">
        <v>2022</v>
      </c>
      <c r="J1563" s="62">
        <v>11</v>
      </c>
      <c r="K1563" s="62" t="s">
        <v>18</v>
      </c>
      <c r="L1563" s="62" t="s">
        <v>1</v>
      </c>
      <c r="M1563" s="62">
        <v>556.966</v>
      </c>
      <c r="N1563" s="62">
        <v>362.0279</v>
      </c>
    </row>
    <row r="1564" spans="1:14">
      <c r="A1564" s="62">
        <v>2017</v>
      </c>
      <c r="B1564" s="62">
        <v>9</v>
      </c>
      <c r="C1564" s="62" t="s">
        <v>6</v>
      </c>
      <c r="D1564" s="62" t="s">
        <v>2</v>
      </c>
      <c r="E1564" s="62">
        <v>209.245</v>
      </c>
      <c r="F1564" s="62">
        <v>42.141625</v>
      </c>
      <c r="I1564" s="62">
        <v>2022</v>
      </c>
      <c r="J1564" s="62">
        <v>12</v>
      </c>
      <c r="K1564" s="62" t="s">
        <v>18</v>
      </c>
      <c r="L1564" s="62" t="s">
        <v>1</v>
      </c>
      <c r="M1564" s="62">
        <v>655.213</v>
      </c>
      <c r="N1564" s="62">
        <v>425.88845</v>
      </c>
    </row>
    <row r="1565" spans="1:14">
      <c r="A1565" s="62">
        <v>2017</v>
      </c>
      <c r="B1565" s="62">
        <v>10</v>
      </c>
      <c r="C1565" s="62" t="s">
        <v>6</v>
      </c>
      <c r="D1565" s="62" t="s">
        <v>2</v>
      </c>
      <c r="E1565" s="62">
        <v>1275.635</v>
      </c>
      <c r="F1565" s="62">
        <v>219.095975</v>
      </c>
      <c r="I1565" s="62">
        <v>2023</v>
      </c>
      <c r="J1565" s="62">
        <v>1</v>
      </c>
      <c r="K1565" s="62" t="s">
        <v>18</v>
      </c>
      <c r="L1565" s="62" t="s">
        <v>1</v>
      </c>
      <c r="M1565" s="62">
        <v>807.0549999999999</v>
      </c>
      <c r="N1565" s="62">
        <v>524.58575</v>
      </c>
    </row>
    <row r="1566" spans="1:14">
      <c r="A1566" s="62">
        <v>2017</v>
      </c>
      <c r="B1566" s="62">
        <v>11</v>
      </c>
      <c r="C1566" s="62" t="s">
        <v>6</v>
      </c>
      <c r="D1566" s="62" t="s">
        <v>2</v>
      </c>
      <c r="E1566" s="62">
        <v>791.665</v>
      </c>
      <c r="F1566" s="62">
        <v>195.97125</v>
      </c>
      <c r="I1566" s="62">
        <v>2023</v>
      </c>
      <c r="J1566" s="62">
        <v>2</v>
      </c>
      <c r="K1566" s="62" t="s">
        <v>18</v>
      </c>
      <c r="L1566" s="62" t="s">
        <v>1</v>
      </c>
      <c r="M1566" s="62">
        <v>1025.05</v>
      </c>
      <c r="N1566" s="62">
        <v>666.2825</v>
      </c>
    </row>
    <row r="1567" spans="1:14">
      <c r="A1567" s="62">
        <v>2017</v>
      </c>
      <c r="B1567" s="62">
        <v>12</v>
      </c>
      <c r="C1567" s="62" t="s">
        <v>6</v>
      </c>
      <c r="D1567" s="62" t="s">
        <v>2</v>
      </c>
      <c r="E1567" s="62">
        <v>159.9175</v>
      </c>
      <c r="F1567" s="62">
        <v>33.8009375</v>
      </c>
      <c r="I1567" s="62">
        <v>2023</v>
      </c>
      <c r="J1567" s="62">
        <v>3</v>
      </c>
      <c r="K1567" s="62" t="s">
        <v>18</v>
      </c>
      <c r="L1567" s="62" t="s">
        <v>1</v>
      </c>
      <c r="M1567" s="62">
        <v>880.265</v>
      </c>
      <c r="N1567" s="62">
        <v>572.17225</v>
      </c>
    </row>
    <row r="1568" spans="1:14">
      <c r="A1568" s="62">
        <v>2018</v>
      </c>
      <c r="B1568" s="62">
        <v>1</v>
      </c>
      <c r="C1568" s="62" t="s">
        <v>6</v>
      </c>
      <c r="D1568" s="62" t="s">
        <v>2</v>
      </c>
      <c r="E1568" s="62">
        <v>523.961</v>
      </c>
      <c r="F1568" s="62">
        <v>132.64305</v>
      </c>
      <c r="I1568" s="62">
        <v>2023</v>
      </c>
      <c r="J1568" s="62">
        <v>4</v>
      </c>
      <c r="K1568" s="62" t="s">
        <v>18</v>
      </c>
      <c r="L1568" s="62" t="s">
        <v>1</v>
      </c>
      <c r="M1568" s="62">
        <v>615.626</v>
      </c>
      <c r="N1568" s="62">
        <v>400.1569</v>
      </c>
    </row>
    <row r="1569" spans="1:14">
      <c r="A1569" s="62">
        <v>2018</v>
      </c>
      <c r="B1569" s="62">
        <v>2</v>
      </c>
      <c r="C1569" s="62" t="s">
        <v>6</v>
      </c>
      <c r="D1569" s="62" t="s">
        <v>2</v>
      </c>
      <c r="E1569" s="62">
        <v>1718.893</v>
      </c>
      <c r="F1569" s="62">
        <v>429.9635</v>
      </c>
      <c r="I1569" s="62">
        <v>2023</v>
      </c>
      <c r="J1569" s="62">
        <v>5</v>
      </c>
      <c r="K1569" s="62" t="s">
        <v>18</v>
      </c>
      <c r="L1569" s="62" t="s">
        <v>1</v>
      </c>
      <c r="M1569" s="62">
        <v>530.395</v>
      </c>
      <c r="N1569" s="62">
        <v>344.75675</v>
      </c>
    </row>
    <row r="1570" spans="1:14">
      <c r="A1570" s="62">
        <v>2018</v>
      </c>
      <c r="B1570" s="62">
        <v>3</v>
      </c>
      <c r="C1570" s="62" t="s">
        <v>6</v>
      </c>
      <c r="D1570" s="62" t="s">
        <v>2</v>
      </c>
      <c r="E1570" s="62">
        <v>1371.7875</v>
      </c>
      <c r="F1570" s="62">
        <v>316.9494625</v>
      </c>
      <c r="I1570" s="62">
        <v>2023</v>
      </c>
      <c r="J1570" s="62">
        <v>6</v>
      </c>
      <c r="K1570" s="62" t="s">
        <v>18</v>
      </c>
      <c r="L1570" s="62" t="s">
        <v>1</v>
      </c>
      <c r="M1570" s="62">
        <v>406.9475</v>
      </c>
      <c r="N1570" s="62">
        <v>264.515875</v>
      </c>
    </row>
    <row r="1571" spans="1:14">
      <c r="A1571" s="62">
        <v>2018</v>
      </c>
      <c r="B1571" s="62">
        <v>4</v>
      </c>
      <c r="C1571" s="62" t="s">
        <v>6</v>
      </c>
      <c r="D1571" s="62" t="s">
        <v>2</v>
      </c>
      <c r="E1571" s="62">
        <v>1095.3206</v>
      </c>
      <c r="F1571" s="62">
        <v>249.09588</v>
      </c>
      <c r="I1571" s="62">
        <v>2023</v>
      </c>
      <c r="J1571" s="62">
        <v>7</v>
      </c>
      <c r="K1571" s="62" t="s">
        <v>18</v>
      </c>
      <c r="L1571" s="62" t="s">
        <v>1</v>
      </c>
      <c r="M1571" s="62">
        <v>232.66</v>
      </c>
      <c r="N1571" s="62">
        <v>151.229</v>
      </c>
    </row>
    <row r="1572" spans="1:14">
      <c r="A1572" s="62">
        <v>2018</v>
      </c>
      <c r="B1572" s="62">
        <v>5</v>
      </c>
      <c r="C1572" s="62" t="s">
        <v>6</v>
      </c>
      <c r="D1572" s="62" t="s">
        <v>2</v>
      </c>
      <c r="E1572" s="62">
        <v>1114.2814</v>
      </c>
      <c r="F1572" s="62">
        <v>253.89887</v>
      </c>
      <c r="I1572" s="62">
        <v>2023</v>
      </c>
      <c r="J1572" s="62">
        <v>8</v>
      </c>
      <c r="K1572" s="62" t="s">
        <v>18</v>
      </c>
      <c r="L1572" s="62" t="s">
        <v>1</v>
      </c>
      <c r="M1572" s="62">
        <v>161.055</v>
      </c>
      <c r="N1572" s="62">
        <v>104.68575</v>
      </c>
    </row>
    <row r="1573" spans="1:14">
      <c r="A1573" s="62">
        <v>2018</v>
      </c>
      <c r="B1573" s="62">
        <v>6</v>
      </c>
      <c r="C1573" s="62" t="s">
        <v>6</v>
      </c>
      <c r="D1573" s="62" t="s">
        <v>2</v>
      </c>
      <c r="E1573" s="62">
        <v>483.602</v>
      </c>
      <c r="F1573" s="62">
        <v>137.83485</v>
      </c>
      <c r="I1573" s="62">
        <v>2023</v>
      </c>
      <c r="J1573" s="62">
        <v>9</v>
      </c>
      <c r="K1573" s="62" t="s">
        <v>18</v>
      </c>
      <c r="L1573" s="62" t="s">
        <v>1</v>
      </c>
      <c r="M1573" s="62">
        <v>407.94</v>
      </c>
      <c r="N1573" s="62">
        <v>265.161</v>
      </c>
    </row>
    <row r="1574" spans="1:14">
      <c r="A1574" s="62">
        <v>2018</v>
      </c>
      <c r="B1574" s="62">
        <v>7</v>
      </c>
      <c r="C1574" s="62" t="s">
        <v>6</v>
      </c>
      <c r="D1574" s="62" t="s">
        <v>2</v>
      </c>
      <c r="E1574" s="62">
        <v>546.586</v>
      </c>
      <c r="F1574" s="62">
        <v>134.511575</v>
      </c>
      <c r="I1574" s="62">
        <v>2023</v>
      </c>
      <c r="J1574" s="62">
        <v>10</v>
      </c>
      <c r="K1574" s="62" t="s">
        <v>18</v>
      </c>
      <c r="L1574" s="62" t="s">
        <v>1</v>
      </c>
      <c r="M1574" s="62">
        <v>590.53</v>
      </c>
      <c r="N1574" s="62">
        <v>383.8445</v>
      </c>
    </row>
    <row r="1575" spans="1:14">
      <c r="A1575" s="62">
        <v>2018</v>
      </c>
      <c r="B1575" s="62">
        <v>8</v>
      </c>
      <c r="C1575" s="62" t="s">
        <v>6</v>
      </c>
      <c r="D1575" s="62" t="s">
        <v>2</v>
      </c>
      <c r="E1575" s="62">
        <v>247.67</v>
      </c>
      <c r="F1575" s="62">
        <v>60.68475</v>
      </c>
      <c r="I1575" s="62">
        <v>2023</v>
      </c>
      <c r="J1575" s="62">
        <v>11</v>
      </c>
      <c r="K1575" s="62" t="s">
        <v>18</v>
      </c>
      <c r="L1575" s="62" t="s">
        <v>1</v>
      </c>
      <c r="M1575" s="62">
        <v>347.605</v>
      </c>
      <c r="N1575" s="62">
        <v>225.94325</v>
      </c>
    </row>
    <row r="1576" spans="1:14">
      <c r="A1576" s="62">
        <v>2018</v>
      </c>
      <c r="B1576" s="62">
        <v>9</v>
      </c>
      <c r="C1576" s="62" t="s">
        <v>6</v>
      </c>
      <c r="D1576" s="62" t="s">
        <v>2</v>
      </c>
      <c r="E1576" s="62">
        <v>412.945</v>
      </c>
      <c r="F1576" s="62">
        <v>86.25449999999999</v>
      </c>
      <c r="I1576" s="62">
        <v>2023</v>
      </c>
      <c r="J1576" s="62">
        <v>12</v>
      </c>
      <c r="K1576" s="62" t="s">
        <v>18</v>
      </c>
      <c r="L1576" s="62" t="s">
        <v>1</v>
      </c>
      <c r="M1576" s="62">
        <v>152.404</v>
      </c>
      <c r="N1576" s="62">
        <v>99.0626</v>
      </c>
    </row>
    <row r="1577" spans="1:14">
      <c r="A1577" s="62">
        <v>2018</v>
      </c>
      <c r="B1577" s="62">
        <v>10</v>
      </c>
      <c r="C1577" s="62" t="s">
        <v>6</v>
      </c>
      <c r="D1577" s="62" t="s">
        <v>2</v>
      </c>
      <c r="E1577" s="62">
        <v>780.8589999999999</v>
      </c>
      <c r="F1577" s="62">
        <v>140.9043</v>
      </c>
      <c r="I1577" s="62">
        <v>2024</v>
      </c>
      <c r="J1577" s="62">
        <v>1</v>
      </c>
      <c r="K1577" s="62" t="s">
        <v>18</v>
      </c>
      <c r="L1577" s="62" t="s">
        <v>1</v>
      </c>
      <c r="M1577" s="62">
        <v>313.199</v>
      </c>
      <c r="N1577" s="62">
        <v>203.57935</v>
      </c>
    </row>
    <row r="1578" spans="1:14">
      <c r="A1578" s="62">
        <v>2018</v>
      </c>
      <c r="B1578" s="62">
        <v>11</v>
      </c>
      <c r="C1578" s="62" t="s">
        <v>6</v>
      </c>
      <c r="D1578" s="62" t="s">
        <v>2</v>
      </c>
      <c r="E1578" s="62">
        <v>281.73</v>
      </c>
      <c r="F1578" s="62">
        <v>62.521625</v>
      </c>
      <c r="I1578" s="62">
        <v>2024</v>
      </c>
      <c r="J1578" s="62">
        <v>2</v>
      </c>
      <c r="K1578" s="62" t="s">
        <v>18</v>
      </c>
      <c r="L1578" s="62" t="s">
        <v>1</v>
      </c>
      <c r="M1578" s="62">
        <v>1054.9718</v>
      </c>
      <c r="N1578" s="62">
        <v>685.73167</v>
      </c>
    </row>
    <row r="1579" spans="1:14">
      <c r="A1579" s="62">
        <v>2018</v>
      </c>
      <c r="B1579" s="62">
        <v>12</v>
      </c>
      <c r="C1579" s="62" t="s">
        <v>6</v>
      </c>
      <c r="D1579" s="62" t="s">
        <v>2</v>
      </c>
      <c r="E1579" s="62">
        <v>88.86</v>
      </c>
      <c r="F1579" s="62">
        <v>23.996475</v>
      </c>
      <c r="I1579" s="62">
        <v>2024</v>
      </c>
      <c r="J1579" s="62">
        <v>3</v>
      </c>
      <c r="K1579" s="62" t="s">
        <v>18</v>
      </c>
      <c r="L1579" s="62" t="s">
        <v>1</v>
      </c>
      <c r="M1579" s="62">
        <v>579.138</v>
      </c>
      <c r="N1579" s="62">
        <v>376.4397</v>
      </c>
    </row>
    <row r="1580" spans="1:14">
      <c r="A1580" s="62">
        <v>2019</v>
      </c>
      <c r="B1580" s="62">
        <v>1</v>
      </c>
      <c r="C1580" s="62" t="s">
        <v>6</v>
      </c>
      <c r="D1580" s="62" t="s">
        <v>2</v>
      </c>
      <c r="E1580" s="62">
        <v>608.29</v>
      </c>
      <c r="F1580" s="62">
        <v>107.2091</v>
      </c>
      <c r="I1580" s="62">
        <v>2024</v>
      </c>
      <c r="J1580" s="62">
        <v>4</v>
      </c>
      <c r="K1580" s="62" t="s">
        <v>18</v>
      </c>
      <c r="L1580" s="62" t="s">
        <v>1</v>
      </c>
      <c r="M1580" s="62">
        <v>489.937</v>
      </c>
      <c r="N1580" s="62">
        <v>318.45905</v>
      </c>
    </row>
    <row r="1581" spans="1:14">
      <c r="A1581" s="62">
        <v>2019</v>
      </c>
      <c r="B1581" s="62">
        <v>2</v>
      </c>
      <c r="C1581" s="62" t="s">
        <v>6</v>
      </c>
      <c r="D1581" s="62" t="s">
        <v>2</v>
      </c>
      <c r="E1581" s="62">
        <v>855.255</v>
      </c>
      <c r="F1581" s="62">
        <v>147.0135</v>
      </c>
      <c r="I1581" s="62">
        <v>2024</v>
      </c>
      <c r="J1581" s="62">
        <v>5</v>
      </c>
      <c r="K1581" s="62" t="s">
        <v>18</v>
      </c>
      <c r="L1581" s="62" t="s">
        <v>1</v>
      </c>
      <c r="M1581" s="62">
        <v>277.135</v>
      </c>
      <c r="N1581" s="62">
        <v>180.13775</v>
      </c>
    </row>
    <row r="1582" spans="1:14">
      <c r="A1582" s="62">
        <v>2019</v>
      </c>
      <c r="B1582" s="62">
        <v>3</v>
      </c>
      <c r="C1582" s="62" t="s">
        <v>6</v>
      </c>
      <c r="D1582" s="62" t="s">
        <v>2</v>
      </c>
      <c r="E1582" s="62">
        <v>1311.4819</v>
      </c>
      <c r="F1582" s="62">
        <v>273.5775325</v>
      </c>
      <c r="I1582" s="62">
        <v>2024</v>
      </c>
      <c r="J1582" s="62">
        <v>6</v>
      </c>
      <c r="K1582" s="62" t="s">
        <v>18</v>
      </c>
      <c r="L1582" s="62" t="s">
        <v>1</v>
      </c>
      <c r="M1582" s="62">
        <v>334.165</v>
      </c>
      <c r="N1582" s="62">
        <v>217.20725</v>
      </c>
    </row>
    <row r="1583" spans="1:14">
      <c r="A1583" s="62">
        <v>2019</v>
      </c>
      <c r="B1583" s="62">
        <v>4</v>
      </c>
      <c r="C1583" s="62" t="s">
        <v>6</v>
      </c>
      <c r="D1583" s="62" t="s">
        <v>2</v>
      </c>
      <c r="E1583" s="62">
        <v>1373.8601</v>
      </c>
      <c r="F1583" s="62">
        <v>308.4018675</v>
      </c>
      <c r="I1583" s="62">
        <v>2024</v>
      </c>
      <c r="J1583" s="62">
        <v>7</v>
      </c>
      <c r="K1583" s="62" t="s">
        <v>18</v>
      </c>
      <c r="L1583" s="62" t="s">
        <v>1</v>
      </c>
      <c r="M1583" s="62">
        <v>356.206</v>
      </c>
      <c r="N1583" s="62">
        <v>231.5339</v>
      </c>
    </row>
    <row r="1584" spans="1:14">
      <c r="A1584" s="62">
        <v>2019</v>
      </c>
      <c r="B1584" s="62">
        <v>5</v>
      </c>
      <c r="C1584" s="62" t="s">
        <v>6</v>
      </c>
      <c r="D1584" s="62" t="s">
        <v>2</v>
      </c>
      <c r="E1584" s="62">
        <v>826.575</v>
      </c>
      <c r="F1584" s="62">
        <v>194.73425</v>
      </c>
      <c r="I1584" s="62">
        <v>2024</v>
      </c>
      <c r="J1584" s="62">
        <v>8</v>
      </c>
      <c r="K1584" s="62" t="s">
        <v>18</v>
      </c>
      <c r="L1584" s="62" t="s">
        <v>1</v>
      </c>
      <c r="M1584" s="62">
        <v>309.4394</v>
      </c>
      <c r="N1584" s="62">
        <v>201.13561</v>
      </c>
    </row>
    <row r="1585" spans="1:14">
      <c r="A1585" s="62">
        <v>2019</v>
      </c>
      <c r="B1585" s="62">
        <v>6</v>
      </c>
      <c r="C1585" s="62" t="s">
        <v>6</v>
      </c>
      <c r="D1585" s="62" t="s">
        <v>2</v>
      </c>
      <c r="E1585" s="62">
        <v>438.582</v>
      </c>
      <c r="F1585" s="62">
        <v>103.465225</v>
      </c>
      <c r="I1585" s="62">
        <v>2024</v>
      </c>
      <c r="J1585" s="62">
        <v>9</v>
      </c>
      <c r="K1585" s="62" t="s">
        <v>18</v>
      </c>
      <c r="L1585" s="62" t="s">
        <v>1</v>
      </c>
      <c r="M1585" s="62">
        <v>652.189</v>
      </c>
      <c r="N1585" s="62">
        <v>423.92285</v>
      </c>
    </row>
    <row r="1586" spans="1:14">
      <c r="A1586" s="62">
        <v>2019</v>
      </c>
      <c r="B1586" s="62">
        <v>7</v>
      </c>
      <c r="C1586" s="62" t="s">
        <v>6</v>
      </c>
      <c r="D1586" s="62" t="s">
        <v>2</v>
      </c>
      <c r="E1586" s="62">
        <v>421.947</v>
      </c>
      <c r="F1586" s="62">
        <v>102.5558</v>
      </c>
      <c r="I1586" s="62">
        <v>2024</v>
      </c>
      <c r="J1586" s="62">
        <v>10</v>
      </c>
      <c r="K1586" s="62" t="s">
        <v>18</v>
      </c>
      <c r="L1586" s="62" t="s">
        <v>1</v>
      </c>
      <c r="M1586" s="62">
        <v>453.501</v>
      </c>
      <c r="N1586" s="62">
        <v>294.77565</v>
      </c>
    </row>
    <row r="1587" spans="1:14">
      <c r="A1587" s="62">
        <v>2019</v>
      </c>
      <c r="B1587" s="62">
        <v>8</v>
      </c>
      <c r="C1587" s="62" t="s">
        <v>6</v>
      </c>
      <c r="D1587" s="62" t="s">
        <v>2</v>
      </c>
      <c r="E1587" s="62">
        <v>605.568</v>
      </c>
      <c r="F1587" s="62">
        <v>132.963</v>
      </c>
      <c r="I1587" s="62">
        <v>2024</v>
      </c>
      <c r="J1587" s="62">
        <v>11</v>
      </c>
      <c r="K1587" s="62" t="s">
        <v>18</v>
      </c>
      <c r="L1587" s="62" t="s">
        <v>1</v>
      </c>
      <c r="M1587" s="62">
        <v>153.011</v>
      </c>
      <c r="N1587" s="62">
        <v>99.45715</v>
      </c>
    </row>
    <row r="1588" spans="1:14">
      <c r="A1588" s="62">
        <v>2019</v>
      </c>
      <c r="B1588" s="62">
        <v>9</v>
      </c>
      <c r="C1588" s="62" t="s">
        <v>6</v>
      </c>
      <c r="D1588" s="62" t="s">
        <v>2</v>
      </c>
      <c r="E1588" s="62">
        <v>1576.2045</v>
      </c>
      <c r="F1588" s="62">
        <v>310.3682875</v>
      </c>
      <c r="I1588" s="62">
        <v>2024</v>
      </c>
      <c r="J1588" s="62">
        <v>12</v>
      </c>
      <c r="K1588" s="62" t="s">
        <v>18</v>
      </c>
      <c r="L1588" s="62" t="s">
        <v>1</v>
      </c>
      <c r="M1588" s="62">
        <v>59.754</v>
      </c>
      <c r="N1588" s="62">
        <v>38.8401</v>
      </c>
    </row>
    <row r="1589" spans="1:14">
      <c r="A1589" s="62">
        <v>2019</v>
      </c>
      <c r="B1589" s="62">
        <v>10</v>
      </c>
      <c r="C1589" s="62" t="s">
        <v>6</v>
      </c>
      <c r="D1589" s="62" t="s">
        <v>2</v>
      </c>
      <c r="E1589" s="62">
        <v>2443.239</v>
      </c>
      <c r="F1589" s="62">
        <v>554.2896500000001</v>
      </c>
      <c r="I1589" s="62">
        <v>2025</v>
      </c>
      <c r="J1589" s="62">
        <v>1</v>
      </c>
      <c r="K1589" s="62" t="s">
        <v>18</v>
      </c>
      <c r="L1589" s="62" t="s">
        <v>1</v>
      </c>
      <c r="M1589" s="62">
        <v>297.316</v>
      </c>
      <c r="N1589" s="62">
        <v>193.2554</v>
      </c>
    </row>
    <row r="1590" spans="1:14">
      <c r="A1590" s="62">
        <v>2019</v>
      </c>
      <c r="B1590" s="62">
        <v>11</v>
      </c>
      <c r="C1590" s="62" t="s">
        <v>6</v>
      </c>
      <c r="D1590" s="62" t="s">
        <v>2</v>
      </c>
      <c r="E1590" s="62">
        <v>1685.706</v>
      </c>
      <c r="F1590" s="62">
        <v>386.487025</v>
      </c>
      <c r="I1590" s="62">
        <v>2025</v>
      </c>
      <c r="J1590" s="62">
        <v>2</v>
      </c>
      <c r="K1590" s="62" t="s">
        <v>18</v>
      </c>
      <c r="L1590" s="62" t="s">
        <v>1</v>
      </c>
      <c r="M1590" s="62">
        <v>403.831</v>
      </c>
      <c r="N1590" s="62">
        <v>262.49015</v>
      </c>
    </row>
    <row r="1591" spans="1:14">
      <c r="A1591" s="62">
        <v>2019</v>
      </c>
      <c r="B1591" s="62">
        <v>12</v>
      </c>
      <c r="C1591" s="62" t="s">
        <v>6</v>
      </c>
      <c r="D1591" s="62" t="s">
        <v>2</v>
      </c>
      <c r="E1591" s="62">
        <v>625.98</v>
      </c>
      <c r="F1591" s="62">
        <v>151.8625</v>
      </c>
      <c r="I1591" s="62">
        <v>2025</v>
      </c>
      <c r="J1591" s="62">
        <v>3</v>
      </c>
      <c r="K1591" s="62" t="s">
        <v>18</v>
      </c>
      <c r="L1591" s="62" t="s">
        <v>1</v>
      </c>
      <c r="M1591" s="62">
        <v>472.933</v>
      </c>
      <c r="N1591" s="62">
        <v>307.40645</v>
      </c>
    </row>
    <row r="1592" spans="1:14">
      <c r="A1592" s="62">
        <v>2020</v>
      </c>
      <c r="B1592" s="62">
        <v>1</v>
      </c>
      <c r="C1592" s="62" t="s">
        <v>6</v>
      </c>
      <c r="D1592" s="62" t="s">
        <v>2</v>
      </c>
      <c r="E1592" s="62">
        <v>1188.2175</v>
      </c>
      <c r="F1592" s="62">
        <v>330.5679375</v>
      </c>
      <c r="I1592" s="62">
        <v>2025</v>
      </c>
      <c r="J1592" s="62">
        <v>4</v>
      </c>
      <c r="K1592" s="62" t="s">
        <v>18</v>
      </c>
      <c r="L1592" s="62" t="s">
        <v>1</v>
      </c>
      <c r="M1592" s="62">
        <v>576.225</v>
      </c>
      <c r="N1592" s="62">
        <v>374.54625</v>
      </c>
    </row>
    <row r="1593" spans="1:14">
      <c r="A1593" s="62">
        <v>2020</v>
      </c>
      <c r="B1593" s="62">
        <v>2</v>
      </c>
      <c r="C1593" s="62" t="s">
        <v>6</v>
      </c>
      <c r="D1593" s="62" t="s">
        <v>2</v>
      </c>
      <c r="E1593" s="62">
        <v>1761.472</v>
      </c>
      <c r="F1593" s="62">
        <v>548.7035999999999</v>
      </c>
      <c r="I1593" s="62">
        <v>2025</v>
      </c>
      <c r="J1593" s="62">
        <v>5</v>
      </c>
      <c r="K1593" s="62" t="s">
        <v>18</v>
      </c>
      <c r="L1593" s="62" t="s">
        <v>1</v>
      </c>
      <c r="M1593" s="62">
        <v>393.455</v>
      </c>
      <c r="N1593" s="62">
        <v>255.74575</v>
      </c>
    </row>
    <row r="1594" spans="1:14">
      <c r="A1594" s="62">
        <v>2020</v>
      </c>
      <c r="B1594" s="62">
        <v>3</v>
      </c>
      <c r="C1594" s="62" t="s">
        <v>6</v>
      </c>
      <c r="D1594" s="62" t="s">
        <v>2</v>
      </c>
      <c r="E1594" s="62">
        <v>1279.09</v>
      </c>
      <c r="F1594" s="62">
        <v>368.019375</v>
      </c>
      <c r="I1594" s="62">
        <v>2025</v>
      </c>
      <c r="J1594" s="62">
        <v>6</v>
      </c>
      <c r="K1594" s="62" t="s">
        <v>18</v>
      </c>
      <c r="L1594" s="62" t="s">
        <v>1</v>
      </c>
      <c r="M1594" s="62">
        <v>215.541</v>
      </c>
      <c r="N1594" s="62">
        <v>140.10165</v>
      </c>
    </row>
    <row r="1595" spans="1:14">
      <c r="A1595" s="62">
        <v>2020</v>
      </c>
      <c r="B1595" s="62">
        <v>4</v>
      </c>
      <c r="C1595" s="62" t="s">
        <v>6</v>
      </c>
      <c r="D1595" s="62" t="s">
        <v>2</v>
      </c>
      <c r="E1595" s="62">
        <v>1130.33</v>
      </c>
      <c r="F1595" s="62">
        <v>268.224</v>
      </c>
      <c r="I1595" s="62">
        <v>2025</v>
      </c>
      <c r="J1595" s="62">
        <v>7</v>
      </c>
      <c r="K1595" s="62" t="s">
        <v>18</v>
      </c>
      <c r="L1595" s="62" t="s">
        <v>1</v>
      </c>
      <c r="M1595" s="62">
        <v>183.557</v>
      </c>
      <c r="N1595" s="62">
        <v>119.31205</v>
      </c>
    </row>
    <row r="1596" spans="1:14">
      <c r="A1596" s="62">
        <v>2020</v>
      </c>
      <c r="B1596" s="62">
        <v>5</v>
      </c>
      <c r="C1596" s="62" t="s">
        <v>6</v>
      </c>
      <c r="D1596" s="62" t="s">
        <v>2</v>
      </c>
      <c r="E1596" s="62">
        <v>1365.4975</v>
      </c>
      <c r="F1596" s="62">
        <v>362.4875</v>
      </c>
      <c r="I1596" s="62">
        <v>2025</v>
      </c>
      <c r="J1596" s="62">
        <v>8</v>
      </c>
      <c r="K1596" s="62" t="s">
        <v>18</v>
      </c>
      <c r="L1596" s="62" t="s">
        <v>1</v>
      </c>
      <c r="M1596" s="62">
        <v>235.215</v>
      </c>
      <c r="N1596" s="62">
        <v>152.88975</v>
      </c>
    </row>
    <row r="1597" spans="1:14">
      <c r="A1597" s="62">
        <v>2020</v>
      </c>
      <c r="B1597" s="62">
        <v>6</v>
      </c>
      <c r="C1597" s="62" t="s">
        <v>6</v>
      </c>
      <c r="D1597" s="62" t="s">
        <v>2</v>
      </c>
      <c r="E1597" s="62">
        <v>1216.43</v>
      </c>
      <c r="F1597" s="62">
        <v>269.651</v>
      </c>
      <c r="I1597" s="62">
        <v>2025</v>
      </c>
      <c r="J1597" s="62">
        <v>9</v>
      </c>
      <c r="K1597" s="62" t="s">
        <v>18</v>
      </c>
      <c r="L1597" s="62" t="s">
        <v>1</v>
      </c>
      <c r="M1597" s="62">
        <v>364.325</v>
      </c>
      <c r="N1597" s="62">
        <v>236.81125</v>
      </c>
    </row>
    <row r="1598" spans="1:14">
      <c r="A1598" s="62">
        <v>2020</v>
      </c>
      <c r="B1598" s="62">
        <v>7</v>
      </c>
      <c r="C1598" s="62" t="s">
        <v>6</v>
      </c>
      <c r="D1598" s="62" t="s">
        <v>2</v>
      </c>
      <c r="E1598" s="62">
        <v>1065.98</v>
      </c>
      <c r="F1598" s="62">
        <v>195.245</v>
      </c>
      <c r="I1598" s="62">
        <v>2025</v>
      </c>
      <c r="J1598" s="62">
        <v>10</v>
      </c>
      <c r="K1598" s="62" t="s">
        <v>18</v>
      </c>
      <c r="L1598" s="62" t="s">
        <v>1</v>
      </c>
      <c r="M1598" s="62">
        <v>702.5715</v>
      </c>
      <c r="N1598" s="62">
        <v>456.671475</v>
      </c>
    </row>
    <row r="1599" spans="1:14">
      <c r="A1599" s="62">
        <v>2020</v>
      </c>
      <c r="B1599" s="62">
        <v>8</v>
      </c>
      <c r="C1599" s="62" t="s">
        <v>6</v>
      </c>
      <c r="D1599" s="62" t="s">
        <v>2</v>
      </c>
      <c r="E1599" s="62">
        <v>242.738</v>
      </c>
      <c r="F1599" s="62">
        <v>44.75915</v>
      </c>
      <c r="I1599" s="62">
        <v>2025</v>
      </c>
      <c r="J1599" s="62">
        <v>11</v>
      </c>
      <c r="K1599" s="62" t="s">
        <v>18</v>
      </c>
      <c r="L1599" s="62" t="s">
        <v>1</v>
      </c>
      <c r="M1599" s="62">
        <v>409.0129</v>
      </c>
      <c r="N1599" s="62">
        <v>265.858385</v>
      </c>
    </row>
    <row r="1600" spans="1:14">
      <c r="A1600" s="62">
        <v>2020</v>
      </c>
      <c r="B1600" s="62">
        <v>9</v>
      </c>
      <c r="C1600" s="62" t="s">
        <v>6</v>
      </c>
      <c r="D1600" s="62" t="s">
        <v>2</v>
      </c>
      <c r="E1600" s="62">
        <v>778.852</v>
      </c>
      <c r="F1600" s="62">
        <v>173.29145</v>
      </c>
      <c r="I1600" s="62">
        <v>2025</v>
      </c>
      <c r="J1600" s="62">
        <v>12</v>
      </c>
      <c r="K1600" s="62" t="s">
        <v>18</v>
      </c>
      <c r="L1600" s="62" t="s">
        <v>1</v>
      </c>
      <c r="M1600" s="62">
        <v>75.961</v>
      </c>
      <c r="N1600" s="62">
        <v>49.37465</v>
      </c>
    </row>
    <row r="1601" spans="1:14">
      <c r="A1601" s="62">
        <v>2020</v>
      </c>
      <c r="B1601" s="62">
        <v>10</v>
      </c>
      <c r="C1601" s="62" t="s">
        <v>6</v>
      </c>
      <c r="D1601" s="62" t="s">
        <v>2</v>
      </c>
      <c r="E1601" s="62">
        <v>1146.497</v>
      </c>
      <c r="F1601" s="62">
        <v>227.64965</v>
      </c>
      <c r="I1601" s="62">
        <v>2026</v>
      </c>
      <c r="J1601" s="62">
        <v>1</v>
      </c>
      <c r="K1601" s="62" t="s">
        <v>18</v>
      </c>
      <c r="L1601" s="62" t="s">
        <v>1</v>
      </c>
      <c r="M1601" s="62">
        <v>299.98</v>
      </c>
      <c r="N1601" s="62">
        <v>194.987</v>
      </c>
    </row>
    <row r="1602" spans="1:14">
      <c r="A1602" s="62">
        <v>2020</v>
      </c>
      <c r="B1602" s="62">
        <v>11</v>
      </c>
      <c r="C1602" s="62" t="s">
        <v>6</v>
      </c>
      <c r="D1602" s="62" t="s">
        <v>2</v>
      </c>
      <c r="E1602" s="62">
        <v>1132.455</v>
      </c>
      <c r="F1602" s="62">
        <v>252.831</v>
      </c>
      <c r="I1602" s="62">
        <v>2026</v>
      </c>
      <c r="J1602" s="62">
        <v>2</v>
      </c>
      <c r="K1602" s="62" t="s">
        <v>18</v>
      </c>
      <c r="L1602" s="62" t="s">
        <v>1</v>
      </c>
      <c r="M1602" s="62">
        <v>559.7625</v>
      </c>
      <c r="N1602" s="62">
        <v>363.845625</v>
      </c>
    </row>
    <row r="1603" spans="1:14">
      <c r="A1603" s="62">
        <v>2020</v>
      </c>
      <c r="B1603" s="62">
        <v>12</v>
      </c>
      <c r="C1603" s="62" t="s">
        <v>6</v>
      </c>
      <c r="D1603" s="62" t="s">
        <v>2</v>
      </c>
      <c r="E1603" s="62">
        <v>1539.81</v>
      </c>
      <c r="F1603" s="62">
        <v>346.565875</v>
      </c>
      <c r="I1603" s="62">
        <v>2026</v>
      </c>
      <c r="J1603" s="62">
        <v>3</v>
      </c>
      <c r="K1603" s="62" t="s">
        <v>18</v>
      </c>
      <c r="L1603" s="62" t="s">
        <v>1</v>
      </c>
      <c r="M1603" s="62">
        <v>331.375</v>
      </c>
      <c r="N1603" s="62">
        <v>215.39375</v>
      </c>
    </row>
    <row r="1604" spans="1:14">
      <c r="A1604" s="62">
        <v>2021</v>
      </c>
      <c r="B1604" s="62">
        <v>1</v>
      </c>
      <c r="C1604" s="62" t="s">
        <v>6</v>
      </c>
      <c r="D1604" s="62" t="s">
        <v>2</v>
      </c>
      <c r="E1604" s="62">
        <v>1362.33</v>
      </c>
      <c r="F1604" s="62">
        <v>320.1611</v>
      </c>
      <c r="I1604" s="62">
        <v>2026</v>
      </c>
      <c r="J1604" s="62">
        <v>4</v>
      </c>
      <c r="K1604" s="62" t="s">
        <v>18</v>
      </c>
      <c r="L1604" s="62" t="s">
        <v>1</v>
      </c>
      <c r="M1604" s="62">
        <v>558.008</v>
      </c>
      <c r="N1604" s="62">
        <v>362.7052</v>
      </c>
    </row>
    <row r="1605" spans="1:14">
      <c r="A1605" s="62">
        <v>2021</v>
      </c>
      <c r="B1605" s="62">
        <v>2</v>
      </c>
      <c r="C1605" s="62" t="s">
        <v>6</v>
      </c>
      <c r="D1605" s="62" t="s">
        <v>2</v>
      </c>
      <c r="E1605" s="62">
        <v>1686.7424</v>
      </c>
      <c r="F1605" s="62">
        <v>410.356735</v>
      </c>
      <c r="I1605" s="62">
        <v>2026</v>
      </c>
      <c r="J1605" s="62">
        <v>5</v>
      </c>
      <c r="K1605" s="62" t="s">
        <v>18</v>
      </c>
      <c r="L1605" s="62" t="s">
        <v>1</v>
      </c>
      <c r="M1605" s="62">
        <v>360.0815</v>
      </c>
      <c r="N1605" s="62">
        <v>234.052975</v>
      </c>
    </row>
    <row r="1606" spans="1:14">
      <c r="A1606" s="62">
        <v>2021</v>
      </c>
      <c r="B1606" s="62">
        <v>3</v>
      </c>
      <c r="C1606" s="62" t="s">
        <v>6</v>
      </c>
      <c r="D1606" s="62" t="s">
        <v>2</v>
      </c>
      <c r="E1606" s="62">
        <v>1602.4145</v>
      </c>
      <c r="F1606" s="62">
        <v>359.8817875</v>
      </c>
      <c r="I1606" s="62">
        <v>2026</v>
      </c>
      <c r="J1606" s="62">
        <v>6</v>
      </c>
      <c r="K1606" s="62" t="s">
        <v>18</v>
      </c>
      <c r="L1606" s="62" t="s">
        <v>1</v>
      </c>
      <c r="M1606" s="62">
        <v>119.855</v>
      </c>
      <c r="N1606" s="62">
        <v>77.90575</v>
      </c>
    </row>
    <row r="1607" spans="1:14">
      <c r="A1607" s="62">
        <v>2021</v>
      </c>
      <c r="B1607" s="62">
        <v>4</v>
      </c>
      <c r="C1607" s="62" t="s">
        <v>6</v>
      </c>
      <c r="D1607" s="62" t="s">
        <v>2</v>
      </c>
      <c r="E1607" s="62">
        <v>1079.3138</v>
      </c>
      <c r="F1607" s="62">
        <v>311.664615</v>
      </c>
      <c r="I1607" s="62">
        <v>2026</v>
      </c>
      <c r="J1607" s="62">
        <v>7</v>
      </c>
      <c r="K1607" s="62" t="s">
        <v>18</v>
      </c>
      <c r="L1607" s="62" t="s">
        <v>1</v>
      </c>
      <c r="M1607" s="62">
        <v>4.715</v>
      </c>
      <c r="N1607" s="62">
        <v>3.06475</v>
      </c>
    </row>
    <row r="1608" spans="1:14">
      <c r="A1608" s="62">
        <v>2021</v>
      </c>
      <c r="B1608" s="62">
        <v>5</v>
      </c>
      <c r="C1608" s="62" t="s">
        <v>6</v>
      </c>
      <c r="D1608" s="62" t="s">
        <v>2</v>
      </c>
      <c r="E1608" s="62">
        <v>806.5304</v>
      </c>
      <c r="F1608" s="62">
        <v>222.83032</v>
      </c>
      <c r="I1608" s="62">
        <v>2026</v>
      </c>
      <c r="J1608" s="62">
        <v>9</v>
      </c>
      <c r="K1608" s="62" t="s">
        <v>18</v>
      </c>
      <c r="L1608" s="62" t="s">
        <v>1</v>
      </c>
      <c r="M1608" s="62">
        <v>68.93000000000001</v>
      </c>
      <c r="N1608" s="62">
        <v>44.8045</v>
      </c>
    </row>
    <row r="1609" spans="1:14">
      <c r="A1609" s="62">
        <v>2021</v>
      </c>
      <c r="B1609" s="62">
        <v>6</v>
      </c>
      <c r="C1609" s="62" t="s">
        <v>6</v>
      </c>
      <c r="D1609" s="62" t="s">
        <v>2</v>
      </c>
      <c r="E1609" s="62">
        <v>845.255</v>
      </c>
      <c r="F1609" s="62">
        <v>205.4955</v>
      </c>
      <c r="I1609" s="62">
        <v>2026</v>
      </c>
      <c r="J1609" s="62">
        <v>10</v>
      </c>
      <c r="K1609" s="62" t="s">
        <v>18</v>
      </c>
      <c r="L1609" s="62" t="s">
        <v>1</v>
      </c>
      <c r="M1609" s="62">
        <v>189.01</v>
      </c>
      <c r="N1609" s="62">
        <v>122.8565</v>
      </c>
    </row>
    <row r="1610" spans="1:14">
      <c r="A1610" s="62">
        <v>2021</v>
      </c>
      <c r="B1610" s="62">
        <v>7</v>
      </c>
      <c r="C1610" s="62" t="s">
        <v>6</v>
      </c>
      <c r="D1610" s="62" t="s">
        <v>2</v>
      </c>
      <c r="E1610" s="62">
        <v>1029.854</v>
      </c>
      <c r="F1610" s="62">
        <v>227.44375</v>
      </c>
      <c r="I1610" s="62">
        <v>2026</v>
      </c>
      <c r="J1610" s="62">
        <v>11</v>
      </c>
      <c r="K1610" s="62" t="s">
        <v>18</v>
      </c>
      <c r="L1610" s="62" t="s">
        <v>1</v>
      </c>
      <c r="M1610" s="62">
        <v>127.225</v>
      </c>
      <c r="N1610" s="62">
        <v>82.69625000000001</v>
      </c>
    </row>
    <row r="1611" spans="1:14">
      <c r="A1611" s="62">
        <v>2021</v>
      </c>
      <c r="B1611" s="62">
        <v>8</v>
      </c>
      <c r="C1611" s="62" t="s">
        <v>6</v>
      </c>
      <c r="D1611" s="62" t="s">
        <v>2</v>
      </c>
      <c r="E1611" s="62">
        <v>912.9682</v>
      </c>
      <c r="F1611" s="62">
        <v>228.84001</v>
      </c>
      <c r="I1611" s="62">
        <v>2026</v>
      </c>
      <c r="J1611" s="62">
        <v>12</v>
      </c>
      <c r="K1611" s="62" t="s">
        <v>18</v>
      </c>
      <c r="L1611" s="62" t="s">
        <v>1</v>
      </c>
      <c r="M1611" s="62">
        <v>4.8</v>
      </c>
      <c r="N1611" s="62">
        <v>3.12</v>
      </c>
    </row>
    <row r="1612" spans="1:14">
      <c r="A1612" s="62">
        <v>2021</v>
      </c>
      <c r="B1612" s="62">
        <v>9</v>
      </c>
      <c r="C1612" s="62" t="s">
        <v>6</v>
      </c>
      <c r="D1612" s="62" t="s">
        <v>2</v>
      </c>
      <c r="E1612" s="62">
        <v>1489.567</v>
      </c>
      <c r="F1612" s="62">
        <v>347.2202</v>
      </c>
      <c r="I1612" s="62">
        <v>2027</v>
      </c>
      <c r="J1612" s="62">
        <v>1</v>
      </c>
      <c r="K1612" s="62" t="s">
        <v>18</v>
      </c>
      <c r="L1612" s="62" t="s">
        <v>1</v>
      </c>
      <c r="M1612" s="62">
        <v>250.98</v>
      </c>
      <c r="N1612" s="62">
        <v>163.137</v>
      </c>
    </row>
    <row r="1613" spans="1:14">
      <c r="A1613" s="62">
        <v>2021</v>
      </c>
      <c r="B1613" s="62">
        <v>10</v>
      </c>
      <c r="C1613" s="62" t="s">
        <v>6</v>
      </c>
      <c r="D1613" s="62" t="s">
        <v>2</v>
      </c>
      <c r="E1613" s="62">
        <v>1805.2</v>
      </c>
      <c r="F1613" s="62">
        <v>396.827625</v>
      </c>
      <c r="I1613" s="62">
        <v>2027</v>
      </c>
      <c r="J1613" s="62">
        <v>2</v>
      </c>
      <c r="K1613" s="62" t="s">
        <v>18</v>
      </c>
      <c r="L1613" s="62" t="s">
        <v>1</v>
      </c>
      <c r="M1613" s="62">
        <v>450.5215</v>
      </c>
      <c r="N1613" s="62">
        <v>292.838975</v>
      </c>
    </row>
    <row r="1614" spans="1:14">
      <c r="A1614" s="62">
        <v>2021</v>
      </c>
      <c r="B1614" s="62">
        <v>11</v>
      </c>
      <c r="C1614" s="62" t="s">
        <v>6</v>
      </c>
      <c r="D1614" s="62" t="s">
        <v>2</v>
      </c>
      <c r="E1614" s="62">
        <v>1259.765</v>
      </c>
      <c r="F1614" s="62">
        <v>306.5974</v>
      </c>
      <c r="I1614" s="62">
        <v>2027</v>
      </c>
      <c r="J1614" s="62">
        <v>3</v>
      </c>
      <c r="K1614" s="62" t="s">
        <v>18</v>
      </c>
      <c r="L1614" s="62" t="s">
        <v>1</v>
      </c>
      <c r="M1614" s="62">
        <v>447.892</v>
      </c>
      <c r="N1614" s="62">
        <v>291.1298</v>
      </c>
    </row>
    <row r="1615" spans="1:14">
      <c r="A1615" s="62">
        <v>2021</v>
      </c>
      <c r="B1615" s="62">
        <v>12</v>
      </c>
      <c r="C1615" s="62" t="s">
        <v>6</v>
      </c>
      <c r="D1615" s="62" t="s">
        <v>2</v>
      </c>
      <c r="E1615" s="62">
        <v>738.54</v>
      </c>
      <c r="F1615" s="62">
        <v>183.5045</v>
      </c>
      <c r="I1615" s="62">
        <v>2027</v>
      </c>
      <c r="J1615" s="62">
        <v>4</v>
      </c>
      <c r="K1615" s="62" t="s">
        <v>18</v>
      </c>
      <c r="L1615" s="62" t="s">
        <v>1</v>
      </c>
      <c r="M1615" s="62">
        <v>245.515</v>
      </c>
      <c r="N1615" s="62">
        <v>159.58475</v>
      </c>
    </row>
    <row r="1616" spans="1:14">
      <c r="A1616" s="62">
        <v>2022</v>
      </c>
      <c r="B1616" s="62">
        <v>1</v>
      </c>
      <c r="C1616" s="62" t="s">
        <v>6</v>
      </c>
      <c r="D1616" s="62" t="s">
        <v>2</v>
      </c>
      <c r="E1616" s="62">
        <v>1238.8225</v>
      </c>
      <c r="F1616" s="62">
        <v>303.822375</v>
      </c>
      <c r="I1616" s="62">
        <v>2027</v>
      </c>
      <c r="J1616" s="62">
        <v>5</v>
      </c>
      <c r="K1616" s="62" t="s">
        <v>18</v>
      </c>
      <c r="L1616" s="62" t="s">
        <v>1</v>
      </c>
      <c r="M1616" s="62">
        <v>92.88</v>
      </c>
      <c r="N1616" s="62">
        <v>60.37200000000001</v>
      </c>
    </row>
    <row r="1617" spans="1:14">
      <c r="A1617" s="62">
        <v>2022</v>
      </c>
      <c r="B1617" s="62">
        <v>2</v>
      </c>
      <c r="C1617" s="62" t="s">
        <v>6</v>
      </c>
      <c r="D1617" s="62" t="s">
        <v>2</v>
      </c>
      <c r="E1617" s="62">
        <v>1618.81</v>
      </c>
      <c r="F1617" s="62">
        <v>444.982</v>
      </c>
      <c r="I1617" s="62">
        <v>2027</v>
      </c>
      <c r="J1617" s="62">
        <v>6</v>
      </c>
      <c r="K1617" s="62" t="s">
        <v>18</v>
      </c>
      <c r="L1617" s="62" t="s">
        <v>1</v>
      </c>
      <c r="M1617" s="62">
        <v>68.255</v>
      </c>
      <c r="N1617" s="62">
        <v>44.36575000000001</v>
      </c>
    </row>
    <row r="1618" spans="1:14">
      <c r="A1618" s="62">
        <v>2022</v>
      </c>
      <c r="B1618" s="62">
        <v>3</v>
      </c>
      <c r="C1618" s="62" t="s">
        <v>6</v>
      </c>
      <c r="D1618" s="62" t="s">
        <v>2</v>
      </c>
      <c r="E1618" s="62">
        <v>1257.527</v>
      </c>
      <c r="F1618" s="62">
        <v>383.247</v>
      </c>
      <c r="I1618" s="62">
        <v>2027</v>
      </c>
      <c r="J1618" s="62">
        <v>7</v>
      </c>
      <c r="K1618" s="62" t="s">
        <v>18</v>
      </c>
      <c r="L1618" s="62" t="s">
        <v>1</v>
      </c>
      <c r="M1618" s="62">
        <v>68</v>
      </c>
      <c r="N1618" s="62">
        <v>44.2</v>
      </c>
    </row>
    <row r="1619" spans="1:14">
      <c r="A1619" s="62">
        <v>2022</v>
      </c>
      <c r="B1619" s="62">
        <v>4</v>
      </c>
      <c r="C1619" s="62" t="s">
        <v>6</v>
      </c>
      <c r="D1619" s="62" t="s">
        <v>2</v>
      </c>
      <c r="E1619" s="62">
        <v>1299.9775</v>
      </c>
      <c r="F1619" s="62">
        <v>337.3635</v>
      </c>
      <c r="I1619" s="62">
        <v>2027</v>
      </c>
      <c r="J1619" s="62">
        <v>8</v>
      </c>
      <c r="K1619" s="62" t="s">
        <v>18</v>
      </c>
      <c r="L1619" s="62" t="s">
        <v>1</v>
      </c>
      <c r="M1619" s="62">
        <v>19.72</v>
      </c>
      <c r="N1619" s="62">
        <v>12.818</v>
      </c>
    </row>
    <row r="1620" spans="1:14">
      <c r="A1620" s="62">
        <v>2022</v>
      </c>
      <c r="B1620" s="62">
        <v>5</v>
      </c>
      <c r="C1620" s="62" t="s">
        <v>6</v>
      </c>
      <c r="D1620" s="62" t="s">
        <v>2</v>
      </c>
      <c r="E1620" s="62">
        <v>1077.6</v>
      </c>
      <c r="F1620" s="62">
        <v>260.0855</v>
      </c>
      <c r="I1620" s="62">
        <v>2027</v>
      </c>
      <c r="J1620" s="62">
        <v>9</v>
      </c>
      <c r="K1620" s="62" t="s">
        <v>18</v>
      </c>
      <c r="L1620" s="62" t="s">
        <v>1</v>
      </c>
      <c r="M1620" s="62">
        <v>176.274</v>
      </c>
      <c r="N1620" s="62">
        <v>114.5781</v>
      </c>
    </row>
    <row r="1621" spans="1:14">
      <c r="A1621" s="62">
        <v>2022</v>
      </c>
      <c r="B1621" s="62">
        <v>6</v>
      </c>
      <c r="C1621" s="62" t="s">
        <v>6</v>
      </c>
      <c r="D1621" s="62" t="s">
        <v>2</v>
      </c>
      <c r="E1621" s="62">
        <v>759.4599999999999</v>
      </c>
      <c r="F1621" s="62">
        <v>178.478</v>
      </c>
      <c r="I1621" s="62">
        <v>2027</v>
      </c>
      <c r="J1621" s="62">
        <v>10</v>
      </c>
      <c r="K1621" s="62" t="s">
        <v>18</v>
      </c>
      <c r="L1621" s="62" t="s">
        <v>1</v>
      </c>
      <c r="M1621" s="62">
        <v>189.624</v>
      </c>
      <c r="N1621" s="62">
        <v>123.2556</v>
      </c>
    </row>
    <row r="1622" spans="1:14">
      <c r="A1622" s="62">
        <v>2022</v>
      </c>
      <c r="B1622" s="62">
        <v>7</v>
      </c>
      <c r="C1622" s="62" t="s">
        <v>6</v>
      </c>
      <c r="D1622" s="62" t="s">
        <v>2</v>
      </c>
      <c r="E1622" s="62">
        <v>781.79</v>
      </c>
      <c r="F1622" s="62">
        <v>197.76825</v>
      </c>
      <c r="I1622" s="62">
        <v>2027</v>
      </c>
      <c r="J1622" s="62">
        <v>11</v>
      </c>
      <c r="K1622" s="62" t="s">
        <v>18</v>
      </c>
      <c r="L1622" s="62" t="s">
        <v>1</v>
      </c>
      <c r="M1622" s="62">
        <v>54.87</v>
      </c>
      <c r="N1622" s="62">
        <v>35.6655</v>
      </c>
    </row>
    <row r="1623" spans="1:14">
      <c r="A1623" s="62">
        <v>2022</v>
      </c>
      <c r="B1623" s="62">
        <v>8</v>
      </c>
      <c r="C1623" s="62" t="s">
        <v>6</v>
      </c>
      <c r="D1623" s="62" t="s">
        <v>2</v>
      </c>
      <c r="E1623" s="62">
        <v>972.4639999999999</v>
      </c>
      <c r="F1623" s="62">
        <v>216.83245</v>
      </c>
      <c r="I1623" s="62">
        <v>2014</v>
      </c>
      <c r="J1623" s="62">
        <v>1</v>
      </c>
      <c r="K1623" s="62" t="s">
        <v>18</v>
      </c>
      <c r="L1623" s="62" t="s">
        <v>2</v>
      </c>
      <c r="M1623" s="62">
        <v>124.865</v>
      </c>
      <c r="N1623" s="62">
        <v>81.16225</v>
      </c>
    </row>
    <row r="1624" spans="1:14">
      <c r="A1624" s="62">
        <v>2022</v>
      </c>
      <c r="B1624" s="62">
        <v>9</v>
      </c>
      <c r="C1624" s="62" t="s">
        <v>6</v>
      </c>
      <c r="D1624" s="62" t="s">
        <v>2</v>
      </c>
      <c r="E1624" s="62">
        <v>1258.3265</v>
      </c>
      <c r="F1624" s="62">
        <v>254.7293875</v>
      </c>
      <c r="I1624" s="62">
        <v>2014</v>
      </c>
      <c r="J1624" s="62">
        <v>2</v>
      </c>
      <c r="K1624" s="62" t="s">
        <v>18</v>
      </c>
      <c r="L1624" s="62" t="s">
        <v>2</v>
      </c>
      <c r="M1624" s="62">
        <v>353.48</v>
      </c>
      <c r="N1624" s="62">
        <v>229.762</v>
      </c>
    </row>
    <row r="1625" spans="1:14">
      <c r="A1625" s="62">
        <v>2022</v>
      </c>
      <c r="B1625" s="62">
        <v>10</v>
      </c>
      <c r="C1625" s="62" t="s">
        <v>6</v>
      </c>
      <c r="D1625" s="62" t="s">
        <v>2</v>
      </c>
      <c r="E1625" s="62">
        <v>2558.481</v>
      </c>
      <c r="F1625" s="62">
        <v>526.9207749999999</v>
      </c>
      <c r="I1625" s="62">
        <v>2014</v>
      </c>
      <c r="J1625" s="62">
        <v>3</v>
      </c>
      <c r="K1625" s="62" t="s">
        <v>18</v>
      </c>
      <c r="L1625" s="62" t="s">
        <v>2</v>
      </c>
      <c r="M1625" s="62">
        <v>429.76</v>
      </c>
      <c r="N1625" s="62">
        <v>279.344</v>
      </c>
    </row>
    <row r="1626" spans="1:14">
      <c r="A1626" s="62">
        <v>2022</v>
      </c>
      <c r="B1626" s="62">
        <v>11</v>
      </c>
      <c r="C1626" s="62" t="s">
        <v>6</v>
      </c>
      <c r="D1626" s="62" t="s">
        <v>2</v>
      </c>
      <c r="E1626" s="62">
        <v>1189.73</v>
      </c>
      <c r="F1626" s="62">
        <v>268.35275</v>
      </c>
      <c r="I1626" s="62">
        <v>2014</v>
      </c>
      <c r="J1626" s="62">
        <v>4</v>
      </c>
      <c r="K1626" s="62" t="s">
        <v>18</v>
      </c>
      <c r="L1626" s="62" t="s">
        <v>2</v>
      </c>
      <c r="M1626" s="62">
        <v>304.97</v>
      </c>
      <c r="N1626" s="62">
        <v>198.2305</v>
      </c>
    </row>
    <row r="1627" spans="1:14">
      <c r="A1627" s="62">
        <v>2022</v>
      </c>
      <c r="B1627" s="62">
        <v>12</v>
      </c>
      <c r="C1627" s="62" t="s">
        <v>6</v>
      </c>
      <c r="D1627" s="62" t="s">
        <v>2</v>
      </c>
      <c r="E1627" s="62">
        <v>1040.272</v>
      </c>
      <c r="F1627" s="62">
        <v>252.263225</v>
      </c>
      <c r="I1627" s="62">
        <v>2014</v>
      </c>
      <c r="J1627" s="62">
        <v>5</v>
      </c>
      <c r="K1627" s="62" t="s">
        <v>18</v>
      </c>
      <c r="L1627" s="62" t="s">
        <v>2</v>
      </c>
      <c r="M1627" s="62">
        <v>190.83</v>
      </c>
      <c r="N1627" s="62">
        <v>124.0395</v>
      </c>
    </row>
    <row r="1628" spans="1:14">
      <c r="A1628" s="62">
        <v>2023</v>
      </c>
      <c r="B1628" s="62">
        <v>1</v>
      </c>
      <c r="C1628" s="62" t="s">
        <v>6</v>
      </c>
      <c r="D1628" s="62" t="s">
        <v>2</v>
      </c>
      <c r="E1628" s="62">
        <v>1679.7445</v>
      </c>
      <c r="F1628" s="62">
        <v>433.9823875</v>
      </c>
      <c r="I1628" s="62">
        <v>2014</v>
      </c>
      <c r="J1628" s="62">
        <v>6</v>
      </c>
      <c r="K1628" s="62" t="s">
        <v>18</v>
      </c>
      <c r="L1628" s="62" t="s">
        <v>2</v>
      </c>
      <c r="M1628" s="62">
        <v>70.25</v>
      </c>
      <c r="N1628" s="62">
        <v>45.6625</v>
      </c>
    </row>
    <row r="1629" spans="1:14">
      <c r="A1629" s="62">
        <v>2023</v>
      </c>
      <c r="B1629" s="62">
        <v>2</v>
      </c>
      <c r="C1629" s="62" t="s">
        <v>6</v>
      </c>
      <c r="D1629" s="62" t="s">
        <v>2</v>
      </c>
      <c r="E1629" s="62">
        <v>2639.15</v>
      </c>
      <c r="F1629" s="62">
        <v>693.45575</v>
      </c>
      <c r="I1629" s="62">
        <v>2014</v>
      </c>
      <c r="J1629" s="62">
        <v>9</v>
      </c>
      <c r="K1629" s="62" t="s">
        <v>18</v>
      </c>
      <c r="L1629" s="62" t="s">
        <v>2</v>
      </c>
      <c r="M1629" s="62">
        <v>213.425</v>
      </c>
      <c r="N1629" s="62">
        <v>138.72625</v>
      </c>
    </row>
    <row r="1630" spans="1:14">
      <c r="A1630" s="62">
        <v>2023</v>
      </c>
      <c r="B1630" s="62">
        <v>3</v>
      </c>
      <c r="C1630" s="62" t="s">
        <v>6</v>
      </c>
      <c r="D1630" s="62" t="s">
        <v>2</v>
      </c>
      <c r="E1630" s="62">
        <v>2260.158</v>
      </c>
      <c r="F1630" s="62">
        <v>529.927875</v>
      </c>
      <c r="I1630" s="62">
        <v>2014</v>
      </c>
      <c r="J1630" s="62">
        <v>10</v>
      </c>
      <c r="K1630" s="62" t="s">
        <v>18</v>
      </c>
      <c r="L1630" s="62" t="s">
        <v>2</v>
      </c>
      <c r="M1630" s="62">
        <v>485.08</v>
      </c>
      <c r="N1630" s="62">
        <v>315.302</v>
      </c>
    </row>
    <row r="1631" spans="1:14">
      <c r="A1631" s="62">
        <v>2023</v>
      </c>
      <c r="B1631" s="62">
        <v>4</v>
      </c>
      <c r="C1631" s="62" t="s">
        <v>6</v>
      </c>
      <c r="D1631" s="62" t="s">
        <v>2</v>
      </c>
      <c r="E1631" s="62">
        <v>1941.546</v>
      </c>
      <c r="F1631" s="62">
        <v>398.395</v>
      </c>
      <c r="I1631" s="62">
        <v>2014</v>
      </c>
      <c r="J1631" s="62">
        <v>11</v>
      </c>
      <c r="K1631" s="62" t="s">
        <v>18</v>
      </c>
      <c r="L1631" s="62" t="s">
        <v>2</v>
      </c>
      <c r="M1631" s="62">
        <v>157.346</v>
      </c>
      <c r="N1631" s="62">
        <v>102.2749</v>
      </c>
    </row>
    <row r="1632" spans="1:14">
      <c r="A1632" s="62">
        <v>2023</v>
      </c>
      <c r="B1632" s="62">
        <v>5</v>
      </c>
      <c r="C1632" s="62" t="s">
        <v>6</v>
      </c>
      <c r="D1632" s="62" t="s">
        <v>2</v>
      </c>
      <c r="E1632" s="62">
        <v>1286.2288</v>
      </c>
      <c r="F1632" s="62">
        <v>286.934465</v>
      </c>
      <c r="I1632" s="62">
        <v>2014</v>
      </c>
      <c r="J1632" s="62">
        <v>12</v>
      </c>
      <c r="K1632" s="62" t="s">
        <v>18</v>
      </c>
      <c r="L1632" s="62" t="s">
        <v>2</v>
      </c>
      <c r="M1632" s="62">
        <v>14.3</v>
      </c>
      <c r="N1632" s="62">
        <v>9.295</v>
      </c>
    </row>
    <row r="1633" spans="1:14">
      <c r="A1633" s="62">
        <v>2023</v>
      </c>
      <c r="B1633" s="62">
        <v>6</v>
      </c>
      <c r="C1633" s="62" t="s">
        <v>6</v>
      </c>
      <c r="D1633" s="62" t="s">
        <v>2</v>
      </c>
      <c r="E1633" s="62">
        <v>289.892</v>
      </c>
      <c r="F1633" s="62">
        <v>67.94029999999999</v>
      </c>
      <c r="I1633" s="62">
        <v>2015</v>
      </c>
      <c r="J1633" s="62">
        <v>1</v>
      </c>
      <c r="K1633" s="62" t="s">
        <v>18</v>
      </c>
      <c r="L1633" s="62" t="s">
        <v>2</v>
      </c>
      <c r="M1633" s="62">
        <v>249.814</v>
      </c>
      <c r="N1633" s="62">
        <v>162.3791</v>
      </c>
    </row>
    <row r="1634" spans="1:14">
      <c r="A1634" s="62">
        <v>2023</v>
      </c>
      <c r="B1634" s="62">
        <v>7</v>
      </c>
      <c r="C1634" s="62" t="s">
        <v>6</v>
      </c>
      <c r="D1634" s="62" t="s">
        <v>2</v>
      </c>
      <c r="E1634" s="62">
        <v>46.035</v>
      </c>
      <c r="F1634" s="62">
        <v>1.1505</v>
      </c>
      <c r="I1634" s="62">
        <v>2015</v>
      </c>
      <c r="J1634" s="62">
        <v>2</v>
      </c>
      <c r="K1634" s="62" t="s">
        <v>18</v>
      </c>
      <c r="L1634" s="62" t="s">
        <v>2</v>
      </c>
      <c r="M1634" s="62">
        <v>478.95</v>
      </c>
      <c r="N1634" s="62">
        <v>311.3175</v>
      </c>
    </row>
    <row r="1635" spans="1:14">
      <c r="A1635" s="62">
        <v>2023</v>
      </c>
      <c r="B1635" s="62">
        <v>8</v>
      </c>
      <c r="C1635" s="62" t="s">
        <v>6</v>
      </c>
      <c r="D1635" s="62" t="s">
        <v>2</v>
      </c>
      <c r="E1635" s="62">
        <v>160.77</v>
      </c>
      <c r="F1635" s="62">
        <v>63.773</v>
      </c>
      <c r="I1635" s="62">
        <v>2015</v>
      </c>
      <c r="J1635" s="62">
        <v>3</v>
      </c>
      <c r="K1635" s="62" t="s">
        <v>18</v>
      </c>
      <c r="L1635" s="62" t="s">
        <v>2</v>
      </c>
      <c r="M1635" s="62">
        <v>383.667</v>
      </c>
      <c r="N1635" s="62">
        <v>249.38355</v>
      </c>
    </row>
    <row r="1636" spans="1:14">
      <c r="A1636" s="62">
        <v>2023</v>
      </c>
      <c r="B1636" s="62">
        <v>9</v>
      </c>
      <c r="C1636" s="62" t="s">
        <v>6</v>
      </c>
      <c r="D1636" s="62" t="s">
        <v>2</v>
      </c>
      <c r="E1636" s="62">
        <v>912.74</v>
      </c>
      <c r="F1636" s="62">
        <v>166.176</v>
      </c>
      <c r="I1636" s="62">
        <v>2015</v>
      </c>
      <c r="J1636" s="62">
        <v>4</v>
      </c>
      <c r="K1636" s="62" t="s">
        <v>18</v>
      </c>
      <c r="L1636" s="62" t="s">
        <v>2</v>
      </c>
      <c r="M1636" s="62">
        <v>202.61</v>
      </c>
      <c r="N1636" s="62">
        <v>131.6965</v>
      </c>
    </row>
    <row r="1637" spans="1:14">
      <c r="A1637" s="62">
        <v>2023</v>
      </c>
      <c r="B1637" s="62">
        <v>10</v>
      </c>
      <c r="C1637" s="62" t="s">
        <v>6</v>
      </c>
      <c r="D1637" s="62" t="s">
        <v>2</v>
      </c>
      <c r="E1637" s="62">
        <v>2329.464</v>
      </c>
      <c r="F1637" s="62">
        <v>506.5417</v>
      </c>
      <c r="I1637" s="62">
        <v>2015</v>
      </c>
      <c r="J1637" s="62">
        <v>5</v>
      </c>
      <c r="K1637" s="62" t="s">
        <v>18</v>
      </c>
      <c r="L1637" s="62" t="s">
        <v>2</v>
      </c>
      <c r="M1637" s="62">
        <v>90.086</v>
      </c>
      <c r="N1637" s="62">
        <v>58.5559</v>
      </c>
    </row>
    <row r="1638" spans="1:14">
      <c r="A1638" s="62">
        <v>2023</v>
      </c>
      <c r="B1638" s="62">
        <v>11</v>
      </c>
      <c r="C1638" s="62" t="s">
        <v>6</v>
      </c>
      <c r="D1638" s="62" t="s">
        <v>2</v>
      </c>
      <c r="E1638" s="62">
        <v>1020.832</v>
      </c>
      <c r="F1638" s="62">
        <v>245.83235</v>
      </c>
      <c r="I1638" s="62">
        <v>2015</v>
      </c>
      <c r="J1638" s="62">
        <v>6</v>
      </c>
      <c r="K1638" s="62" t="s">
        <v>18</v>
      </c>
      <c r="L1638" s="62" t="s">
        <v>2</v>
      </c>
      <c r="M1638" s="62">
        <v>93.25</v>
      </c>
      <c r="N1638" s="62">
        <v>60.6125</v>
      </c>
    </row>
    <row r="1639" spans="1:14">
      <c r="A1639" s="62">
        <v>2023</v>
      </c>
      <c r="B1639" s="62">
        <v>12</v>
      </c>
      <c r="C1639" s="62" t="s">
        <v>6</v>
      </c>
      <c r="D1639" s="62" t="s">
        <v>2</v>
      </c>
      <c r="E1639" s="62">
        <v>93.1182</v>
      </c>
      <c r="F1639" s="62">
        <v>31.20664</v>
      </c>
      <c r="I1639" s="62">
        <v>2015</v>
      </c>
      <c r="J1639" s="62">
        <v>7</v>
      </c>
      <c r="K1639" s="62" t="s">
        <v>18</v>
      </c>
      <c r="L1639" s="62" t="s">
        <v>2</v>
      </c>
      <c r="M1639" s="62">
        <v>52.82</v>
      </c>
      <c r="N1639" s="62">
        <v>34.33300000000001</v>
      </c>
    </row>
    <row r="1640" spans="1:14">
      <c r="A1640" s="62">
        <v>2024</v>
      </c>
      <c r="B1640" s="62">
        <v>1</v>
      </c>
      <c r="C1640" s="62" t="s">
        <v>6</v>
      </c>
      <c r="D1640" s="62" t="s">
        <v>2</v>
      </c>
      <c r="E1640" s="62">
        <v>1867.771</v>
      </c>
      <c r="F1640" s="62">
        <v>434.2605</v>
      </c>
      <c r="I1640" s="62">
        <v>2015</v>
      </c>
      <c r="J1640" s="62">
        <v>8</v>
      </c>
      <c r="K1640" s="62" t="s">
        <v>18</v>
      </c>
      <c r="L1640" s="62" t="s">
        <v>2</v>
      </c>
      <c r="M1640" s="62">
        <v>22</v>
      </c>
      <c r="N1640" s="62">
        <v>14.3</v>
      </c>
    </row>
    <row r="1641" spans="1:14">
      <c r="A1641" s="62">
        <v>2024</v>
      </c>
      <c r="B1641" s="62">
        <v>2</v>
      </c>
      <c r="C1641" s="62" t="s">
        <v>6</v>
      </c>
      <c r="D1641" s="62" t="s">
        <v>2</v>
      </c>
      <c r="E1641" s="62">
        <v>3108.78</v>
      </c>
      <c r="F1641" s="62">
        <v>794.21825</v>
      </c>
      <c r="I1641" s="62">
        <v>2015</v>
      </c>
      <c r="J1641" s="62">
        <v>9</v>
      </c>
      <c r="K1641" s="62" t="s">
        <v>18</v>
      </c>
      <c r="L1641" s="62" t="s">
        <v>2</v>
      </c>
      <c r="M1641" s="62">
        <v>62.615</v>
      </c>
      <c r="N1641" s="62">
        <v>40.69975</v>
      </c>
    </row>
    <row r="1642" spans="1:14">
      <c r="A1642" s="62">
        <v>2024</v>
      </c>
      <c r="B1642" s="62">
        <v>3</v>
      </c>
      <c r="C1642" s="62" t="s">
        <v>6</v>
      </c>
      <c r="D1642" s="62" t="s">
        <v>2</v>
      </c>
      <c r="E1642" s="62">
        <v>1283</v>
      </c>
      <c r="F1642" s="62">
        <v>365.11625</v>
      </c>
      <c r="I1642" s="62">
        <v>2015</v>
      </c>
      <c r="J1642" s="62">
        <v>10</v>
      </c>
      <c r="K1642" s="62" t="s">
        <v>18</v>
      </c>
      <c r="L1642" s="62" t="s">
        <v>2</v>
      </c>
      <c r="M1642" s="62">
        <v>346.5</v>
      </c>
      <c r="N1642" s="62">
        <v>225.225</v>
      </c>
    </row>
    <row r="1643" spans="1:14">
      <c r="A1643" s="62">
        <v>2024</v>
      </c>
      <c r="B1643" s="62">
        <v>4</v>
      </c>
      <c r="C1643" s="62" t="s">
        <v>6</v>
      </c>
      <c r="D1643" s="62" t="s">
        <v>2</v>
      </c>
      <c r="E1643" s="62">
        <v>877.245</v>
      </c>
      <c r="F1643" s="62">
        <v>192.17525</v>
      </c>
      <c r="I1643" s="62">
        <v>2015</v>
      </c>
      <c r="J1643" s="62">
        <v>11</v>
      </c>
      <c r="K1643" s="62" t="s">
        <v>18</v>
      </c>
      <c r="L1643" s="62" t="s">
        <v>2</v>
      </c>
      <c r="M1643" s="62">
        <v>319.555</v>
      </c>
      <c r="N1643" s="62">
        <v>207.71075</v>
      </c>
    </row>
    <row r="1644" spans="1:14">
      <c r="A1644" s="62">
        <v>2024</v>
      </c>
      <c r="B1644" s="62">
        <v>5</v>
      </c>
      <c r="C1644" s="62" t="s">
        <v>6</v>
      </c>
      <c r="D1644" s="62" t="s">
        <v>2</v>
      </c>
      <c r="E1644" s="62">
        <v>567.22</v>
      </c>
      <c r="F1644" s="62">
        <v>108.79875</v>
      </c>
      <c r="I1644" s="62">
        <v>2015</v>
      </c>
      <c r="J1644" s="62">
        <v>12</v>
      </c>
      <c r="K1644" s="62" t="s">
        <v>18</v>
      </c>
      <c r="L1644" s="62" t="s">
        <v>2</v>
      </c>
      <c r="M1644" s="62">
        <v>165.86</v>
      </c>
      <c r="N1644" s="62">
        <v>107.809</v>
      </c>
    </row>
    <row r="1645" spans="1:14">
      <c r="A1645" s="62">
        <v>2024</v>
      </c>
      <c r="B1645" s="62">
        <v>6</v>
      </c>
      <c r="C1645" s="62" t="s">
        <v>6</v>
      </c>
      <c r="D1645" s="62" t="s">
        <v>2</v>
      </c>
      <c r="E1645" s="62">
        <v>589.2615</v>
      </c>
      <c r="F1645" s="62">
        <v>114.1980125</v>
      </c>
      <c r="I1645" s="62">
        <v>2016</v>
      </c>
      <c r="J1645" s="62">
        <v>1</v>
      </c>
      <c r="K1645" s="62" t="s">
        <v>18</v>
      </c>
      <c r="L1645" s="62" t="s">
        <v>2</v>
      </c>
      <c r="M1645" s="62">
        <v>122.4</v>
      </c>
      <c r="N1645" s="62">
        <v>79.56</v>
      </c>
    </row>
    <row r="1646" spans="1:14">
      <c r="A1646" s="62">
        <v>2024</v>
      </c>
      <c r="B1646" s="62">
        <v>7</v>
      </c>
      <c r="C1646" s="62" t="s">
        <v>6</v>
      </c>
      <c r="D1646" s="62" t="s">
        <v>2</v>
      </c>
      <c r="E1646" s="62">
        <v>246.365</v>
      </c>
      <c r="F1646" s="62">
        <v>42.76724999999999</v>
      </c>
      <c r="I1646" s="62">
        <v>2016</v>
      </c>
      <c r="J1646" s="62">
        <v>2</v>
      </c>
      <c r="K1646" s="62" t="s">
        <v>18</v>
      </c>
      <c r="L1646" s="62" t="s">
        <v>2</v>
      </c>
      <c r="M1646" s="62">
        <v>217.21</v>
      </c>
      <c r="N1646" s="62">
        <v>141.1865</v>
      </c>
    </row>
    <row r="1647" spans="1:14">
      <c r="A1647" s="62">
        <v>2024</v>
      </c>
      <c r="B1647" s="62">
        <v>8</v>
      </c>
      <c r="C1647" s="62" t="s">
        <v>6</v>
      </c>
      <c r="D1647" s="62" t="s">
        <v>2</v>
      </c>
      <c r="E1647" s="62">
        <v>387.525</v>
      </c>
      <c r="F1647" s="62">
        <v>116.27325</v>
      </c>
      <c r="I1647" s="62">
        <v>2016</v>
      </c>
      <c r="J1647" s="62">
        <v>3</v>
      </c>
      <c r="K1647" s="62" t="s">
        <v>18</v>
      </c>
      <c r="L1647" s="62" t="s">
        <v>2</v>
      </c>
      <c r="M1647" s="62">
        <v>225.0165</v>
      </c>
      <c r="N1647" s="62">
        <v>146.260725</v>
      </c>
    </row>
    <row r="1648" spans="1:14">
      <c r="A1648" s="62">
        <v>2024</v>
      </c>
      <c r="B1648" s="62">
        <v>9</v>
      </c>
      <c r="C1648" s="62" t="s">
        <v>6</v>
      </c>
      <c r="D1648" s="62" t="s">
        <v>2</v>
      </c>
      <c r="E1648" s="62">
        <v>724.7865</v>
      </c>
      <c r="F1648" s="62">
        <v>195.371725</v>
      </c>
      <c r="I1648" s="62">
        <v>2016</v>
      </c>
      <c r="J1648" s="62">
        <v>4</v>
      </c>
      <c r="K1648" s="62" t="s">
        <v>18</v>
      </c>
      <c r="L1648" s="62" t="s">
        <v>2</v>
      </c>
      <c r="M1648" s="62">
        <v>153.3125</v>
      </c>
      <c r="N1648" s="62">
        <v>99.653125</v>
      </c>
    </row>
    <row r="1649" spans="1:14">
      <c r="A1649" s="62">
        <v>2024</v>
      </c>
      <c r="B1649" s="62">
        <v>10</v>
      </c>
      <c r="C1649" s="62" t="s">
        <v>6</v>
      </c>
      <c r="D1649" s="62" t="s">
        <v>2</v>
      </c>
      <c r="E1649" s="62">
        <v>1166.587</v>
      </c>
      <c r="F1649" s="62">
        <v>299.9296</v>
      </c>
      <c r="I1649" s="62">
        <v>2016</v>
      </c>
      <c r="J1649" s="62">
        <v>5</v>
      </c>
      <c r="K1649" s="62" t="s">
        <v>18</v>
      </c>
      <c r="L1649" s="62" t="s">
        <v>2</v>
      </c>
      <c r="M1649" s="62">
        <v>118.08</v>
      </c>
      <c r="N1649" s="62">
        <v>76.752</v>
      </c>
    </row>
    <row r="1650" spans="1:14">
      <c r="A1650" s="62">
        <v>2024</v>
      </c>
      <c r="B1650" s="62">
        <v>11</v>
      </c>
      <c r="C1650" s="62" t="s">
        <v>6</v>
      </c>
      <c r="D1650" s="62" t="s">
        <v>2</v>
      </c>
      <c r="E1650" s="62">
        <v>735.4595</v>
      </c>
      <c r="F1650" s="62">
        <v>185.736825</v>
      </c>
      <c r="I1650" s="62">
        <v>2016</v>
      </c>
      <c r="J1650" s="62">
        <v>6</v>
      </c>
      <c r="K1650" s="62" t="s">
        <v>18</v>
      </c>
      <c r="L1650" s="62" t="s">
        <v>2</v>
      </c>
      <c r="M1650" s="62">
        <v>55</v>
      </c>
      <c r="N1650" s="62">
        <v>35.75</v>
      </c>
    </row>
    <row r="1651" spans="1:14">
      <c r="A1651" s="62">
        <v>2024</v>
      </c>
      <c r="B1651" s="62">
        <v>12</v>
      </c>
      <c r="C1651" s="62" t="s">
        <v>6</v>
      </c>
      <c r="D1651" s="62" t="s">
        <v>2</v>
      </c>
      <c r="E1651" s="62">
        <v>55.596</v>
      </c>
      <c r="F1651" s="62">
        <v>18.1685</v>
      </c>
      <c r="I1651" s="62">
        <v>2016</v>
      </c>
      <c r="J1651" s="62">
        <v>7</v>
      </c>
      <c r="K1651" s="62" t="s">
        <v>18</v>
      </c>
      <c r="L1651" s="62" t="s">
        <v>2</v>
      </c>
      <c r="M1651" s="62">
        <v>40.7</v>
      </c>
      <c r="N1651" s="62">
        <v>26.455</v>
      </c>
    </row>
    <row r="1652" spans="1:14">
      <c r="A1652" s="62">
        <v>2025</v>
      </c>
      <c r="B1652" s="62">
        <v>1</v>
      </c>
      <c r="C1652" s="62" t="s">
        <v>6</v>
      </c>
      <c r="D1652" s="62" t="s">
        <v>2</v>
      </c>
      <c r="E1652" s="62">
        <v>1721.2198</v>
      </c>
      <c r="F1652" s="62">
        <v>274.5496025</v>
      </c>
      <c r="I1652" s="62">
        <v>2016</v>
      </c>
      <c r="J1652" s="62">
        <v>9</v>
      </c>
      <c r="K1652" s="62" t="s">
        <v>18</v>
      </c>
      <c r="L1652" s="62" t="s">
        <v>2</v>
      </c>
      <c r="M1652" s="62">
        <v>153.078</v>
      </c>
      <c r="N1652" s="62">
        <v>99.50070000000001</v>
      </c>
    </row>
    <row r="1653" spans="1:14">
      <c r="A1653" s="62">
        <v>2025</v>
      </c>
      <c r="B1653" s="62">
        <v>2</v>
      </c>
      <c r="C1653" s="62" t="s">
        <v>6</v>
      </c>
      <c r="D1653" s="62" t="s">
        <v>2</v>
      </c>
      <c r="E1653" s="62">
        <v>2072.1787</v>
      </c>
      <c r="F1653" s="62">
        <v>376.9481225</v>
      </c>
      <c r="I1653" s="62">
        <v>2016</v>
      </c>
      <c r="J1653" s="62">
        <v>10</v>
      </c>
      <c r="K1653" s="62" t="s">
        <v>18</v>
      </c>
      <c r="L1653" s="62" t="s">
        <v>2</v>
      </c>
      <c r="M1653" s="62">
        <v>362.42</v>
      </c>
      <c r="N1653" s="62">
        <v>235.573</v>
      </c>
    </row>
    <row r="1654" spans="1:14">
      <c r="A1654" s="62">
        <v>2025</v>
      </c>
      <c r="B1654" s="62">
        <v>3</v>
      </c>
      <c r="C1654" s="62" t="s">
        <v>6</v>
      </c>
      <c r="D1654" s="62" t="s">
        <v>2</v>
      </c>
      <c r="E1654" s="62">
        <v>620.245</v>
      </c>
      <c r="F1654" s="62">
        <v>162.29275</v>
      </c>
      <c r="I1654" s="62">
        <v>2016</v>
      </c>
      <c r="J1654" s="62">
        <v>11</v>
      </c>
      <c r="K1654" s="62" t="s">
        <v>18</v>
      </c>
      <c r="L1654" s="62" t="s">
        <v>2</v>
      </c>
      <c r="M1654" s="62">
        <v>124.565</v>
      </c>
      <c r="N1654" s="62">
        <v>80.96725000000001</v>
      </c>
    </row>
    <row r="1655" spans="1:14">
      <c r="A1655" s="62">
        <v>2025</v>
      </c>
      <c r="B1655" s="62">
        <v>4</v>
      </c>
      <c r="C1655" s="62" t="s">
        <v>6</v>
      </c>
      <c r="D1655" s="62" t="s">
        <v>2</v>
      </c>
      <c r="E1655" s="62">
        <v>603.8099999999999</v>
      </c>
      <c r="F1655" s="62">
        <v>116.0295</v>
      </c>
      <c r="I1655" s="62">
        <v>2017</v>
      </c>
      <c r="J1655" s="62">
        <v>1</v>
      </c>
      <c r="K1655" s="62" t="s">
        <v>18</v>
      </c>
      <c r="L1655" s="62" t="s">
        <v>2</v>
      </c>
      <c r="M1655" s="62">
        <v>170.9</v>
      </c>
      <c r="N1655" s="62">
        <v>111.085</v>
      </c>
    </row>
    <row r="1656" spans="1:14">
      <c r="A1656" s="62">
        <v>2025</v>
      </c>
      <c r="B1656" s="62">
        <v>5</v>
      </c>
      <c r="C1656" s="62" t="s">
        <v>6</v>
      </c>
      <c r="D1656" s="62" t="s">
        <v>2</v>
      </c>
      <c r="E1656" s="62">
        <v>151.67</v>
      </c>
      <c r="F1656" s="62">
        <v>27.00625</v>
      </c>
      <c r="I1656" s="62">
        <v>2017</v>
      </c>
      <c r="J1656" s="62">
        <v>2</v>
      </c>
      <c r="K1656" s="62" t="s">
        <v>18</v>
      </c>
      <c r="L1656" s="62" t="s">
        <v>2</v>
      </c>
      <c r="M1656" s="62">
        <v>511.56</v>
      </c>
      <c r="N1656" s="62">
        <v>332.514</v>
      </c>
    </row>
    <row r="1657" spans="1:14">
      <c r="A1657" s="62">
        <v>2025</v>
      </c>
      <c r="B1657" s="62">
        <v>6</v>
      </c>
      <c r="C1657" s="62" t="s">
        <v>6</v>
      </c>
      <c r="D1657" s="62" t="s">
        <v>2</v>
      </c>
      <c r="E1657" s="62">
        <v>107</v>
      </c>
      <c r="F1657" s="62">
        <v>19.525</v>
      </c>
      <c r="I1657" s="62">
        <v>2017</v>
      </c>
      <c r="J1657" s="62">
        <v>3</v>
      </c>
      <c r="K1657" s="62" t="s">
        <v>18</v>
      </c>
      <c r="L1657" s="62" t="s">
        <v>2</v>
      </c>
      <c r="M1657" s="62">
        <v>485.628</v>
      </c>
      <c r="N1657" s="62">
        <v>315.6582</v>
      </c>
    </row>
    <row r="1658" spans="1:14">
      <c r="A1658" s="62">
        <v>2025</v>
      </c>
      <c r="B1658" s="62">
        <v>7</v>
      </c>
      <c r="C1658" s="62" t="s">
        <v>6</v>
      </c>
      <c r="D1658" s="62" t="s">
        <v>2</v>
      </c>
      <c r="E1658" s="62">
        <v>57.79</v>
      </c>
      <c r="F1658" s="62">
        <v>10.109</v>
      </c>
      <c r="I1658" s="62">
        <v>2017</v>
      </c>
      <c r="J1658" s="62">
        <v>4</v>
      </c>
      <c r="K1658" s="62" t="s">
        <v>18</v>
      </c>
      <c r="L1658" s="62" t="s">
        <v>2</v>
      </c>
      <c r="M1658" s="62">
        <v>281.778</v>
      </c>
      <c r="N1658" s="62">
        <v>183.1557</v>
      </c>
    </row>
    <row r="1659" spans="1:14">
      <c r="A1659" s="62">
        <v>2025</v>
      </c>
      <c r="B1659" s="62">
        <v>8</v>
      </c>
      <c r="C1659" s="62" t="s">
        <v>6</v>
      </c>
      <c r="D1659" s="62" t="s">
        <v>2</v>
      </c>
      <c r="E1659" s="62">
        <v>269.47</v>
      </c>
      <c r="F1659" s="62">
        <v>69.961</v>
      </c>
      <c r="I1659" s="62">
        <v>2017</v>
      </c>
      <c r="J1659" s="62">
        <v>5</v>
      </c>
      <c r="K1659" s="62" t="s">
        <v>18</v>
      </c>
      <c r="L1659" s="62" t="s">
        <v>2</v>
      </c>
      <c r="M1659" s="62">
        <v>151.675</v>
      </c>
      <c r="N1659" s="62">
        <v>98.58875</v>
      </c>
    </row>
    <row r="1660" spans="1:14">
      <c r="A1660" s="62">
        <v>2025</v>
      </c>
      <c r="B1660" s="62">
        <v>9</v>
      </c>
      <c r="C1660" s="62" t="s">
        <v>6</v>
      </c>
      <c r="D1660" s="62" t="s">
        <v>2</v>
      </c>
      <c r="E1660" s="62">
        <v>1351.265</v>
      </c>
      <c r="F1660" s="62">
        <v>269.612275</v>
      </c>
      <c r="I1660" s="62">
        <v>2017</v>
      </c>
      <c r="J1660" s="62">
        <v>6</v>
      </c>
      <c r="K1660" s="62" t="s">
        <v>18</v>
      </c>
      <c r="L1660" s="62" t="s">
        <v>2</v>
      </c>
      <c r="M1660" s="62">
        <v>100.23</v>
      </c>
      <c r="N1660" s="62">
        <v>65.1495</v>
      </c>
    </row>
    <row r="1661" spans="1:14">
      <c r="A1661" s="62">
        <v>2025</v>
      </c>
      <c r="B1661" s="62">
        <v>10</v>
      </c>
      <c r="C1661" s="62" t="s">
        <v>6</v>
      </c>
      <c r="D1661" s="62" t="s">
        <v>2</v>
      </c>
      <c r="E1661" s="62">
        <v>2110.407</v>
      </c>
      <c r="F1661" s="62">
        <v>430.432225</v>
      </c>
      <c r="I1661" s="62">
        <v>2017</v>
      </c>
      <c r="J1661" s="62">
        <v>7</v>
      </c>
      <c r="K1661" s="62" t="s">
        <v>18</v>
      </c>
      <c r="L1661" s="62" t="s">
        <v>2</v>
      </c>
      <c r="M1661" s="62">
        <v>83.11</v>
      </c>
      <c r="N1661" s="62">
        <v>54.0215</v>
      </c>
    </row>
    <row r="1662" spans="1:14">
      <c r="A1662" s="62">
        <v>2025</v>
      </c>
      <c r="B1662" s="62">
        <v>11</v>
      </c>
      <c r="C1662" s="62" t="s">
        <v>6</v>
      </c>
      <c r="D1662" s="62" t="s">
        <v>2</v>
      </c>
      <c r="E1662" s="62">
        <v>1229.204</v>
      </c>
      <c r="F1662" s="62">
        <v>250.7602</v>
      </c>
      <c r="I1662" s="62">
        <v>2017</v>
      </c>
      <c r="J1662" s="62">
        <v>8</v>
      </c>
      <c r="K1662" s="62" t="s">
        <v>18</v>
      </c>
      <c r="L1662" s="62" t="s">
        <v>2</v>
      </c>
      <c r="M1662" s="62">
        <v>80.84</v>
      </c>
      <c r="N1662" s="62">
        <v>52.546</v>
      </c>
    </row>
    <row r="1663" spans="1:14">
      <c r="A1663" s="62">
        <v>2025</v>
      </c>
      <c r="B1663" s="62">
        <v>12</v>
      </c>
      <c r="C1663" s="62" t="s">
        <v>6</v>
      </c>
      <c r="D1663" s="62" t="s">
        <v>2</v>
      </c>
      <c r="E1663" s="62">
        <v>81.62</v>
      </c>
      <c r="F1663" s="62">
        <v>13.9835</v>
      </c>
      <c r="I1663" s="62">
        <v>2017</v>
      </c>
      <c r="J1663" s="62">
        <v>9</v>
      </c>
      <c r="K1663" s="62" t="s">
        <v>18</v>
      </c>
      <c r="L1663" s="62" t="s">
        <v>2</v>
      </c>
      <c r="M1663" s="62">
        <v>29.1</v>
      </c>
      <c r="N1663" s="62">
        <v>18.915</v>
      </c>
    </row>
    <row r="1664" spans="1:14">
      <c r="A1664" s="62">
        <v>2026</v>
      </c>
      <c r="B1664" s="62">
        <v>1</v>
      </c>
      <c r="C1664" s="62" t="s">
        <v>6</v>
      </c>
      <c r="D1664" s="62" t="s">
        <v>2</v>
      </c>
      <c r="E1664" s="62">
        <v>879.5774</v>
      </c>
      <c r="F1664" s="62">
        <v>207.000375</v>
      </c>
      <c r="I1664" s="62">
        <v>2017</v>
      </c>
      <c r="J1664" s="62">
        <v>10</v>
      </c>
      <c r="K1664" s="62" t="s">
        <v>18</v>
      </c>
      <c r="L1664" s="62" t="s">
        <v>2</v>
      </c>
      <c r="M1664" s="62">
        <v>186.81</v>
      </c>
      <c r="N1664" s="62">
        <v>121.4265</v>
      </c>
    </row>
    <row r="1665" spans="1:14">
      <c r="A1665" s="62">
        <v>2026</v>
      </c>
      <c r="B1665" s="62">
        <v>2</v>
      </c>
      <c r="C1665" s="62" t="s">
        <v>6</v>
      </c>
      <c r="D1665" s="62" t="s">
        <v>2</v>
      </c>
      <c r="E1665" s="62">
        <v>1498.1345</v>
      </c>
      <c r="F1665" s="62">
        <v>363.8796</v>
      </c>
      <c r="I1665" s="62">
        <v>2017</v>
      </c>
      <c r="J1665" s="62">
        <v>11</v>
      </c>
      <c r="K1665" s="62" t="s">
        <v>18</v>
      </c>
      <c r="L1665" s="62" t="s">
        <v>2</v>
      </c>
      <c r="M1665" s="62">
        <v>163.79</v>
      </c>
      <c r="N1665" s="62">
        <v>106.4635</v>
      </c>
    </row>
    <row r="1666" spans="1:14">
      <c r="A1666" s="62">
        <v>2026</v>
      </c>
      <c r="B1666" s="62">
        <v>3</v>
      </c>
      <c r="C1666" s="62" t="s">
        <v>6</v>
      </c>
      <c r="D1666" s="62" t="s">
        <v>2</v>
      </c>
      <c r="E1666" s="62">
        <v>645.745</v>
      </c>
      <c r="F1666" s="62">
        <v>130.484975</v>
      </c>
      <c r="I1666" s="62">
        <v>2017</v>
      </c>
      <c r="J1666" s="62">
        <v>12</v>
      </c>
      <c r="K1666" s="62" t="s">
        <v>18</v>
      </c>
      <c r="L1666" s="62" t="s">
        <v>2</v>
      </c>
      <c r="M1666" s="62">
        <v>11.53</v>
      </c>
      <c r="N1666" s="62">
        <v>7.4945</v>
      </c>
    </row>
    <row r="1667" spans="1:14">
      <c r="A1667" s="62">
        <v>2026</v>
      </c>
      <c r="B1667" s="62">
        <v>4</v>
      </c>
      <c r="C1667" s="62" t="s">
        <v>6</v>
      </c>
      <c r="D1667" s="62" t="s">
        <v>2</v>
      </c>
      <c r="E1667" s="62">
        <v>229.32</v>
      </c>
      <c r="F1667" s="62">
        <v>47.47375</v>
      </c>
      <c r="I1667" s="62">
        <v>2018</v>
      </c>
      <c r="J1667" s="62">
        <v>1</v>
      </c>
      <c r="K1667" s="62" t="s">
        <v>18</v>
      </c>
      <c r="L1667" s="62" t="s">
        <v>2</v>
      </c>
      <c r="M1667" s="62">
        <v>92.075</v>
      </c>
      <c r="N1667" s="62">
        <v>59.84875</v>
      </c>
    </row>
    <row r="1668" spans="1:14">
      <c r="A1668" s="62">
        <v>2026</v>
      </c>
      <c r="B1668" s="62">
        <v>5</v>
      </c>
      <c r="C1668" s="62" t="s">
        <v>6</v>
      </c>
      <c r="D1668" s="62" t="s">
        <v>2</v>
      </c>
      <c r="E1668" s="62">
        <v>221.335</v>
      </c>
      <c r="F1668" s="62">
        <v>42.17125</v>
      </c>
      <c r="I1668" s="62">
        <v>2018</v>
      </c>
      <c r="J1668" s="62">
        <v>2</v>
      </c>
      <c r="K1668" s="62" t="s">
        <v>18</v>
      </c>
      <c r="L1668" s="62" t="s">
        <v>2</v>
      </c>
      <c r="M1668" s="62">
        <v>343.16</v>
      </c>
      <c r="N1668" s="62">
        <v>223.054</v>
      </c>
    </row>
    <row r="1669" spans="1:14">
      <c r="A1669" s="62">
        <v>2026</v>
      </c>
      <c r="B1669" s="62">
        <v>6</v>
      </c>
      <c r="C1669" s="62" t="s">
        <v>6</v>
      </c>
      <c r="D1669" s="62" t="s">
        <v>2</v>
      </c>
      <c r="E1669" s="62">
        <v>55.65</v>
      </c>
      <c r="F1669" s="62">
        <v>9.51125</v>
      </c>
      <c r="I1669" s="62">
        <v>2018</v>
      </c>
      <c r="J1669" s="62">
        <v>3</v>
      </c>
      <c r="K1669" s="62" t="s">
        <v>18</v>
      </c>
      <c r="L1669" s="62" t="s">
        <v>2</v>
      </c>
      <c r="M1669" s="62">
        <v>410.255</v>
      </c>
      <c r="N1669" s="62">
        <v>266.66575</v>
      </c>
    </row>
    <row r="1670" spans="1:14">
      <c r="A1670" s="62">
        <v>2026</v>
      </c>
      <c r="B1670" s="62">
        <v>7</v>
      </c>
      <c r="C1670" s="62" t="s">
        <v>6</v>
      </c>
      <c r="D1670" s="62" t="s">
        <v>2</v>
      </c>
      <c r="E1670" s="62">
        <v>115.992</v>
      </c>
      <c r="F1670" s="62">
        <v>20.9236</v>
      </c>
      <c r="I1670" s="62">
        <v>2018</v>
      </c>
      <c r="J1670" s="62">
        <v>4</v>
      </c>
      <c r="K1670" s="62" t="s">
        <v>18</v>
      </c>
      <c r="L1670" s="62" t="s">
        <v>2</v>
      </c>
      <c r="M1670" s="62">
        <v>164.525</v>
      </c>
      <c r="N1670" s="62">
        <v>106.94125</v>
      </c>
    </row>
    <row r="1671" spans="1:14">
      <c r="A1671" s="62">
        <v>2026</v>
      </c>
      <c r="B1671" s="62">
        <v>8</v>
      </c>
      <c r="C1671" s="62" t="s">
        <v>6</v>
      </c>
      <c r="D1671" s="62" t="s">
        <v>2</v>
      </c>
      <c r="E1671" s="62">
        <v>156.58</v>
      </c>
      <c r="F1671" s="62">
        <v>15.711</v>
      </c>
      <c r="I1671" s="62">
        <v>2018</v>
      </c>
      <c r="J1671" s="62">
        <v>5</v>
      </c>
      <c r="K1671" s="62" t="s">
        <v>18</v>
      </c>
      <c r="L1671" s="62" t="s">
        <v>2</v>
      </c>
      <c r="M1671" s="62">
        <v>214.55</v>
      </c>
      <c r="N1671" s="62">
        <v>139.4575</v>
      </c>
    </row>
    <row r="1672" spans="1:14">
      <c r="A1672" s="62">
        <v>2026</v>
      </c>
      <c r="B1672" s="62">
        <v>9</v>
      </c>
      <c r="C1672" s="62" t="s">
        <v>6</v>
      </c>
      <c r="D1672" s="62" t="s">
        <v>2</v>
      </c>
      <c r="E1672" s="62">
        <v>416.941</v>
      </c>
      <c r="F1672" s="62">
        <v>92.53124999999999</v>
      </c>
      <c r="I1672" s="62">
        <v>2018</v>
      </c>
      <c r="J1672" s="62">
        <v>6</v>
      </c>
      <c r="K1672" s="62" t="s">
        <v>18</v>
      </c>
      <c r="L1672" s="62" t="s">
        <v>2</v>
      </c>
      <c r="M1672" s="62">
        <v>234.74</v>
      </c>
      <c r="N1672" s="62">
        <v>152.581</v>
      </c>
    </row>
    <row r="1673" spans="1:14">
      <c r="A1673" s="62">
        <v>2026</v>
      </c>
      <c r="B1673" s="62">
        <v>10</v>
      </c>
      <c r="C1673" s="62" t="s">
        <v>6</v>
      </c>
      <c r="D1673" s="62" t="s">
        <v>2</v>
      </c>
      <c r="E1673" s="62">
        <v>587.8024</v>
      </c>
      <c r="F1673" s="62">
        <v>149.5266</v>
      </c>
      <c r="I1673" s="62">
        <v>2018</v>
      </c>
      <c r="J1673" s="62">
        <v>7</v>
      </c>
      <c r="K1673" s="62" t="s">
        <v>18</v>
      </c>
      <c r="L1673" s="62" t="s">
        <v>2</v>
      </c>
      <c r="M1673" s="62">
        <v>142.04</v>
      </c>
      <c r="N1673" s="62">
        <v>92.32600000000001</v>
      </c>
    </row>
    <row r="1674" spans="1:14">
      <c r="A1674" s="62">
        <v>2026</v>
      </c>
      <c r="B1674" s="62">
        <v>11</v>
      </c>
      <c r="C1674" s="62" t="s">
        <v>6</v>
      </c>
      <c r="D1674" s="62" t="s">
        <v>2</v>
      </c>
      <c r="E1674" s="62">
        <v>121.48</v>
      </c>
      <c r="F1674" s="62">
        <v>36.74125</v>
      </c>
      <c r="I1674" s="62">
        <v>2018</v>
      </c>
      <c r="J1674" s="62">
        <v>8</v>
      </c>
      <c r="K1674" s="62" t="s">
        <v>18</v>
      </c>
      <c r="L1674" s="62" t="s">
        <v>2</v>
      </c>
      <c r="M1674" s="62">
        <v>120.34</v>
      </c>
      <c r="N1674" s="62">
        <v>78.221</v>
      </c>
    </row>
    <row r="1675" spans="1:14">
      <c r="A1675" s="62">
        <v>2027</v>
      </c>
      <c r="B1675" s="62">
        <v>1</v>
      </c>
      <c r="C1675" s="62" t="s">
        <v>6</v>
      </c>
      <c r="D1675" s="62" t="s">
        <v>2</v>
      </c>
      <c r="E1675" s="62">
        <v>692.313</v>
      </c>
      <c r="F1675" s="62">
        <v>222.046875</v>
      </c>
      <c r="I1675" s="62">
        <v>2018</v>
      </c>
      <c r="J1675" s="62">
        <v>9</v>
      </c>
      <c r="K1675" s="62" t="s">
        <v>18</v>
      </c>
      <c r="L1675" s="62" t="s">
        <v>2</v>
      </c>
      <c r="M1675" s="62">
        <v>160.79</v>
      </c>
      <c r="N1675" s="62">
        <v>104.5135</v>
      </c>
    </row>
    <row r="1676" spans="1:14">
      <c r="A1676" s="62">
        <v>2027</v>
      </c>
      <c r="B1676" s="62">
        <v>2</v>
      </c>
      <c r="C1676" s="62" t="s">
        <v>6</v>
      </c>
      <c r="D1676" s="62" t="s">
        <v>2</v>
      </c>
      <c r="E1676" s="62">
        <v>1256.1221</v>
      </c>
      <c r="F1676" s="62">
        <v>346.847265</v>
      </c>
      <c r="I1676" s="62">
        <v>2018</v>
      </c>
      <c r="J1676" s="62">
        <v>10</v>
      </c>
      <c r="K1676" s="62" t="s">
        <v>18</v>
      </c>
      <c r="L1676" s="62" t="s">
        <v>2</v>
      </c>
      <c r="M1676" s="62">
        <v>354.166</v>
      </c>
      <c r="N1676" s="62">
        <v>230.2079</v>
      </c>
    </row>
    <row r="1677" spans="1:14">
      <c r="A1677" s="62">
        <v>2027</v>
      </c>
      <c r="B1677" s="62">
        <v>3</v>
      </c>
      <c r="C1677" s="62" t="s">
        <v>6</v>
      </c>
      <c r="D1677" s="62" t="s">
        <v>2</v>
      </c>
      <c r="E1677" s="62">
        <v>1565.6915</v>
      </c>
      <c r="F1677" s="62">
        <v>414.468125</v>
      </c>
      <c r="I1677" s="62">
        <v>2018</v>
      </c>
      <c r="J1677" s="62">
        <v>11</v>
      </c>
      <c r="K1677" s="62" t="s">
        <v>18</v>
      </c>
      <c r="L1677" s="62" t="s">
        <v>2</v>
      </c>
      <c r="M1677" s="62">
        <v>122.06</v>
      </c>
      <c r="N1677" s="62">
        <v>79.339</v>
      </c>
    </row>
    <row r="1678" spans="1:14">
      <c r="A1678" s="62">
        <v>2027</v>
      </c>
      <c r="B1678" s="62">
        <v>4</v>
      </c>
      <c r="C1678" s="62" t="s">
        <v>6</v>
      </c>
      <c r="D1678" s="62" t="s">
        <v>2</v>
      </c>
      <c r="E1678" s="62">
        <v>664.0222</v>
      </c>
      <c r="F1678" s="62">
        <v>162.5212675</v>
      </c>
      <c r="I1678" s="62">
        <v>2018</v>
      </c>
      <c r="J1678" s="62">
        <v>12</v>
      </c>
      <c r="K1678" s="62" t="s">
        <v>18</v>
      </c>
      <c r="L1678" s="62" t="s">
        <v>2</v>
      </c>
      <c r="M1678" s="62">
        <v>21</v>
      </c>
      <c r="N1678" s="62">
        <v>13.65</v>
      </c>
    </row>
    <row r="1679" spans="1:14">
      <c r="A1679" s="62">
        <v>2027</v>
      </c>
      <c r="B1679" s="62">
        <v>5</v>
      </c>
      <c r="C1679" s="62" t="s">
        <v>6</v>
      </c>
      <c r="D1679" s="62" t="s">
        <v>2</v>
      </c>
      <c r="E1679" s="62">
        <v>134.4</v>
      </c>
      <c r="F1679" s="62">
        <v>11.28</v>
      </c>
      <c r="I1679" s="62">
        <v>2019</v>
      </c>
      <c r="J1679" s="62">
        <v>1</v>
      </c>
      <c r="K1679" s="62" t="s">
        <v>18</v>
      </c>
      <c r="L1679" s="62" t="s">
        <v>2</v>
      </c>
      <c r="M1679" s="62">
        <v>51.7</v>
      </c>
      <c r="N1679" s="62">
        <v>33.605</v>
      </c>
    </row>
    <row r="1680" spans="1:14">
      <c r="A1680" s="62">
        <v>2027</v>
      </c>
      <c r="B1680" s="62">
        <v>6</v>
      </c>
      <c r="C1680" s="62" t="s">
        <v>6</v>
      </c>
      <c r="D1680" s="62" t="s">
        <v>2</v>
      </c>
      <c r="E1680" s="62">
        <v>210.95</v>
      </c>
      <c r="F1680" s="62">
        <v>61.84</v>
      </c>
      <c r="I1680" s="62">
        <v>2019</v>
      </c>
      <c r="J1680" s="62">
        <v>2</v>
      </c>
      <c r="K1680" s="62" t="s">
        <v>18</v>
      </c>
      <c r="L1680" s="62" t="s">
        <v>2</v>
      </c>
      <c r="M1680" s="62">
        <v>141.69</v>
      </c>
      <c r="N1680" s="62">
        <v>92.0985</v>
      </c>
    </row>
    <row r="1681" spans="1:14">
      <c r="A1681" s="62">
        <v>2027</v>
      </c>
      <c r="B1681" s="62">
        <v>7</v>
      </c>
      <c r="C1681" s="62" t="s">
        <v>6</v>
      </c>
      <c r="D1681" s="62" t="s">
        <v>2</v>
      </c>
      <c r="E1681" s="62">
        <v>164</v>
      </c>
      <c r="F1681" s="62">
        <v>61</v>
      </c>
      <c r="I1681" s="62">
        <v>2019</v>
      </c>
      <c r="J1681" s="62">
        <v>3</v>
      </c>
      <c r="K1681" s="62" t="s">
        <v>18</v>
      </c>
      <c r="L1681" s="62" t="s">
        <v>2</v>
      </c>
      <c r="M1681" s="62">
        <v>284.525</v>
      </c>
      <c r="N1681" s="62">
        <v>184.94125</v>
      </c>
    </row>
    <row r="1682" spans="1:14">
      <c r="A1682" s="62">
        <v>2027</v>
      </c>
      <c r="B1682" s="62">
        <v>8</v>
      </c>
      <c r="C1682" s="62" t="s">
        <v>6</v>
      </c>
      <c r="D1682" s="62" t="s">
        <v>2</v>
      </c>
      <c r="E1682" s="62">
        <v>47.56</v>
      </c>
      <c r="F1682" s="62">
        <v>17.69</v>
      </c>
      <c r="I1682" s="62">
        <v>2019</v>
      </c>
      <c r="J1682" s="62">
        <v>4</v>
      </c>
      <c r="K1682" s="62" t="s">
        <v>18</v>
      </c>
      <c r="L1682" s="62" t="s">
        <v>2</v>
      </c>
      <c r="M1682" s="62">
        <v>367.82</v>
      </c>
      <c r="N1682" s="62">
        <v>239.083</v>
      </c>
    </row>
    <row r="1683" spans="1:14">
      <c r="A1683" s="62">
        <v>2027</v>
      </c>
      <c r="B1683" s="62">
        <v>9</v>
      </c>
      <c r="C1683" s="62" t="s">
        <v>6</v>
      </c>
      <c r="D1683" s="62" t="s">
        <v>2</v>
      </c>
      <c r="E1683" s="62">
        <v>1545.905</v>
      </c>
      <c r="F1683" s="62">
        <v>215.53225</v>
      </c>
      <c r="I1683" s="62">
        <v>2019</v>
      </c>
      <c r="J1683" s="62">
        <v>5</v>
      </c>
      <c r="K1683" s="62" t="s">
        <v>18</v>
      </c>
      <c r="L1683" s="62" t="s">
        <v>2</v>
      </c>
      <c r="M1683" s="62">
        <v>344.183</v>
      </c>
      <c r="N1683" s="62">
        <v>223.71895</v>
      </c>
    </row>
    <row r="1684" spans="1:14">
      <c r="A1684" s="62">
        <v>2027</v>
      </c>
      <c r="B1684" s="62">
        <v>10</v>
      </c>
      <c r="C1684" s="62" t="s">
        <v>6</v>
      </c>
      <c r="D1684" s="62" t="s">
        <v>2</v>
      </c>
      <c r="E1684" s="62">
        <v>1819.237</v>
      </c>
      <c r="F1684" s="62">
        <v>284.53475</v>
      </c>
      <c r="I1684" s="62">
        <v>2019</v>
      </c>
      <c r="J1684" s="62">
        <v>6</v>
      </c>
      <c r="K1684" s="62" t="s">
        <v>18</v>
      </c>
      <c r="L1684" s="62" t="s">
        <v>2</v>
      </c>
      <c r="M1684" s="62">
        <v>239.59</v>
      </c>
      <c r="N1684" s="62">
        <v>155.7335</v>
      </c>
    </row>
    <row r="1685" spans="1:14">
      <c r="A1685" s="62">
        <v>2027</v>
      </c>
      <c r="B1685" s="62">
        <v>11</v>
      </c>
      <c r="C1685" s="62" t="s">
        <v>6</v>
      </c>
      <c r="D1685" s="62" t="s">
        <v>2</v>
      </c>
      <c r="E1685" s="62">
        <v>446.133</v>
      </c>
      <c r="F1685" s="62">
        <v>86.05175</v>
      </c>
      <c r="I1685" s="62">
        <v>2019</v>
      </c>
      <c r="J1685" s="62">
        <v>7</v>
      </c>
      <c r="K1685" s="62" t="s">
        <v>18</v>
      </c>
      <c r="L1685" s="62" t="s">
        <v>2</v>
      </c>
      <c r="M1685" s="62">
        <v>150.98</v>
      </c>
      <c r="N1685" s="62">
        <v>98.137</v>
      </c>
    </row>
    <row r="1686" spans="1:14">
      <c r="A1686" s="62">
        <v>2014</v>
      </c>
      <c r="B1686" s="62">
        <v>1</v>
      </c>
      <c r="C1686" s="62" t="s">
        <v>6</v>
      </c>
      <c r="D1686" s="62" t="s">
        <v>3</v>
      </c>
      <c r="E1686" s="62">
        <v>517.769</v>
      </c>
      <c r="F1686" s="62">
        <v>135.856675</v>
      </c>
      <c r="I1686" s="62">
        <v>2019</v>
      </c>
      <c r="J1686" s="62">
        <v>8</v>
      </c>
      <c r="K1686" s="62" t="s">
        <v>18</v>
      </c>
      <c r="L1686" s="62" t="s">
        <v>2</v>
      </c>
      <c r="M1686" s="62">
        <v>153.52</v>
      </c>
      <c r="N1686" s="62">
        <v>99.788</v>
      </c>
    </row>
    <row r="1687" spans="1:14">
      <c r="A1687" s="62">
        <v>2014</v>
      </c>
      <c r="B1687" s="62">
        <v>2</v>
      </c>
      <c r="C1687" s="62" t="s">
        <v>6</v>
      </c>
      <c r="D1687" s="62" t="s">
        <v>3</v>
      </c>
      <c r="E1687" s="62">
        <v>500.87</v>
      </c>
      <c r="F1687" s="62">
        <v>124.814575</v>
      </c>
      <c r="I1687" s="62">
        <v>2019</v>
      </c>
      <c r="J1687" s="62">
        <v>9</v>
      </c>
      <c r="K1687" s="62" t="s">
        <v>18</v>
      </c>
      <c r="L1687" s="62" t="s">
        <v>2</v>
      </c>
      <c r="M1687" s="62">
        <v>378.596</v>
      </c>
      <c r="N1687" s="62">
        <v>246.0874</v>
      </c>
    </row>
    <row r="1688" spans="1:14">
      <c r="A1688" s="62">
        <v>2014</v>
      </c>
      <c r="B1688" s="62">
        <v>3</v>
      </c>
      <c r="C1688" s="62" t="s">
        <v>6</v>
      </c>
      <c r="D1688" s="62" t="s">
        <v>3</v>
      </c>
      <c r="E1688" s="62">
        <v>226.605</v>
      </c>
      <c r="F1688" s="62">
        <v>61.309625</v>
      </c>
      <c r="I1688" s="62">
        <v>2019</v>
      </c>
      <c r="J1688" s="62">
        <v>10</v>
      </c>
      <c r="K1688" s="62" t="s">
        <v>18</v>
      </c>
      <c r="L1688" s="62" t="s">
        <v>2</v>
      </c>
      <c r="M1688" s="62">
        <v>565.6410000000001</v>
      </c>
      <c r="N1688" s="62">
        <v>367.66665</v>
      </c>
    </row>
    <row r="1689" spans="1:14">
      <c r="A1689" s="62">
        <v>2014</v>
      </c>
      <c r="B1689" s="62">
        <v>4</v>
      </c>
      <c r="C1689" s="62" t="s">
        <v>6</v>
      </c>
      <c r="D1689" s="62" t="s">
        <v>3</v>
      </c>
      <c r="E1689" s="62">
        <v>265.3259</v>
      </c>
      <c r="F1689" s="62">
        <v>72.4009575</v>
      </c>
      <c r="I1689" s="62">
        <v>2019</v>
      </c>
      <c r="J1689" s="62">
        <v>11</v>
      </c>
      <c r="K1689" s="62" t="s">
        <v>18</v>
      </c>
      <c r="L1689" s="62" t="s">
        <v>2</v>
      </c>
      <c r="M1689" s="62">
        <v>263.876</v>
      </c>
      <c r="N1689" s="62">
        <v>171.5194</v>
      </c>
    </row>
    <row r="1690" spans="1:14">
      <c r="A1690" s="62">
        <v>2014</v>
      </c>
      <c r="B1690" s="62">
        <v>5</v>
      </c>
      <c r="C1690" s="62" t="s">
        <v>6</v>
      </c>
      <c r="D1690" s="62" t="s">
        <v>3</v>
      </c>
      <c r="E1690" s="62">
        <v>191.9443</v>
      </c>
      <c r="F1690" s="62">
        <v>50.21566499999999</v>
      </c>
      <c r="I1690" s="62">
        <v>2019</v>
      </c>
      <c r="J1690" s="62">
        <v>12</v>
      </c>
      <c r="K1690" s="62" t="s">
        <v>18</v>
      </c>
      <c r="L1690" s="62" t="s">
        <v>2</v>
      </c>
      <c r="M1690" s="62">
        <v>148</v>
      </c>
      <c r="N1690" s="62">
        <v>96.2</v>
      </c>
    </row>
    <row r="1691" spans="1:14">
      <c r="A1691" s="62">
        <v>2014</v>
      </c>
      <c r="B1691" s="62">
        <v>6</v>
      </c>
      <c r="C1691" s="62" t="s">
        <v>6</v>
      </c>
      <c r="D1691" s="62" t="s">
        <v>3</v>
      </c>
      <c r="E1691" s="62">
        <v>697.904</v>
      </c>
      <c r="F1691" s="62">
        <v>187.90335</v>
      </c>
      <c r="I1691" s="62">
        <v>2020</v>
      </c>
      <c r="J1691" s="62">
        <v>1</v>
      </c>
      <c r="K1691" s="62" t="s">
        <v>18</v>
      </c>
      <c r="L1691" s="62" t="s">
        <v>2</v>
      </c>
      <c r="M1691" s="62">
        <v>320.595</v>
      </c>
      <c r="N1691" s="62">
        <v>208.38675</v>
      </c>
    </row>
    <row r="1692" spans="1:14">
      <c r="A1692" s="62">
        <v>2014</v>
      </c>
      <c r="B1692" s="62">
        <v>7</v>
      </c>
      <c r="C1692" s="62" t="s">
        <v>6</v>
      </c>
      <c r="D1692" s="62" t="s">
        <v>3</v>
      </c>
      <c r="E1692" s="62">
        <v>577.3579999999999</v>
      </c>
      <c r="F1692" s="62">
        <v>156.234</v>
      </c>
      <c r="I1692" s="62">
        <v>2020</v>
      </c>
      <c r="J1692" s="62">
        <v>2</v>
      </c>
      <c r="K1692" s="62" t="s">
        <v>18</v>
      </c>
      <c r="L1692" s="62" t="s">
        <v>2</v>
      </c>
      <c r="M1692" s="62">
        <v>565.72</v>
      </c>
      <c r="N1692" s="62">
        <v>367.718</v>
      </c>
    </row>
    <row r="1693" spans="1:14">
      <c r="A1693" s="62">
        <v>2014</v>
      </c>
      <c r="B1693" s="62">
        <v>8</v>
      </c>
      <c r="C1693" s="62" t="s">
        <v>6</v>
      </c>
      <c r="D1693" s="62" t="s">
        <v>3</v>
      </c>
      <c r="E1693" s="62">
        <v>594.1143999999999</v>
      </c>
      <c r="F1693" s="62">
        <v>180.398955</v>
      </c>
      <c r="I1693" s="62">
        <v>2020</v>
      </c>
      <c r="J1693" s="62">
        <v>3</v>
      </c>
      <c r="K1693" s="62" t="s">
        <v>18</v>
      </c>
      <c r="L1693" s="62" t="s">
        <v>2</v>
      </c>
      <c r="M1693" s="62">
        <v>443.68</v>
      </c>
      <c r="N1693" s="62">
        <v>288.392</v>
      </c>
    </row>
    <row r="1694" spans="1:14">
      <c r="A1694" s="62">
        <v>2014</v>
      </c>
      <c r="B1694" s="62">
        <v>9</v>
      </c>
      <c r="C1694" s="62" t="s">
        <v>6</v>
      </c>
      <c r="D1694" s="62" t="s">
        <v>3</v>
      </c>
      <c r="E1694" s="62">
        <v>972.8715999999999</v>
      </c>
      <c r="F1694" s="62">
        <v>371.04582</v>
      </c>
      <c r="I1694" s="62">
        <v>2020</v>
      </c>
      <c r="J1694" s="62">
        <v>4</v>
      </c>
      <c r="K1694" s="62" t="s">
        <v>18</v>
      </c>
      <c r="L1694" s="62" t="s">
        <v>2</v>
      </c>
      <c r="M1694" s="62">
        <v>235.598</v>
      </c>
      <c r="N1694" s="62">
        <v>153.1387</v>
      </c>
    </row>
    <row r="1695" spans="1:14">
      <c r="A1695" s="62">
        <v>2014</v>
      </c>
      <c r="B1695" s="62">
        <v>10</v>
      </c>
      <c r="C1695" s="62" t="s">
        <v>6</v>
      </c>
      <c r="D1695" s="62" t="s">
        <v>3</v>
      </c>
      <c r="E1695" s="62">
        <v>730.7620000000001</v>
      </c>
      <c r="F1695" s="62">
        <v>251.493725</v>
      </c>
      <c r="I1695" s="62">
        <v>2020</v>
      </c>
      <c r="J1695" s="62">
        <v>5</v>
      </c>
      <c r="K1695" s="62" t="s">
        <v>18</v>
      </c>
      <c r="L1695" s="62" t="s">
        <v>2</v>
      </c>
      <c r="M1695" s="62">
        <v>383.66</v>
      </c>
      <c r="N1695" s="62">
        <v>249.379</v>
      </c>
    </row>
    <row r="1696" spans="1:14">
      <c r="A1696" s="62">
        <v>2014</v>
      </c>
      <c r="B1696" s="62">
        <v>11</v>
      </c>
      <c r="C1696" s="62" t="s">
        <v>6</v>
      </c>
      <c r="D1696" s="62" t="s">
        <v>3</v>
      </c>
      <c r="E1696" s="62">
        <v>230.7974</v>
      </c>
      <c r="F1696" s="62">
        <v>36.53098</v>
      </c>
      <c r="I1696" s="62">
        <v>2020</v>
      </c>
      <c r="J1696" s="62">
        <v>6</v>
      </c>
      <c r="K1696" s="62" t="s">
        <v>18</v>
      </c>
      <c r="L1696" s="62" t="s">
        <v>2</v>
      </c>
      <c r="M1696" s="62">
        <v>385.7</v>
      </c>
      <c r="N1696" s="62">
        <v>250.705</v>
      </c>
    </row>
    <row r="1697" spans="1:14">
      <c r="A1697" s="62">
        <v>2014</v>
      </c>
      <c r="B1697" s="62">
        <v>12</v>
      </c>
      <c r="C1697" s="62" t="s">
        <v>6</v>
      </c>
      <c r="D1697" s="62" t="s">
        <v>3</v>
      </c>
      <c r="E1697" s="62">
        <v>286.185</v>
      </c>
      <c r="F1697" s="62">
        <v>63.661425</v>
      </c>
      <c r="I1697" s="62">
        <v>2020</v>
      </c>
      <c r="J1697" s="62">
        <v>7</v>
      </c>
      <c r="K1697" s="62" t="s">
        <v>18</v>
      </c>
      <c r="L1697" s="62" t="s">
        <v>2</v>
      </c>
      <c r="M1697" s="62">
        <v>281.04</v>
      </c>
      <c r="N1697" s="62">
        <v>182.676</v>
      </c>
    </row>
    <row r="1698" spans="1:14">
      <c r="A1698" s="62">
        <v>2015</v>
      </c>
      <c r="B1698" s="62">
        <v>1</v>
      </c>
      <c r="C1698" s="62" t="s">
        <v>6</v>
      </c>
      <c r="D1698" s="62" t="s">
        <v>3</v>
      </c>
      <c r="E1698" s="62">
        <v>376.085</v>
      </c>
      <c r="F1698" s="62">
        <v>124.681625</v>
      </c>
      <c r="I1698" s="62">
        <v>2020</v>
      </c>
      <c r="J1698" s="62">
        <v>8</v>
      </c>
      <c r="K1698" s="62" t="s">
        <v>18</v>
      </c>
      <c r="L1698" s="62" t="s">
        <v>2</v>
      </c>
      <c r="M1698" s="62">
        <v>86</v>
      </c>
      <c r="N1698" s="62">
        <v>55.90000000000001</v>
      </c>
    </row>
    <row r="1699" spans="1:14">
      <c r="A1699" s="62">
        <v>2015</v>
      </c>
      <c r="B1699" s="62">
        <v>2</v>
      </c>
      <c r="C1699" s="62" t="s">
        <v>6</v>
      </c>
      <c r="D1699" s="62" t="s">
        <v>3</v>
      </c>
      <c r="E1699" s="62">
        <v>335.1275</v>
      </c>
      <c r="F1699" s="62">
        <v>149.447125</v>
      </c>
      <c r="I1699" s="62">
        <v>2020</v>
      </c>
      <c r="J1699" s="62">
        <v>9</v>
      </c>
      <c r="K1699" s="62" t="s">
        <v>18</v>
      </c>
      <c r="L1699" s="62" t="s">
        <v>2</v>
      </c>
      <c r="M1699" s="62">
        <v>168.28</v>
      </c>
      <c r="N1699" s="62">
        <v>109.382</v>
      </c>
    </row>
    <row r="1700" spans="1:14">
      <c r="A1700" s="62">
        <v>2015</v>
      </c>
      <c r="B1700" s="62">
        <v>3</v>
      </c>
      <c r="C1700" s="62" t="s">
        <v>6</v>
      </c>
      <c r="D1700" s="62" t="s">
        <v>3</v>
      </c>
      <c r="E1700" s="62">
        <v>425.49</v>
      </c>
      <c r="F1700" s="62">
        <v>208.81475</v>
      </c>
      <c r="I1700" s="62">
        <v>2020</v>
      </c>
      <c r="J1700" s="62">
        <v>10</v>
      </c>
      <c r="K1700" s="62" t="s">
        <v>18</v>
      </c>
      <c r="L1700" s="62" t="s">
        <v>2</v>
      </c>
      <c r="M1700" s="62">
        <v>292.07</v>
      </c>
      <c r="N1700" s="62">
        <v>189.8455</v>
      </c>
    </row>
    <row r="1701" spans="1:14">
      <c r="A1701" s="62">
        <v>2015</v>
      </c>
      <c r="B1701" s="62">
        <v>4</v>
      </c>
      <c r="C1701" s="62" t="s">
        <v>6</v>
      </c>
      <c r="D1701" s="62" t="s">
        <v>3</v>
      </c>
      <c r="E1701" s="62">
        <v>518.503</v>
      </c>
      <c r="F1701" s="62">
        <v>186.809075</v>
      </c>
      <c r="I1701" s="62">
        <v>2020</v>
      </c>
      <c r="J1701" s="62">
        <v>11</v>
      </c>
      <c r="K1701" s="62" t="s">
        <v>18</v>
      </c>
      <c r="L1701" s="62" t="s">
        <v>2</v>
      </c>
      <c r="M1701" s="62">
        <v>292.853</v>
      </c>
      <c r="N1701" s="62">
        <v>190.35445</v>
      </c>
    </row>
    <row r="1702" spans="1:14">
      <c r="A1702" s="62">
        <v>2015</v>
      </c>
      <c r="B1702" s="62">
        <v>5</v>
      </c>
      <c r="C1702" s="62" t="s">
        <v>6</v>
      </c>
      <c r="D1702" s="62" t="s">
        <v>3</v>
      </c>
      <c r="E1702" s="62">
        <v>451.234</v>
      </c>
      <c r="F1702" s="62">
        <v>113.97955</v>
      </c>
      <c r="I1702" s="62">
        <v>2020</v>
      </c>
      <c r="J1702" s="62">
        <v>12</v>
      </c>
      <c r="K1702" s="62" t="s">
        <v>18</v>
      </c>
      <c r="L1702" s="62" t="s">
        <v>2</v>
      </c>
      <c r="M1702" s="62">
        <v>302.52</v>
      </c>
      <c r="N1702" s="62">
        <v>196.638</v>
      </c>
    </row>
    <row r="1703" spans="1:14">
      <c r="A1703" s="62">
        <v>2015</v>
      </c>
      <c r="B1703" s="62">
        <v>6</v>
      </c>
      <c r="C1703" s="62" t="s">
        <v>6</v>
      </c>
      <c r="D1703" s="62" t="s">
        <v>3</v>
      </c>
      <c r="E1703" s="62">
        <v>468.5404</v>
      </c>
      <c r="F1703" s="62">
        <v>154.8181</v>
      </c>
      <c r="I1703" s="62">
        <v>2021</v>
      </c>
      <c r="J1703" s="62">
        <v>1</v>
      </c>
      <c r="K1703" s="62" t="s">
        <v>18</v>
      </c>
      <c r="L1703" s="62" t="s">
        <v>2</v>
      </c>
      <c r="M1703" s="62">
        <v>309.87</v>
      </c>
      <c r="N1703" s="62">
        <v>201.4155</v>
      </c>
    </row>
    <row r="1704" spans="1:14">
      <c r="A1704" s="62">
        <v>2015</v>
      </c>
      <c r="B1704" s="62">
        <v>7</v>
      </c>
      <c r="C1704" s="62" t="s">
        <v>6</v>
      </c>
      <c r="D1704" s="62" t="s">
        <v>3</v>
      </c>
      <c r="E1704" s="62">
        <v>496.982</v>
      </c>
      <c r="F1704" s="62">
        <v>131.275085</v>
      </c>
      <c r="I1704" s="62">
        <v>2021</v>
      </c>
      <c r="J1704" s="62">
        <v>2</v>
      </c>
      <c r="K1704" s="62" t="s">
        <v>18</v>
      </c>
      <c r="L1704" s="62" t="s">
        <v>2</v>
      </c>
      <c r="M1704" s="62">
        <v>422.005</v>
      </c>
      <c r="N1704" s="62">
        <v>274.30325</v>
      </c>
    </row>
    <row r="1705" spans="1:14">
      <c r="A1705" s="62">
        <v>2015</v>
      </c>
      <c r="B1705" s="62">
        <v>8</v>
      </c>
      <c r="C1705" s="62" t="s">
        <v>6</v>
      </c>
      <c r="D1705" s="62" t="s">
        <v>3</v>
      </c>
      <c r="E1705" s="62">
        <v>584.2445</v>
      </c>
      <c r="F1705" s="62">
        <v>119.5221875</v>
      </c>
      <c r="I1705" s="62">
        <v>2021</v>
      </c>
      <c r="J1705" s="62">
        <v>3</v>
      </c>
      <c r="K1705" s="62" t="s">
        <v>18</v>
      </c>
      <c r="L1705" s="62" t="s">
        <v>2</v>
      </c>
      <c r="M1705" s="62">
        <v>438.525</v>
      </c>
      <c r="N1705" s="62">
        <v>285.04125</v>
      </c>
    </row>
    <row r="1706" spans="1:14">
      <c r="A1706" s="62">
        <v>2015</v>
      </c>
      <c r="B1706" s="62">
        <v>9</v>
      </c>
      <c r="C1706" s="62" t="s">
        <v>6</v>
      </c>
      <c r="D1706" s="62" t="s">
        <v>3</v>
      </c>
      <c r="E1706" s="62">
        <v>776.8147</v>
      </c>
      <c r="F1706" s="62">
        <v>273.7407925</v>
      </c>
      <c r="I1706" s="62">
        <v>2021</v>
      </c>
      <c r="J1706" s="62">
        <v>4</v>
      </c>
      <c r="K1706" s="62" t="s">
        <v>18</v>
      </c>
      <c r="L1706" s="62" t="s">
        <v>2</v>
      </c>
      <c r="M1706" s="62">
        <v>500.616</v>
      </c>
      <c r="N1706" s="62">
        <v>325.4004</v>
      </c>
    </row>
    <row r="1707" spans="1:14">
      <c r="A1707" s="62">
        <v>2015</v>
      </c>
      <c r="B1707" s="62">
        <v>10</v>
      </c>
      <c r="C1707" s="62" t="s">
        <v>6</v>
      </c>
      <c r="D1707" s="62" t="s">
        <v>3</v>
      </c>
      <c r="E1707" s="62">
        <v>578.8049999999999</v>
      </c>
      <c r="F1707" s="62">
        <v>260.57325</v>
      </c>
      <c r="I1707" s="62">
        <v>2021</v>
      </c>
      <c r="J1707" s="62">
        <v>5</v>
      </c>
      <c r="K1707" s="62" t="s">
        <v>18</v>
      </c>
      <c r="L1707" s="62" t="s">
        <v>2</v>
      </c>
      <c r="M1707" s="62">
        <v>320.321</v>
      </c>
      <c r="N1707" s="62">
        <v>208.20865</v>
      </c>
    </row>
    <row r="1708" spans="1:14">
      <c r="A1708" s="62">
        <v>2015</v>
      </c>
      <c r="B1708" s="62">
        <v>11</v>
      </c>
      <c r="C1708" s="62" t="s">
        <v>6</v>
      </c>
      <c r="D1708" s="62" t="s">
        <v>3</v>
      </c>
      <c r="E1708" s="62">
        <v>495.8775</v>
      </c>
      <c r="F1708" s="62">
        <v>149.7436625</v>
      </c>
      <c r="I1708" s="62">
        <v>2021</v>
      </c>
      <c r="J1708" s="62">
        <v>6</v>
      </c>
      <c r="K1708" s="62" t="s">
        <v>18</v>
      </c>
      <c r="L1708" s="62" t="s">
        <v>2</v>
      </c>
      <c r="M1708" s="62">
        <v>201.74</v>
      </c>
      <c r="N1708" s="62">
        <v>131.131</v>
      </c>
    </row>
    <row r="1709" spans="1:14">
      <c r="A1709" s="62">
        <v>2015</v>
      </c>
      <c r="B1709" s="62">
        <v>12</v>
      </c>
      <c r="C1709" s="62" t="s">
        <v>6</v>
      </c>
      <c r="D1709" s="62" t="s">
        <v>3</v>
      </c>
      <c r="E1709" s="62">
        <v>367.275</v>
      </c>
      <c r="F1709" s="62">
        <v>68.269625</v>
      </c>
      <c r="I1709" s="62">
        <v>2021</v>
      </c>
      <c r="J1709" s="62">
        <v>7</v>
      </c>
      <c r="K1709" s="62" t="s">
        <v>18</v>
      </c>
      <c r="L1709" s="62" t="s">
        <v>2</v>
      </c>
      <c r="M1709" s="62">
        <v>196.54</v>
      </c>
      <c r="N1709" s="62">
        <v>127.751</v>
      </c>
    </row>
    <row r="1710" spans="1:14">
      <c r="A1710" s="62">
        <v>2016</v>
      </c>
      <c r="B1710" s="62">
        <v>1</v>
      </c>
      <c r="C1710" s="62" t="s">
        <v>6</v>
      </c>
      <c r="D1710" s="62" t="s">
        <v>3</v>
      </c>
      <c r="E1710" s="62">
        <v>949.201</v>
      </c>
      <c r="F1710" s="62">
        <v>264.609675</v>
      </c>
      <c r="I1710" s="62">
        <v>2021</v>
      </c>
      <c r="J1710" s="62">
        <v>8</v>
      </c>
      <c r="K1710" s="62" t="s">
        <v>18</v>
      </c>
      <c r="L1710" s="62" t="s">
        <v>2</v>
      </c>
      <c r="M1710" s="62">
        <v>219.145</v>
      </c>
      <c r="N1710" s="62">
        <v>142.44425</v>
      </c>
    </row>
    <row r="1711" spans="1:14">
      <c r="A1711" s="62">
        <v>2016</v>
      </c>
      <c r="B1711" s="62">
        <v>2</v>
      </c>
      <c r="C1711" s="62" t="s">
        <v>6</v>
      </c>
      <c r="D1711" s="62" t="s">
        <v>3</v>
      </c>
      <c r="E1711" s="62">
        <v>651.1415</v>
      </c>
      <c r="F1711" s="62">
        <v>197.0145625</v>
      </c>
      <c r="I1711" s="62">
        <v>2021</v>
      </c>
      <c r="J1711" s="62">
        <v>9</v>
      </c>
      <c r="K1711" s="62" t="s">
        <v>18</v>
      </c>
      <c r="L1711" s="62" t="s">
        <v>2</v>
      </c>
      <c r="M1711" s="62">
        <v>418.09</v>
      </c>
      <c r="N1711" s="62">
        <v>271.7585</v>
      </c>
    </row>
    <row r="1712" spans="1:14">
      <c r="A1712" s="62">
        <v>2016</v>
      </c>
      <c r="B1712" s="62">
        <v>3</v>
      </c>
      <c r="C1712" s="62" t="s">
        <v>6</v>
      </c>
      <c r="D1712" s="62" t="s">
        <v>3</v>
      </c>
      <c r="E1712" s="62">
        <v>200.588</v>
      </c>
      <c r="F1712" s="62">
        <v>49.67175</v>
      </c>
      <c r="I1712" s="62">
        <v>2021</v>
      </c>
      <c r="J1712" s="62">
        <v>10</v>
      </c>
      <c r="K1712" s="62" t="s">
        <v>18</v>
      </c>
      <c r="L1712" s="62" t="s">
        <v>2</v>
      </c>
      <c r="M1712" s="62">
        <v>480.585</v>
      </c>
      <c r="N1712" s="62">
        <v>312.38025</v>
      </c>
    </row>
    <row r="1713" spans="1:14">
      <c r="A1713" s="62">
        <v>2016</v>
      </c>
      <c r="B1713" s="62">
        <v>4</v>
      </c>
      <c r="C1713" s="62" t="s">
        <v>6</v>
      </c>
      <c r="D1713" s="62" t="s">
        <v>3</v>
      </c>
      <c r="E1713" s="62">
        <v>554.1025</v>
      </c>
      <c r="F1713" s="62">
        <v>151.2824375</v>
      </c>
      <c r="I1713" s="62">
        <v>2021</v>
      </c>
      <c r="J1713" s="62">
        <v>11</v>
      </c>
      <c r="K1713" s="62" t="s">
        <v>18</v>
      </c>
      <c r="L1713" s="62" t="s">
        <v>2</v>
      </c>
      <c r="M1713" s="62">
        <v>387.89</v>
      </c>
      <c r="N1713" s="62">
        <v>252.1285</v>
      </c>
    </row>
    <row r="1714" spans="1:14">
      <c r="A1714" s="62">
        <v>2016</v>
      </c>
      <c r="B1714" s="62">
        <v>5</v>
      </c>
      <c r="C1714" s="62" t="s">
        <v>6</v>
      </c>
      <c r="D1714" s="62" t="s">
        <v>3</v>
      </c>
      <c r="E1714" s="62">
        <v>349.9583</v>
      </c>
      <c r="F1714" s="62">
        <v>78.83470749999999</v>
      </c>
      <c r="I1714" s="62">
        <v>2021</v>
      </c>
      <c r="J1714" s="62">
        <v>12</v>
      </c>
      <c r="K1714" s="62" t="s">
        <v>18</v>
      </c>
      <c r="L1714" s="62" t="s">
        <v>2</v>
      </c>
      <c r="M1714" s="62">
        <v>177.88</v>
      </c>
      <c r="N1714" s="62">
        <v>115.622</v>
      </c>
    </row>
    <row r="1715" spans="1:14">
      <c r="A1715" s="62">
        <v>2016</v>
      </c>
      <c r="B1715" s="62">
        <v>6</v>
      </c>
      <c r="C1715" s="62" t="s">
        <v>6</v>
      </c>
      <c r="D1715" s="62" t="s">
        <v>3</v>
      </c>
      <c r="E1715" s="62">
        <v>205.85</v>
      </c>
      <c r="F1715" s="62">
        <v>61.54375</v>
      </c>
      <c r="I1715" s="62">
        <v>2022</v>
      </c>
      <c r="J1715" s="62">
        <v>1</v>
      </c>
      <c r="K1715" s="62" t="s">
        <v>18</v>
      </c>
      <c r="L1715" s="62" t="s">
        <v>2</v>
      </c>
      <c r="M1715" s="62">
        <v>250.0925</v>
      </c>
      <c r="N1715" s="62">
        <v>162.560125</v>
      </c>
    </row>
    <row r="1716" spans="1:14">
      <c r="A1716" s="62">
        <v>2016</v>
      </c>
      <c r="B1716" s="62">
        <v>7</v>
      </c>
      <c r="C1716" s="62" t="s">
        <v>6</v>
      </c>
      <c r="D1716" s="62" t="s">
        <v>3</v>
      </c>
      <c r="E1716" s="62">
        <v>86.14400000000001</v>
      </c>
      <c r="F1716" s="62">
        <v>33.454</v>
      </c>
      <c r="I1716" s="62">
        <v>2022</v>
      </c>
      <c r="J1716" s="62">
        <v>2</v>
      </c>
      <c r="K1716" s="62" t="s">
        <v>18</v>
      </c>
      <c r="L1716" s="62" t="s">
        <v>2</v>
      </c>
      <c r="M1716" s="62">
        <v>406.08</v>
      </c>
      <c r="N1716" s="62">
        <v>263.952</v>
      </c>
    </row>
    <row r="1717" spans="1:14">
      <c r="A1717" s="62">
        <v>2016</v>
      </c>
      <c r="B1717" s="62">
        <v>8</v>
      </c>
      <c r="C1717" s="62" t="s">
        <v>6</v>
      </c>
      <c r="D1717" s="62" t="s">
        <v>3</v>
      </c>
      <c r="E1717" s="62">
        <v>388.7795</v>
      </c>
      <c r="F1717" s="62">
        <v>121.588125</v>
      </c>
      <c r="I1717" s="62">
        <v>2022</v>
      </c>
      <c r="J1717" s="62">
        <v>3</v>
      </c>
      <c r="K1717" s="62" t="s">
        <v>18</v>
      </c>
      <c r="L1717" s="62" t="s">
        <v>2</v>
      </c>
      <c r="M1717" s="62">
        <v>479.67</v>
      </c>
      <c r="N1717" s="62">
        <v>311.7855</v>
      </c>
    </row>
    <row r="1718" spans="1:14">
      <c r="A1718" s="62">
        <v>2016</v>
      </c>
      <c r="B1718" s="62">
        <v>9</v>
      </c>
      <c r="C1718" s="62" t="s">
        <v>6</v>
      </c>
      <c r="D1718" s="62" t="s">
        <v>3</v>
      </c>
      <c r="E1718" s="62">
        <v>702.3685</v>
      </c>
      <c r="F1718" s="62">
        <v>129.606</v>
      </c>
      <c r="I1718" s="62">
        <v>2022</v>
      </c>
      <c r="J1718" s="62">
        <v>4</v>
      </c>
      <c r="K1718" s="62" t="s">
        <v>18</v>
      </c>
      <c r="L1718" s="62" t="s">
        <v>2</v>
      </c>
      <c r="M1718" s="62">
        <v>354.14</v>
      </c>
      <c r="N1718" s="62">
        <v>230.191</v>
      </c>
    </row>
    <row r="1719" spans="1:14">
      <c r="A1719" s="62">
        <v>2016</v>
      </c>
      <c r="B1719" s="62">
        <v>10</v>
      </c>
      <c r="C1719" s="62" t="s">
        <v>6</v>
      </c>
      <c r="D1719" s="62" t="s">
        <v>3</v>
      </c>
      <c r="E1719" s="62">
        <v>796.3920000000001</v>
      </c>
      <c r="F1719" s="62">
        <v>187.880825</v>
      </c>
      <c r="I1719" s="62">
        <v>2022</v>
      </c>
      <c r="J1719" s="62">
        <v>5</v>
      </c>
      <c r="K1719" s="62" t="s">
        <v>18</v>
      </c>
      <c r="L1719" s="62" t="s">
        <v>2</v>
      </c>
      <c r="M1719" s="62">
        <v>215.29</v>
      </c>
      <c r="N1719" s="62">
        <v>139.9385</v>
      </c>
    </row>
    <row r="1720" spans="1:14">
      <c r="A1720" s="62">
        <v>2016</v>
      </c>
      <c r="B1720" s="62">
        <v>11</v>
      </c>
      <c r="C1720" s="62" t="s">
        <v>6</v>
      </c>
      <c r="D1720" s="62" t="s">
        <v>3</v>
      </c>
      <c r="E1720" s="62">
        <v>530.885</v>
      </c>
      <c r="F1720" s="62">
        <v>135.545725</v>
      </c>
      <c r="I1720" s="62">
        <v>2022</v>
      </c>
      <c r="J1720" s="62">
        <v>6</v>
      </c>
      <c r="K1720" s="62" t="s">
        <v>18</v>
      </c>
      <c r="L1720" s="62" t="s">
        <v>2</v>
      </c>
      <c r="M1720" s="62">
        <v>169</v>
      </c>
      <c r="N1720" s="62">
        <v>109.85</v>
      </c>
    </row>
    <row r="1721" spans="1:14">
      <c r="A1721" s="62">
        <v>2016</v>
      </c>
      <c r="B1721" s="62">
        <v>12</v>
      </c>
      <c r="C1721" s="62" t="s">
        <v>6</v>
      </c>
      <c r="D1721" s="62" t="s">
        <v>3</v>
      </c>
      <c r="E1721" s="62">
        <v>359.5764</v>
      </c>
      <c r="F1721" s="62">
        <v>60.371305</v>
      </c>
      <c r="I1721" s="62">
        <v>2022</v>
      </c>
      <c r="J1721" s="62">
        <v>7</v>
      </c>
      <c r="K1721" s="62" t="s">
        <v>18</v>
      </c>
      <c r="L1721" s="62" t="s">
        <v>2</v>
      </c>
      <c r="M1721" s="62">
        <v>173.065</v>
      </c>
      <c r="N1721" s="62">
        <v>112.49225</v>
      </c>
    </row>
    <row r="1722" spans="1:14">
      <c r="A1722" s="62">
        <v>2017</v>
      </c>
      <c r="B1722" s="62">
        <v>1</v>
      </c>
      <c r="C1722" s="62" t="s">
        <v>6</v>
      </c>
      <c r="D1722" s="62" t="s">
        <v>3</v>
      </c>
      <c r="E1722" s="62">
        <v>887.684</v>
      </c>
      <c r="F1722" s="62">
        <v>241.525425</v>
      </c>
      <c r="I1722" s="62">
        <v>2022</v>
      </c>
      <c r="J1722" s="62">
        <v>8</v>
      </c>
      <c r="K1722" s="62" t="s">
        <v>18</v>
      </c>
      <c r="L1722" s="62" t="s">
        <v>2</v>
      </c>
      <c r="M1722" s="62">
        <v>158.24</v>
      </c>
      <c r="N1722" s="62">
        <v>102.856</v>
      </c>
    </row>
    <row r="1723" spans="1:14">
      <c r="A1723" s="62">
        <v>2017</v>
      </c>
      <c r="B1723" s="62">
        <v>2</v>
      </c>
      <c r="C1723" s="62" t="s">
        <v>6</v>
      </c>
      <c r="D1723" s="62" t="s">
        <v>3</v>
      </c>
      <c r="E1723" s="62">
        <v>831.5965</v>
      </c>
      <c r="F1723" s="62">
        <v>216.83875</v>
      </c>
      <c r="I1723" s="62">
        <v>2022</v>
      </c>
      <c r="J1723" s="62">
        <v>9</v>
      </c>
      <c r="K1723" s="62" t="s">
        <v>18</v>
      </c>
      <c r="L1723" s="62" t="s">
        <v>2</v>
      </c>
      <c r="M1723" s="62">
        <v>193.65</v>
      </c>
      <c r="N1723" s="62">
        <v>125.8725</v>
      </c>
    </row>
    <row r="1724" spans="1:14">
      <c r="A1724" s="62">
        <v>2017</v>
      </c>
      <c r="B1724" s="62">
        <v>3</v>
      </c>
      <c r="C1724" s="62" t="s">
        <v>6</v>
      </c>
      <c r="D1724" s="62" t="s">
        <v>3</v>
      </c>
      <c r="E1724" s="62">
        <v>561.206</v>
      </c>
      <c r="F1724" s="62">
        <v>157.74575</v>
      </c>
      <c r="I1724" s="62">
        <v>2022</v>
      </c>
      <c r="J1724" s="62">
        <v>10</v>
      </c>
      <c r="K1724" s="62" t="s">
        <v>18</v>
      </c>
      <c r="L1724" s="62" t="s">
        <v>2</v>
      </c>
      <c r="M1724" s="62">
        <v>332.223</v>
      </c>
      <c r="N1724" s="62">
        <v>215.94495</v>
      </c>
    </row>
    <row r="1725" spans="1:14">
      <c r="A1725" s="62">
        <v>2017</v>
      </c>
      <c r="B1725" s="62">
        <v>4</v>
      </c>
      <c r="C1725" s="62" t="s">
        <v>6</v>
      </c>
      <c r="D1725" s="62" t="s">
        <v>3</v>
      </c>
      <c r="E1725" s="62">
        <v>328.0765</v>
      </c>
      <c r="F1725" s="62">
        <v>113.6746375</v>
      </c>
      <c r="I1725" s="62">
        <v>2022</v>
      </c>
      <c r="J1725" s="62">
        <v>11</v>
      </c>
      <c r="K1725" s="62" t="s">
        <v>18</v>
      </c>
      <c r="L1725" s="62" t="s">
        <v>2</v>
      </c>
      <c r="M1725" s="62">
        <v>220.691</v>
      </c>
      <c r="N1725" s="62">
        <v>143.44915</v>
      </c>
    </row>
    <row r="1726" spans="1:14">
      <c r="A1726" s="62">
        <v>2017</v>
      </c>
      <c r="B1726" s="62">
        <v>5</v>
      </c>
      <c r="C1726" s="62" t="s">
        <v>6</v>
      </c>
      <c r="D1726" s="62" t="s">
        <v>3</v>
      </c>
      <c r="E1726" s="62">
        <v>199.1775</v>
      </c>
      <c r="F1726" s="62">
        <v>45.8549375</v>
      </c>
      <c r="I1726" s="62">
        <v>2022</v>
      </c>
      <c r="J1726" s="62">
        <v>12</v>
      </c>
      <c r="K1726" s="62" t="s">
        <v>18</v>
      </c>
      <c r="L1726" s="62" t="s">
        <v>2</v>
      </c>
      <c r="M1726" s="62">
        <v>152.63</v>
      </c>
      <c r="N1726" s="62">
        <v>99.20950000000001</v>
      </c>
    </row>
    <row r="1727" spans="1:14">
      <c r="A1727" s="62">
        <v>2017</v>
      </c>
      <c r="B1727" s="62">
        <v>6</v>
      </c>
      <c r="C1727" s="62" t="s">
        <v>6</v>
      </c>
      <c r="D1727" s="62" t="s">
        <v>3</v>
      </c>
      <c r="E1727" s="62">
        <v>170.7</v>
      </c>
      <c r="F1727" s="62">
        <v>30.7255</v>
      </c>
      <c r="I1727" s="62">
        <v>2023</v>
      </c>
      <c r="J1727" s="62">
        <v>1</v>
      </c>
      <c r="K1727" s="62" t="s">
        <v>18</v>
      </c>
      <c r="L1727" s="62" t="s">
        <v>2</v>
      </c>
      <c r="M1727" s="62">
        <v>424.648</v>
      </c>
      <c r="N1727" s="62">
        <v>276.0212</v>
      </c>
    </row>
    <row r="1728" spans="1:14">
      <c r="A1728" s="62">
        <v>2017</v>
      </c>
      <c r="B1728" s="62">
        <v>7</v>
      </c>
      <c r="C1728" s="62" t="s">
        <v>6</v>
      </c>
      <c r="D1728" s="62" t="s">
        <v>3</v>
      </c>
      <c r="E1728" s="62">
        <v>201.732</v>
      </c>
      <c r="F1728" s="62">
        <v>81.86295</v>
      </c>
      <c r="I1728" s="62">
        <v>2023</v>
      </c>
      <c r="J1728" s="62">
        <v>2</v>
      </c>
      <c r="K1728" s="62" t="s">
        <v>18</v>
      </c>
      <c r="L1728" s="62" t="s">
        <v>2</v>
      </c>
      <c r="M1728" s="62">
        <v>697.452</v>
      </c>
      <c r="N1728" s="62">
        <v>453.3438</v>
      </c>
    </row>
    <row r="1729" spans="1:14">
      <c r="A1729" s="62">
        <v>2017</v>
      </c>
      <c r="B1729" s="62">
        <v>8</v>
      </c>
      <c r="C1729" s="62" t="s">
        <v>6</v>
      </c>
      <c r="D1729" s="62" t="s">
        <v>3</v>
      </c>
      <c r="E1729" s="62">
        <v>2255.3001</v>
      </c>
      <c r="F1729" s="62">
        <v>497.2272025</v>
      </c>
      <c r="I1729" s="62">
        <v>2023</v>
      </c>
      <c r="J1729" s="62">
        <v>3</v>
      </c>
      <c r="K1729" s="62" t="s">
        <v>18</v>
      </c>
      <c r="L1729" s="62" t="s">
        <v>2</v>
      </c>
      <c r="M1729" s="62">
        <v>430.07</v>
      </c>
      <c r="N1729" s="62">
        <v>279.5455</v>
      </c>
    </row>
    <row r="1730" spans="1:14">
      <c r="A1730" s="62">
        <v>2017</v>
      </c>
      <c r="B1730" s="62">
        <v>9</v>
      </c>
      <c r="C1730" s="62" t="s">
        <v>6</v>
      </c>
      <c r="D1730" s="62" t="s">
        <v>3</v>
      </c>
      <c r="E1730" s="62">
        <v>6807.0515</v>
      </c>
      <c r="F1730" s="62">
        <v>1489.9449375</v>
      </c>
      <c r="I1730" s="62">
        <v>2023</v>
      </c>
      <c r="J1730" s="62">
        <v>4</v>
      </c>
      <c r="K1730" s="62" t="s">
        <v>18</v>
      </c>
      <c r="L1730" s="62" t="s">
        <v>2</v>
      </c>
      <c r="M1730" s="62">
        <v>306.855</v>
      </c>
      <c r="N1730" s="62">
        <v>199.45575</v>
      </c>
    </row>
    <row r="1731" spans="1:14">
      <c r="A1731" s="62">
        <v>2017</v>
      </c>
      <c r="B1731" s="62">
        <v>10</v>
      </c>
      <c r="C1731" s="62" t="s">
        <v>6</v>
      </c>
      <c r="D1731" s="62" t="s">
        <v>3</v>
      </c>
      <c r="E1731" s="62">
        <v>1049.052</v>
      </c>
      <c r="F1731" s="62">
        <v>222.699025</v>
      </c>
      <c r="I1731" s="62">
        <v>2023</v>
      </c>
      <c r="J1731" s="62">
        <v>5</v>
      </c>
      <c r="K1731" s="62" t="s">
        <v>18</v>
      </c>
      <c r="L1731" s="62" t="s">
        <v>2</v>
      </c>
      <c r="M1731" s="62">
        <v>246.43</v>
      </c>
      <c r="N1731" s="62">
        <v>160.1795</v>
      </c>
    </row>
    <row r="1732" spans="1:14">
      <c r="A1732" s="62">
        <v>2017</v>
      </c>
      <c r="B1732" s="62">
        <v>11</v>
      </c>
      <c r="C1732" s="62" t="s">
        <v>6</v>
      </c>
      <c r="D1732" s="62" t="s">
        <v>3</v>
      </c>
      <c r="E1732" s="62">
        <v>646.439</v>
      </c>
      <c r="F1732" s="62">
        <v>225.79125</v>
      </c>
      <c r="I1732" s="62">
        <v>2023</v>
      </c>
      <c r="J1732" s="62">
        <v>6</v>
      </c>
      <c r="K1732" s="62" t="s">
        <v>18</v>
      </c>
      <c r="L1732" s="62" t="s">
        <v>2</v>
      </c>
      <c r="M1732" s="62">
        <v>47.075</v>
      </c>
      <c r="N1732" s="62">
        <v>30.59875</v>
      </c>
    </row>
    <row r="1733" spans="1:14">
      <c r="A1733" s="62">
        <v>2017</v>
      </c>
      <c r="B1733" s="62">
        <v>12</v>
      </c>
      <c r="C1733" s="62" t="s">
        <v>6</v>
      </c>
      <c r="D1733" s="62" t="s">
        <v>3</v>
      </c>
      <c r="E1733" s="62">
        <v>189.279</v>
      </c>
      <c r="F1733" s="62">
        <v>48.322075</v>
      </c>
      <c r="I1733" s="62">
        <v>2023</v>
      </c>
      <c r="J1733" s="62">
        <v>7</v>
      </c>
      <c r="K1733" s="62" t="s">
        <v>18</v>
      </c>
      <c r="L1733" s="62" t="s">
        <v>2</v>
      </c>
      <c r="M1733" s="62">
        <v>11.78</v>
      </c>
      <c r="N1733" s="62">
        <v>7.657</v>
      </c>
    </row>
    <row r="1734" spans="1:14">
      <c r="A1734" s="62">
        <v>2018</v>
      </c>
      <c r="B1734" s="62">
        <v>1</v>
      </c>
      <c r="C1734" s="62" t="s">
        <v>6</v>
      </c>
      <c r="D1734" s="62" t="s">
        <v>3</v>
      </c>
      <c r="E1734" s="62">
        <v>594.557</v>
      </c>
      <c r="F1734" s="62">
        <v>127.9114</v>
      </c>
      <c r="I1734" s="62">
        <v>2023</v>
      </c>
      <c r="J1734" s="62">
        <v>8</v>
      </c>
      <c r="K1734" s="62" t="s">
        <v>18</v>
      </c>
      <c r="L1734" s="62" t="s">
        <v>2</v>
      </c>
      <c r="M1734" s="62">
        <v>51.92</v>
      </c>
      <c r="N1734" s="62">
        <v>33.748</v>
      </c>
    </row>
    <row r="1735" spans="1:14">
      <c r="A1735" s="62">
        <v>2018</v>
      </c>
      <c r="B1735" s="62">
        <v>2</v>
      </c>
      <c r="C1735" s="62" t="s">
        <v>6</v>
      </c>
      <c r="D1735" s="62" t="s">
        <v>3</v>
      </c>
      <c r="E1735" s="62">
        <v>1217.1844</v>
      </c>
      <c r="F1735" s="62">
        <v>232.251155</v>
      </c>
      <c r="I1735" s="62">
        <v>2023</v>
      </c>
      <c r="J1735" s="62">
        <v>9</v>
      </c>
      <c r="K1735" s="62" t="s">
        <v>18</v>
      </c>
      <c r="L1735" s="62" t="s">
        <v>2</v>
      </c>
      <c r="M1735" s="62">
        <v>227.94</v>
      </c>
      <c r="N1735" s="62">
        <v>148.161</v>
      </c>
    </row>
    <row r="1736" spans="1:14">
      <c r="A1736" s="62">
        <v>2018</v>
      </c>
      <c r="B1736" s="62">
        <v>3</v>
      </c>
      <c r="C1736" s="62" t="s">
        <v>6</v>
      </c>
      <c r="D1736" s="62" t="s">
        <v>3</v>
      </c>
      <c r="E1736" s="62">
        <v>659.7172</v>
      </c>
      <c r="F1736" s="62">
        <v>148.46914</v>
      </c>
      <c r="I1736" s="62">
        <v>2023</v>
      </c>
      <c r="J1736" s="62">
        <v>10</v>
      </c>
      <c r="K1736" s="62" t="s">
        <v>18</v>
      </c>
      <c r="L1736" s="62" t="s">
        <v>2</v>
      </c>
      <c r="M1736" s="62">
        <v>456.27</v>
      </c>
      <c r="N1736" s="62">
        <v>296.5755</v>
      </c>
    </row>
    <row r="1737" spans="1:14">
      <c r="A1737" s="62">
        <v>2018</v>
      </c>
      <c r="B1737" s="62">
        <v>4</v>
      </c>
      <c r="C1737" s="62" t="s">
        <v>6</v>
      </c>
      <c r="D1737" s="62" t="s">
        <v>3</v>
      </c>
      <c r="E1737" s="62">
        <v>594.3625</v>
      </c>
      <c r="F1737" s="62">
        <v>147.7828625</v>
      </c>
      <c r="I1737" s="62">
        <v>2023</v>
      </c>
      <c r="J1737" s="62">
        <v>11</v>
      </c>
      <c r="K1737" s="62" t="s">
        <v>18</v>
      </c>
      <c r="L1737" s="62" t="s">
        <v>2</v>
      </c>
      <c r="M1737" s="62">
        <v>247.055</v>
      </c>
      <c r="N1737" s="62">
        <v>160.58575</v>
      </c>
    </row>
    <row r="1738" spans="1:14">
      <c r="A1738" s="62">
        <v>2018</v>
      </c>
      <c r="B1738" s="62">
        <v>5</v>
      </c>
      <c r="C1738" s="62" t="s">
        <v>6</v>
      </c>
      <c r="D1738" s="62" t="s">
        <v>3</v>
      </c>
      <c r="E1738" s="62">
        <v>486.6595</v>
      </c>
      <c r="F1738" s="62">
        <v>128.2706625</v>
      </c>
      <c r="I1738" s="62">
        <v>2023</v>
      </c>
      <c r="J1738" s="62">
        <v>12</v>
      </c>
      <c r="K1738" s="62" t="s">
        <v>18</v>
      </c>
      <c r="L1738" s="62" t="s">
        <v>2</v>
      </c>
      <c r="M1738" s="62">
        <v>56.9</v>
      </c>
      <c r="N1738" s="62">
        <v>36.985</v>
      </c>
    </row>
    <row r="1739" spans="1:14">
      <c r="A1739" s="62">
        <v>2018</v>
      </c>
      <c r="B1739" s="62">
        <v>6</v>
      </c>
      <c r="C1739" s="62" t="s">
        <v>6</v>
      </c>
      <c r="D1739" s="62" t="s">
        <v>3</v>
      </c>
      <c r="E1739" s="62">
        <v>293.859</v>
      </c>
      <c r="F1739" s="62">
        <v>105.4211</v>
      </c>
      <c r="I1739" s="62">
        <v>2024</v>
      </c>
      <c r="J1739" s="62">
        <v>1</v>
      </c>
      <c r="K1739" s="62" t="s">
        <v>18</v>
      </c>
      <c r="L1739" s="62" t="s">
        <v>2</v>
      </c>
      <c r="M1739" s="62">
        <v>186.004</v>
      </c>
      <c r="N1739" s="62">
        <v>120.9026</v>
      </c>
    </row>
    <row r="1740" spans="1:14">
      <c r="A1740" s="62">
        <v>2018</v>
      </c>
      <c r="B1740" s="62">
        <v>7</v>
      </c>
      <c r="C1740" s="62" t="s">
        <v>6</v>
      </c>
      <c r="D1740" s="62" t="s">
        <v>3</v>
      </c>
      <c r="E1740" s="62">
        <v>731.577</v>
      </c>
      <c r="F1740" s="62">
        <v>175.339</v>
      </c>
      <c r="I1740" s="62">
        <v>2024</v>
      </c>
      <c r="J1740" s="62">
        <v>2</v>
      </c>
      <c r="K1740" s="62" t="s">
        <v>18</v>
      </c>
      <c r="L1740" s="62" t="s">
        <v>2</v>
      </c>
      <c r="M1740" s="62">
        <v>437.494</v>
      </c>
      <c r="N1740" s="62">
        <v>284.3711</v>
      </c>
    </row>
    <row r="1741" spans="1:14">
      <c r="A1741" s="62">
        <v>2018</v>
      </c>
      <c r="B1741" s="62">
        <v>8</v>
      </c>
      <c r="C1741" s="62" t="s">
        <v>6</v>
      </c>
      <c r="D1741" s="62" t="s">
        <v>3</v>
      </c>
      <c r="E1741" s="62">
        <v>434.395</v>
      </c>
      <c r="F1741" s="62">
        <v>86.5577</v>
      </c>
      <c r="I1741" s="62">
        <v>2024</v>
      </c>
      <c r="J1741" s="62">
        <v>3</v>
      </c>
      <c r="K1741" s="62" t="s">
        <v>18</v>
      </c>
      <c r="L1741" s="62" t="s">
        <v>2</v>
      </c>
      <c r="M1741" s="62">
        <v>390.383</v>
      </c>
      <c r="N1741" s="62">
        <v>253.74895</v>
      </c>
    </row>
    <row r="1742" spans="1:14">
      <c r="A1742" s="62">
        <v>2018</v>
      </c>
      <c r="B1742" s="62">
        <v>9</v>
      </c>
      <c r="C1742" s="62" t="s">
        <v>6</v>
      </c>
      <c r="D1742" s="62" t="s">
        <v>3</v>
      </c>
      <c r="E1742" s="62">
        <v>516.9677</v>
      </c>
      <c r="F1742" s="62">
        <v>77.55568</v>
      </c>
      <c r="I1742" s="62">
        <v>2024</v>
      </c>
      <c r="J1742" s="62">
        <v>4</v>
      </c>
      <c r="K1742" s="62" t="s">
        <v>18</v>
      </c>
      <c r="L1742" s="62" t="s">
        <v>2</v>
      </c>
      <c r="M1742" s="62">
        <v>243.265</v>
      </c>
      <c r="N1742" s="62">
        <v>158.12225</v>
      </c>
    </row>
    <row r="1743" spans="1:14">
      <c r="A1743" s="62">
        <v>2018</v>
      </c>
      <c r="B1743" s="62">
        <v>10</v>
      </c>
      <c r="C1743" s="62" t="s">
        <v>6</v>
      </c>
      <c r="D1743" s="62" t="s">
        <v>3</v>
      </c>
      <c r="E1743" s="62">
        <v>216.834</v>
      </c>
      <c r="F1743" s="62">
        <v>45.10775</v>
      </c>
      <c r="I1743" s="62">
        <v>2024</v>
      </c>
      <c r="J1743" s="62">
        <v>5</v>
      </c>
      <c r="K1743" s="62" t="s">
        <v>18</v>
      </c>
      <c r="L1743" s="62" t="s">
        <v>2</v>
      </c>
      <c r="M1743" s="62">
        <v>149.24</v>
      </c>
      <c r="N1743" s="62">
        <v>97.006</v>
      </c>
    </row>
    <row r="1744" spans="1:14">
      <c r="A1744" s="62">
        <v>2018</v>
      </c>
      <c r="B1744" s="62">
        <v>11</v>
      </c>
      <c r="C1744" s="62" t="s">
        <v>6</v>
      </c>
      <c r="D1744" s="62" t="s">
        <v>3</v>
      </c>
      <c r="E1744" s="62">
        <v>179.602</v>
      </c>
      <c r="F1744" s="62">
        <v>30.9991</v>
      </c>
      <c r="I1744" s="62">
        <v>2024</v>
      </c>
      <c r="J1744" s="62">
        <v>6</v>
      </c>
      <c r="K1744" s="62" t="s">
        <v>18</v>
      </c>
      <c r="L1744" s="62" t="s">
        <v>2</v>
      </c>
      <c r="M1744" s="62">
        <v>201.7</v>
      </c>
      <c r="N1744" s="62">
        <v>131.105</v>
      </c>
    </row>
    <row r="1745" spans="1:14">
      <c r="A1745" s="62">
        <v>2018</v>
      </c>
      <c r="B1745" s="62">
        <v>12</v>
      </c>
      <c r="C1745" s="62" t="s">
        <v>6</v>
      </c>
      <c r="D1745" s="62" t="s">
        <v>3</v>
      </c>
      <c r="E1745" s="62">
        <v>205.022</v>
      </c>
      <c r="F1745" s="62">
        <v>40.258</v>
      </c>
      <c r="I1745" s="62">
        <v>2024</v>
      </c>
      <c r="J1745" s="62">
        <v>7</v>
      </c>
      <c r="K1745" s="62" t="s">
        <v>18</v>
      </c>
      <c r="L1745" s="62" t="s">
        <v>2</v>
      </c>
      <c r="M1745" s="62">
        <v>47.11</v>
      </c>
      <c r="N1745" s="62">
        <v>30.6215</v>
      </c>
    </row>
    <row r="1746" spans="1:14">
      <c r="A1746" s="62">
        <v>2019</v>
      </c>
      <c r="B1746" s="62">
        <v>1</v>
      </c>
      <c r="C1746" s="62" t="s">
        <v>6</v>
      </c>
      <c r="D1746" s="62" t="s">
        <v>3</v>
      </c>
      <c r="E1746" s="62">
        <v>1242.0198</v>
      </c>
      <c r="F1746" s="62">
        <v>385.22911</v>
      </c>
      <c r="I1746" s="62">
        <v>2024</v>
      </c>
      <c r="J1746" s="62">
        <v>8</v>
      </c>
      <c r="K1746" s="62" t="s">
        <v>18</v>
      </c>
      <c r="L1746" s="62" t="s">
        <v>2</v>
      </c>
      <c r="M1746" s="62">
        <v>135.895</v>
      </c>
      <c r="N1746" s="62">
        <v>88.33175</v>
      </c>
    </row>
    <row r="1747" spans="1:14">
      <c r="A1747" s="62">
        <v>2019</v>
      </c>
      <c r="B1747" s="62">
        <v>2</v>
      </c>
      <c r="C1747" s="62" t="s">
        <v>6</v>
      </c>
      <c r="D1747" s="62" t="s">
        <v>3</v>
      </c>
      <c r="E1747" s="62">
        <v>1509.8606</v>
      </c>
      <c r="F1747" s="62">
        <v>375.45013</v>
      </c>
      <c r="I1747" s="62">
        <v>2024</v>
      </c>
      <c r="J1747" s="62">
        <v>9</v>
      </c>
      <c r="K1747" s="62" t="s">
        <v>18</v>
      </c>
      <c r="L1747" s="62" t="s">
        <v>2</v>
      </c>
      <c r="M1747" s="62">
        <v>351.134</v>
      </c>
      <c r="N1747" s="62">
        <v>228.2371</v>
      </c>
    </row>
    <row r="1748" spans="1:14">
      <c r="A1748" s="62">
        <v>2019</v>
      </c>
      <c r="B1748" s="62">
        <v>3</v>
      </c>
      <c r="C1748" s="62" t="s">
        <v>6</v>
      </c>
      <c r="D1748" s="62" t="s">
        <v>3</v>
      </c>
      <c r="E1748" s="62">
        <v>1123.988</v>
      </c>
      <c r="F1748" s="62">
        <v>330.240175</v>
      </c>
      <c r="I1748" s="62">
        <v>2024</v>
      </c>
      <c r="J1748" s="62">
        <v>10</v>
      </c>
      <c r="K1748" s="62" t="s">
        <v>18</v>
      </c>
      <c r="L1748" s="62" t="s">
        <v>2</v>
      </c>
      <c r="M1748" s="62">
        <v>332.145</v>
      </c>
      <c r="N1748" s="62">
        <v>215.89425</v>
      </c>
    </row>
    <row r="1749" spans="1:14">
      <c r="A1749" s="62">
        <v>2019</v>
      </c>
      <c r="B1749" s="62">
        <v>4</v>
      </c>
      <c r="C1749" s="62" t="s">
        <v>6</v>
      </c>
      <c r="D1749" s="62" t="s">
        <v>3</v>
      </c>
      <c r="E1749" s="62">
        <v>790.886</v>
      </c>
      <c r="F1749" s="62">
        <v>223.53855</v>
      </c>
      <c r="I1749" s="62">
        <v>2024</v>
      </c>
      <c r="J1749" s="62">
        <v>11</v>
      </c>
      <c r="K1749" s="62" t="s">
        <v>18</v>
      </c>
      <c r="L1749" s="62" t="s">
        <v>2</v>
      </c>
      <c r="M1749" s="62">
        <v>125.716</v>
      </c>
      <c r="N1749" s="62">
        <v>81.7154</v>
      </c>
    </row>
    <row r="1750" spans="1:14">
      <c r="A1750" s="62">
        <v>2019</v>
      </c>
      <c r="B1750" s="62">
        <v>5</v>
      </c>
      <c r="C1750" s="62" t="s">
        <v>6</v>
      </c>
      <c r="D1750" s="62" t="s">
        <v>3</v>
      </c>
      <c r="E1750" s="62">
        <v>615.1030000000001</v>
      </c>
      <c r="F1750" s="62">
        <v>154.53835</v>
      </c>
      <c r="I1750" s="62">
        <v>2024</v>
      </c>
      <c r="J1750" s="62">
        <v>12</v>
      </c>
      <c r="K1750" s="62" t="s">
        <v>18</v>
      </c>
      <c r="L1750" s="62" t="s">
        <v>2</v>
      </c>
      <c r="M1750" s="62">
        <v>13.65</v>
      </c>
      <c r="N1750" s="62">
        <v>8.8725</v>
      </c>
    </row>
    <row r="1751" spans="1:14">
      <c r="A1751" s="62">
        <v>2019</v>
      </c>
      <c r="B1751" s="62">
        <v>6</v>
      </c>
      <c r="C1751" s="62" t="s">
        <v>6</v>
      </c>
      <c r="D1751" s="62" t="s">
        <v>3</v>
      </c>
      <c r="E1751" s="62">
        <v>580.543</v>
      </c>
      <c r="F1751" s="62">
        <v>129.9127</v>
      </c>
      <c r="I1751" s="62">
        <v>2025</v>
      </c>
      <c r="J1751" s="62">
        <v>1</v>
      </c>
      <c r="K1751" s="62" t="s">
        <v>18</v>
      </c>
      <c r="L1751" s="62" t="s">
        <v>2</v>
      </c>
      <c r="M1751" s="62">
        <v>150.66</v>
      </c>
      <c r="N1751" s="62">
        <v>97.929</v>
      </c>
    </row>
    <row r="1752" spans="1:14">
      <c r="A1752" s="62">
        <v>2019</v>
      </c>
      <c r="B1752" s="62">
        <v>7</v>
      </c>
      <c r="C1752" s="62" t="s">
        <v>6</v>
      </c>
      <c r="D1752" s="62" t="s">
        <v>3</v>
      </c>
      <c r="E1752" s="62">
        <v>649.6976</v>
      </c>
      <c r="F1752" s="62">
        <v>213.6417275</v>
      </c>
      <c r="I1752" s="62">
        <v>2025</v>
      </c>
      <c r="J1752" s="62">
        <v>2</v>
      </c>
      <c r="K1752" s="62" t="s">
        <v>18</v>
      </c>
      <c r="L1752" s="62" t="s">
        <v>2</v>
      </c>
      <c r="M1752" s="62">
        <v>209.57</v>
      </c>
      <c r="N1752" s="62">
        <v>136.2205</v>
      </c>
    </row>
    <row r="1753" spans="1:14">
      <c r="A1753" s="62">
        <v>2019</v>
      </c>
      <c r="B1753" s="62">
        <v>8</v>
      </c>
      <c r="C1753" s="62" t="s">
        <v>6</v>
      </c>
      <c r="D1753" s="62" t="s">
        <v>3</v>
      </c>
      <c r="E1753" s="62">
        <v>383.5833</v>
      </c>
      <c r="F1753" s="62">
        <v>142.6267625</v>
      </c>
      <c r="I1753" s="62">
        <v>2025</v>
      </c>
      <c r="J1753" s="62">
        <v>3</v>
      </c>
      <c r="K1753" s="62" t="s">
        <v>18</v>
      </c>
      <c r="L1753" s="62" t="s">
        <v>2</v>
      </c>
      <c r="M1753" s="62">
        <v>240.735</v>
      </c>
      <c r="N1753" s="62">
        <v>156.47775</v>
      </c>
    </row>
    <row r="1754" spans="1:14">
      <c r="A1754" s="62">
        <v>2019</v>
      </c>
      <c r="B1754" s="62">
        <v>9</v>
      </c>
      <c r="C1754" s="62" t="s">
        <v>6</v>
      </c>
      <c r="D1754" s="62" t="s">
        <v>3</v>
      </c>
      <c r="E1754" s="62">
        <v>1104.053</v>
      </c>
      <c r="F1754" s="62">
        <v>254.953825</v>
      </c>
      <c r="I1754" s="62">
        <v>2025</v>
      </c>
      <c r="J1754" s="62">
        <v>4</v>
      </c>
      <c r="K1754" s="62" t="s">
        <v>18</v>
      </c>
      <c r="L1754" s="62" t="s">
        <v>2</v>
      </c>
      <c r="M1754" s="62">
        <v>331.825</v>
      </c>
      <c r="N1754" s="62">
        <v>215.68625</v>
      </c>
    </row>
    <row r="1755" spans="1:14">
      <c r="A1755" s="62">
        <v>2019</v>
      </c>
      <c r="B1755" s="62">
        <v>10</v>
      </c>
      <c r="C1755" s="62" t="s">
        <v>6</v>
      </c>
      <c r="D1755" s="62" t="s">
        <v>3</v>
      </c>
      <c r="E1755" s="62">
        <v>972.3249</v>
      </c>
      <c r="F1755" s="62">
        <v>234.5671575</v>
      </c>
      <c r="I1755" s="62">
        <v>2025</v>
      </c>
      <c r="J1755" s="62">
        <v>5</v>
      </c>
      <c r="K1755" s="62" t="s">
        <v>18</v>
      </c>
      <c r="L1755" s="62" t="s">
        <v>2</v>
      </c>
      <c r="M1755" s="62">
        <v>171.93</v>
      </c>
      <c r="N1755" s="62">
        <v>111.7545</v>
      </c>
    </row>
    <row r="1756" spans="1:14">
      <c r="A1756" s="62">
        <v>2019</v>
      </c>
      <c r="B1756" s="62">
        <v>11</v>
      </c>
      <c r="C1756" s="62" t="s">
        <v>6</v>
      </c>
      <c r="D1756" s="62" t="s">
        <v>3</v>
      </c>
      <c r="E1756" s="62">
        <v>600.5120000000001</v>
      </c>
      <c r="F1756" s="62">
        <v>164.7177</v>
      </c>
      <c r="I1756" s="62">
        <v>2025</v>
      </c>
      <c r="J1756" s="62">
        <v>6</v>
      </c>
      <c r="K1756" s="62" t="s">
        <v>18</v>
      </c>
      <c r="L1756" s="62" t="s">
        <v>2</v>
      </c>
      <c r="M1756" s="62">
        <v>20.97</v>
      </c>
      <c r="N1756" s="62">
        <v>13.6305</v>
      </c>
    </row>
    <row r="1757" spans="1:14">
      <c r="A1757" s="62">
        <v>2019</v>
      </c>
      <c r="B1757" s="62">
        <v>12</v>
      </c>
      <c r="C1757" s="62" t="s">
        <v>6</v>
      </c>
      <c r="D1757" s="62" t="s">
        <v>3</v>
      </c>
      <c r="E1757" s="62">
        <v>299.2284</v>
      </c>
      <c r="F1757" s="62">
        <v>73.205735</v>
      </c>
      <c r="I1757" s="62">
        <v>2025</v>
      </c>
      <c r="J1757" s="62">
        <v>7</v>
      </c>
      <c r="K1757" s="62" t="s">
        <v>18</v>
      </c>
      <c r="L1757" s="62" t="s">
        <v>2</v>
      </c>
      <c r="M1757" s="62">
        <v>15.15</v>
      </c>
      <c r="N1757" s="62">
        <v>9.8475</v>
      </c>
    </row>
    <row r="1758" spans="1:14">
      <c r="A1758" s="62">
        <v>2020</v>
      </c>
      <c r="B1758" s="62">
        <v>1</v>
      </c>
      <c r="C1758" s="62" t="s">
        <v>6</v>
      </c>
      <c r="D1758" s="62" t="s">
        <v>3</v>
      </c>
      <c r="E1758" s="62">
        <v>597.78</v>
      </c>
      <c r="F1758" s="62">
        <v>176.53</v>
      </c>
      <c r="I1758" s="62">
        <v>2025</v>
      </c>
      <c r="J1758" s="62">
        <v>8</v>
      </c>
      <c r="K1758" s="62" t="s">
        <v>18</v>
      </c>
      <c r="L1758" s="62" t="s">
        <v>2</v>
      </c>
      <c r="M1758" s="62">
        <v>92.02000000000001</v>
      </c>
      <c r="N1758" s="62">
        <v>59.813</v>
      </c>
    </row>
    <row r="1759" spans="1:14">
      <c r="A1759" s="62">
        <v>2020</v>
      </c>
      <c r="B1759" s="62">
        <v>2</v>
      </c>
      <c r="C1759" s="62" t="s">
        <v>6</v>
      </c>
      <c r="D1759" s="62" t="s">
        <v>3</v>
      </c>
      <c r="E1759" s="62">
        <v>1124.705</v>
      </c>
      <c r="F1759" s="62">
        <v>412.676</v>
      </c>
      <c r="I1759" s="62">
        <v>2025</v>
      </c>
      <c r="J1759" s="62">
        <v>9</v>
      </c>
      <c r="K1759" s="62" t="s">
        <v>18</v>
      </c>
      <c r="L1759" s="62" t="s">
        <v>2</v>
      </c>
      <c r="M1759" s="62">
        <v>212.12</v>
      </c>
      <c r="N1759" s="62">
        <v>137.878</v>
      </c>
    </row>
    <row r="1760" spans="1:14">
      <c r="A1760" s="62">
        <v>2020</v>
      </c>
      <c r="B1760" s="62">
        <v>3</v>
      </c>
      <c r="C1760" s="62" t="s">
        <v>6</v>
      </c>
      <c r="D1760" s="62" t="s">
        <v>3</v>
      </c>
      <c r="E1760" s="62">
        <v>1597.1479</v>
      </c>
      <c r="F1760" s="62">
        <v>483.47475</v>
      </c>
      <c r="I1760" s="62">
        <v>2025</v>
      </c>
      <c r="J1760" s="62">
        <v>10</v>
      </c>
      <c r="K1760" s="62" t="s">
        <v>18</v>
      </c>
      <c r="L1760" s="62" t="s">
        <v>2</v>
      </c>
      <c r="M1760" s="62">
        <v>383.45</v>
      </c>
      <c r="N1760" s="62">
        <v>249.2425</v>
      </c>
    </row>
    <row r="1761" spans="1:14">
      <c r="A1761" s="62">
        <v>2020</v>
      </c>
      <c r="B1761" s="62">
        <v>4</v>
      </c>
      <c r="C1761" s="62" t="s">
        <v>6</v>
      </c>
      <c r="D1761" s="62" t="s">
        <v>3</v>
      </c>
      <c r="E1761" s="62">
        <v>6557.9465</v>
      </c>
      <c r="F1761" s="62">
        <v>1530.2374075</v>
      </c>
      <c r="I1761" s="62">
        <v>2025</v>
      </c>
      <c r="J1761" s="62">
        <v>11</v>
      </c>
      <c r="K1761" s="62" t="s">
        <v>18</v>
      </c>
      <c r="L1761" s="62" t="s">
        <v>2</v>
      </c>
      <c r="M1761" s="62">
        <v>230.25</v>
      </c>
      <c r="N1761" s="62">
        <v>149.6625</v>
      </c>
    </row>
    <row r="1762" spans="1:14">
      <c r="A1762" s="62">
        <v>2020</v>
      </c>
      <c r="B1762" s="62">
        <v>5</v>
      </c>
      <c r="C1762" s="62" t="s">
        <v>6</v>
      </c>
      <c r="D1762" s="62" t="s">
        <v>3</v>
      </c>
      <c r="E1762" s="62">
        <v>6485.9088</v>
      </c>
      <c r="F1762" s="62">
        <v>1520.70411</v>
      </c>
      <c r="I1762" s="62">
        <v>2026</v>
      </c>
      <c r="J1762" s="62">
        <v>1</v>
      </c>
      <c r="K1762" s="62" t="s">
        <v>18</v>
      </c>
      <c r="L1762" s="62" t="s">
        <v>2</v>
      </c>
      <c r="M1762" s="62">
        <v>168.25</v>
      </c>
      <c r="N1762" s="62">
        <v>109.3625</v>
      </c>
    </row>
    <row r="1763" spans="1:14">
      <c r="A1763" s="62">
        <v>2020</v>
      </c>
      <c r="B1763" s="62">
        <v>6</v>
      </c>
      <c r="C1763" s="62" t="s">
        <v>6</v>
      </c>
      <c r="D1763" s="62" t="s">
        <v>3</v>
      </c>
      <c r="E1763" s="62">
        <v>6384.7919</v>
      </c>
      <c r="F1763" s="62">
        <v>1553.8491075</v>
      </c>
      <c r="I1763" s="62">
        <v>2026</v>
      </c>
      <c r="J1763" s="62">
        <v>2</v>
      </c>
      <c r="K1763" s="62" t="s">
        <v>18</v>
      </c>
      <c r="L1763" s="62" t="s">
        <v>2</v>
      </c>
      <c r="M1763" s="62">
        <v>303.52</v>
      </c>
      <c r="N1763" s="62">
        <v>197.288</v>
      </c>
    </row>
    <row r="1764" spans="1:14">
      <c r="A1764" s="62">
        <v>2020</v>
      </c>
      <c r="B1764" s="62">
        <v>7</v>
      </c>
      <c r="C1764" s="62" t="s">
        <v>6</v>
      </c>
      <c r="D1764" s="62" t="s">
        <v>3</v>
      </c>
      <c r="E1764" s="62">
        <v>6237.5859</v>
      </c>
      <c r="F1764" s="62">
        <v>1470.51627</v>
      </c>
      <c r="I1764" s="62">
        <v>2026</v>
      </c>
      <c r="J1764" s="62">
        <v>3</v>
      </c>
      <c r="K1764" s="62" t="s">
        <v>18</v>
      </c>
      <c r="L1764" s="62" t="s">
        <v>2</v>
      </c>
      <c r="M1764" s="62">
        <v>199.243</v>
      </c>
      <c r="N1764" s="62">
        <v>129.50795</v>
      </c>
    </row>
    <row r="1765" spans="1:14">
      <c r="A1765" s="62">
        <v>2020</v>
      </c>
      <c r="B1765" s="62">
        <v>8</v>
      </c>
      <c r="C1765" s="62" t="s">
        <v>6</v>
      </c>
      <c r="D1765" s="62" t="s">
        <v>3</v>
      </c>
      <c r="E1765" s="62">
        <v>7667.5136</v>
      </c>
      <c r="F1765" s="62">
        <v>1663.94371</v>
      </c>
      <c r="I1765" s="62">
        <v>2026</v>
      </c>
      <c r="J1765" s="62">
        <v>4</v>
      </c>
      <c r="K1765" s="62" t="s">
        <v>18</v>
      </c>
      <c r="L1765" s="62" t="s">
        <v>2</v>
      </c>
      <c r="M1765" s="62">
        <v>135.45</v>
      </c>
      <c r="N1765" s="62">
        <v>88.0425</v>
      </c>
    </row>
    <row r="1766" spans="1:14">
      <c r="A1766" s="62">
        <v>2020</v>
      </c>
      <c r="B1766" s="62">
        <v>9</v>
      </c>
      <c r="C1766" s="62" t="s">
        <v>6</v>
      </c>
      <c r="D1766" s="62" t="s">
        <v>3</v>
      </c>
      <c r="E1766" s="62">
        <v>8835.651599999999</v>
      </c>
      <c r="F1766" s="62">
        <v>1965.327665</v>
      </c>
      <c r="I1766" s="62">
        <v>2026</v>
      </c>
      <c r="J1766" s="62">
        <v>5</v>
      </c>
      <c r="K1766" s="62" t="s">
        <v>18</v>
      </c>
      <c r="L1766" s="62" t="s">
        <v>2</v>
      </c>
      <c r="M1766" s="62">
        <v>32.069</v>
      </c>
      <c r="N1766" s="62">
        <v>20.84485</v>
      </c>
    </row>
    <row r="1767" spans="1:14">
      <c r="A1767" s="62">
        <v>2020</v>
      </c>
      <c r="B1767" s="62">
        <v>10</v>
      </c>
      <c r="C1767" s="62" t="s">
        <v>6</v>
      </c>
      <c r="D1767" s="62" t="s">
        <v>3</v>
      </c>
      <c r="E1767" s="62">
        <v>7989.0056</v>
      </c>
      <c r="F1767" s="62">
        <v>1791.6119125</v>
      </c>
      <c r="I1767" s="62">
        <v>2026</v>
      </c>
      <c r="J1767" s="62">
        <v>9</v>
      </c>
      <c r="K1767" s="62" t="s">
        <v>18</v>
      </c>
      <c r="L1767" s="62" t="s">
        <v>2</v>
      </c>
      <c r="M1767" s="62">
        <v>68.93000000000001</v>
      </c>
      <c r="N1767" s="62">
        <v>44.8045</v>
      </c>
    </row>
    <row r="1768" spans="1:14">
      <c r="A1768" s="62">
        <v>2020</v>
      </c>
      <c r="B1768" s="62">
        <v>11</v>
      </c>
      <c r="C1768" s="62" t="s">
        <v>6</v>
      </c>
      <c r="D1768" s="62" t="s">
        <v>3</v>
      </c>
      <c r="E1768" s="62">
        <v>6473.1816</v>
      </c>
      <c r="F1768" s="62">
        <v>1443.5595725</v>
      </c>
      <c r="I1768" s="62">
        <v>2026</v>
      </c>
      <c r="J1768" s="62">
        <v>10</v>
      </c>
      <c r="K1768" s="62" t="s">
        <v>18</v>
      </c>
      <c r="L1768" s="62" t="s">
        <v>2</v>
      </c>
      <c r="M1768" s="62">
        <v>189.01</v>
      </c>
      <c r="N1768" s="62">
        <v>122.8565</v>
      </c>
    </row>
    <row r="1769" spans="1:14">
      <c r="A1769" s="62">
        <v>2020</v>
      </c>
      <c r="B1769" s="62">
        <v>12</v>
      </c>
      <c r="C1769" s="62" t="s">
        <v>6</v>
      </c>
      <c r="D1769" s="62" t="s">
        <v>3</v>
      </c>
      <c r="E1769" s="62">
        <v>6232.0791</v>
      </c>
      <c r="F1769" s="62">
        <v>1403.9620675</v>
      </c>
      <c r="I1769" s="62">
        <v>2026</v>
      </c>
      <c r="J1769" s="62">
        <v>11</v>
      </c>
      <c r="K1769" s="62" t="s">
        <v>18</v>
      </c>
      <c r="L1769" s="62" t="s">
        <v>2</v>
      </c>
      <c r="M1769" s="62">
        <v>127.225</v>
      </c>
      <c r="N1769" s="62">
        <v>82.69625000000001</v>
      </c>
    </row>
    <row r="1770" spans="1:14">
      <c r="A1770" s="62">
        <v>2021</v>
      </c>
      <c r="B1770" s="62">
        <v>1</v>
      </c>
      <c r="C1770" s="62" t="s">
        <v>6</v>
      </c>
      <c r="D1770" s="62" t="s">
        <v>3</v>
      </c>
      <c r="E1770" s="62">
        <v>6195.5132</v>
      </c>
      <c r="F1770" s="62">
        <v>1439.2854</v>
      </c>
      <c r="I1770" s="62">
        <v>2026</v>
      </c>
      <c r="J1770" s="62">
        <v>12</v>
      </c>
      <c r="K1770" s="62" t="s">
        <v>18</v>
      </c>
      <c r="L1770" s="62" t="s">
        <v>2</v>
      </c>
      <c r="M1770" s="62">
        <v>4.8</v>
      </c>
      <c r="N1770" s="62">
        <v>3.12</v>
      </c>
    </row>
    <row r="1771" spans="1:14">
      <c r="A1771" s="62">
        <v>2021</v>
      </c>
      <c r="B1771" s="62">
        <v>2</v>
      </c>
      <c r="C1771" s="62" t="s">
        <v>6</v>
      </c>
      <c r="D1771" s="62" t="s">
        <v>3</v>
      </c>
      <c r="E1771" s="62">
        <v>10702.2657</v>
      </c>
      <c r="F1771" s="62">
        <v>2541.0157075</v>
      </c>
      <c r="I1771" s="62">
        <v>2027</v>
      </c>
      <c r="J1771" s="62">
        <v>1</v>
      </c>
      <c r="K1771" s="62" t="s">
        <v>18</v>
      </c>
      <c r="L1771" s="62" t="s">
        <v>2</v>
      </c>
      <c r="M1771" s="62">
        <v>250.98</v>
      </c>
      <c r="N1771" s="62">
        <v>163.137</v>
      </c>
    </row>
    <row r="1772" spans="1:14">
      <c r="A1772" s="62">
        <v>2021</v>
      </c>
      <c r="B1772" s="62">
        <v>3</v>
      </c>
      <c r="C1772" s="62" t="s">
        <v>6</v>
      </c>
      <c r="D1772" s="62" t="s">
        <v>3</v>
      </c>
      <c r="E1772" s="62">
        <v>6767.9547</v>
      </c>
      <c r="F1772" s="62">
        <v>1578.708185</v>
      </c>
      <c r="I1772" s="62">
        <v>2027</v>
      </c>
      <c r="J1772" s="62">
        <v>2</v>
      </c>
      <c r="K1772" s="62" t="s">
        <v>18</v>
      </c>
      <c r="L1772" s="62" t="s">
        <v>2</v>
      </c>
      <c r="M1772" s="62">
        <v>450.5215</v>
      </c>
      <c r="N1772" s="62">
        <v>292.838975</v>
      </c>
    </row>
    <row r="1773" spans="1:14">
      <c r="A1773" s="62">
        <v>2021</v>
      </c>
      <c r="B1773" s="62">
        <v>4</v>
      </c>
      <c r="C1773" s="62" t="s">
        <v>6</v>
      </c>
      <c r="D1773" s="62" t="s">
        <v>3</v>
      </c>
      <c r="E1773" s="62">
        <v>2663.4042</v>
      </c>
      <c r="F1773" s="62">
        <v>676.32663</v>
      </c>
      <c r="I1773" s="62">
        <v>2027</v>
      </c>
      <c r="J1773" s="62">
        <v>3</v>
      </c>
      <c r="K1773" s="62" t="s">
        <v>18</v>
      </c>
      <c r="L1773" s="62" t="s">
        <v>2</v>
      </c>
      <c r="M1773" s="62">
        <v>447.892</v>
      </c>
      <c r="N1773" s="62">
        <v>291.1298</v>
      </c>
    </row>
    <row r="1774" spans="1:14">
      <c r="A1774" s="62">
        <v>2021</v>
      </c>
      <c r="B1774" s="62">
        <v>5</v>
      </c>
      <c r="C1774" s="62" t="s">
        <v>6</v>
      </c>
      <c r="D1774" s="62" t="s">
        <v>3</v>
      </c>
      <c r="E1774" s="62">
        <v>611.5866</v>
      </c>
      <c r="F1774" s="62">
        <v>155.84369</v>
      </c>
      <c r="I1774" s="62">
        <v>2027</v>
      </c>
      <c r="J1774" s="62">
        <v>4</v>
      </c>
      <c r="K1774" s="62" t="s">
        <v>18</v>
      </c>
      <c r="L1774" s="62" t="s">
        <v>2</v>
      </c>
      <c r="M1774" s="62">
        <v>245.515</v>
      </c>
      <c r="N1774" s="62">
        <v>159.58475</v>
      </c>
    </row>
    <row r="1775" spans="1:14">
      <c r="A1775" s="62">
        <v>2021</v>
      </c>
      <c r="B1775" s="62">
        <v>6</v>
      </c>
      <c r="C1775" s="62" t="s">
        <v>6</v>
      </c>
      <c r="D1775" s="62" t="s">
        <v>3</v>
      </c>
      <c r="E1775" s="62">
        <v>751.0629</v>
      </c>
      <c r="F1775" s="62">
        <v>194.4171325</v>
      </c>
      <c r="I1775" s="62">
        <v>2027</v>
      </c>
      <c r="J1775" s="62">
        <v>5</v>
      </c>
      <c r="K1775" s="62" t="s">
        <v>18</v>
      </c>
      <c r="L1775" s="62" t="s">
        <v>2</v>
      </c>
      <c r="M1775" s="62">
        <v>92.88</v>
      </c>
      <c r="N1775" s="62">
        <v>60.37200000000001</v>
      </c>
    </row>
    <row r="1776" spans="1:14">
      <c r="A1776" s="62">
        <v>2021</v>
      </c>
      <c r="B1776" s="62">
        <v>7</v>
      </c>
      <c r="C1776" s="62" t="s">
        <v>6</v>
      </c>
      <c r="D1776" s="62" t="s">
        <v>3</v>
      </c>
      <c r="E1776" s="62">
        <v>727.175</v>
      </c>
      <c r="F1776" s="62">
        <v>271.017625</v>
      </c>
      <c r="I1776" s="62">
        <v>2027</v>
      </c>
      <c r="J1776" s="62">
        <v>6</v>
      </c>
      <c r="K1776" s="62" t="s">
        <v>18</v>
      </c>
      <c r="L1776" s="62" t="s">
        <v>2</v>
      </c>
      <c r="M1776" s="62">
        <v>68.255</v>
      </c>
      <c r="N1776" s="62">
        <v>44.36575000000001</v>
      </c>
    </row>
    <row r="1777" spans="1:14">
      <c r="A1777" s="62">
        <v>2021</v>
      </c>
      <c r="B1777" s="62">
        <v>8</v>
      </c>
      <c r="C1777" s="62" t="s">
        <v>6</v>
      </c>
      <c r="D1777" s="62" t="s">
        <v>3</v>
      </c>
      <c r="E1777" s="62">
        <v>1698.8892</v>
      </c>
      <c r="F1777" s="62">
        <v>456.423955</v>
      </c>
      <c r="I1777" s="62">
        <v>2027</v>
      </c>
      <c r="J1777" s="62">
        <v>7</v>
      </c>
      <c r="K1777" s="62" t="s">
        <v>18</v>
      </c>
      <c r="L1777" s="62" t="s">
        <v>2</v>
      </c>
      <c r="M1777" s="62">
        <v>68</v>
      </c>
      <c r="N1777" s="62">
        <v>44.2</v>
      </c>
    </row>
    <row r="1778" spans="1:14">
      <c r="A1778" s="62">
        <v>2021</v>
      </c>
      <c r="B1778" s="62">
        <v>9</v>
      </c>
      <c r="C1778" s="62" t="s">
        <v>6</v>
      </c>
      <c r="D1778" s="62" t="s">
        <v>3</v>
      </c>
      <c r="E1778" s="62">
        <v>4486.845</v>
      </c>
      <c r="F1778" s="62">
        <v>1055.564675</v>
      </c>
      <c r="I1778" s="62">
        <v>2027</v>
      </c>
      <c r="J1778" s="62">
        <v>8</v>
      </c>
      <c r="K1778" s="62" t="s">
        <v>18</v>
      </c>
      <c r="L1778" s="62" t="s">
        <v>2</v>
      </c>
      <c r="M1778" s="62">
        <v>19.72</v>
      </c>
      <c r="N1778" s="62">
        <v>12.818</v>
      </c>
    </row>
    <row r="1779" spans="1:14">
      <c r="A1779" s="62">
        <v>2021</v>
      </c>
      <c r="B1779" s="62">
        <v>10</v>
      </c>
      <c r="C1779" s="62" t="s">
        <v>6</v>
      </c>
      <c r="D1779" s="62" t="s">
        <v>3</v>
      </c>
      <c r="E1779" s="62">
        <v>3131.195</v>
      </c>
      <c r="F1779" s="62">
        <v>815.8631</v>
      </c>
      <c r="I1779" s="62">
        <v>2027</v>
      </c>
      <c r="J1779" s="62">
        <v>9</v>
      </c>
      <c r="K1779" s="62" t="s">
        <v>18</v>
      </c>
      <c r="L1779" s="62" t="s">
        <v>2</v>
      </c>
      <c r="M1779" s="62">
        <v>176.274</v>
      </c>
      <c r="N1779" s="62">
        <v>114.5781</v>
      </c>
    </row>
    <row r="1780" spans="1:14">
      <c r="A1780" s="62">
        <v>2021</v>
      </c>
      <c r="B1780" s="62">
        <v>11</v>
      </c>
      <c r="C1780" s="62" t="s">
        <v>6</v>
      </c>
      <c r="D1780" s="62" t="s">
        <v>3</v>
      </c>
      <c r="E1780" s="62">
        <v>1926.456</v>
      </c>
      <c r="F1780" s="62">
        <v>443.63475</v>
      </c>
      <c r="I1780" s="62">
        <v>2027</v>
      </c>
      <c r="J1780" s="62">
        <v>10</v>
      </c>
      <c r="K1780" s="62" t="s">
        <v>18</v>
      </c>
      <c r="L1780" s="62" t="s">
        <v>2</v>
      </c>
      <c r="M1780" s="62">
        <v>189.624</v>
      </c>
      <c r="N1780" s="62">
        <v>123.2556</v>
      </c>
    </row>
    <row r="1781" spans="1:14">
      <c r="A1781" s="62">
        <v>2021</v>
      </c>
      <c r="B1781" s="62">
        <v>12</v>
      </c>
      <c r="C1781" s="62" t="s">
        <v>6</v>
      </c>
      <c r="D1781" s="62" t="s">
        <v>3</v>
      </c>
      <c r="E1781" s="62">
        <v>1290.8784</v>
      </c>
      <c r="F1781" s="62">
        <v>353.986145</v>
      </c>
      <c r="I1781" s="62">
        <v>2027</v>
      </c>
      <c r="J1781" s="62">
        <v>11</v>
      </c>
      <c r="K1781" s="62" t="s">
        <v>18</v>
      </c>
      <c r="L1781" s="62" t="s">
        <v>2</v>
      </c>
      <c r="M1781" s="62">
        <v>54.87</v>
      </c>
      <c r="N1781" s="62">
        <v>35.6655</v>
      </c>
    </row>
    <row r="1782" spans="1:14">
      <c r="A1782" s="62">
        <v>2022</v>
      </c>
      <c r="B1782" s="62">
        <v>1</v>
      </c>
      <c r="C1782" s="62" t="s">
        <v>6</v>
      </c>
      <c r="D1782" s="62" t="s">
        <v>3</v>
      </c>
      <c r="E1782" s="62">
        <v>1275.0234</v>
      </c>
      <c r="F1782" s="62">
        <v>427.81593</v>
      </c>
      <c r="I1782" s="62">
        <v>2014</v>
      </c>
      <c r="J1782" s="62">
        <v>1</v>
      </c>
      <c r="K1782" s="62" t="s">
        <v>18</v>
      </c>
      <c r="L1782" s="62" t="s">
        <v>3</v>
      </c>
      <c r="M1782" s="62">
        <v>136.225</v>
      </c>
      <c r="N1782" s="62">
        <v>88.54625</v>
      </c>
    </row>
    <row r="1783" spans="1:14">
      <c r="A1783" s="62">
        <v>2022</v>
      </c>
      <c r="B1783" s="62">
        <v>2</v>
      </c>
      <c r="C1783" s="62" t="s">
        <v>6</v>
      </c>
      <c r="D1783" s="62" t="s">
        <v>3</v>
      </c>
      <c r="E1783" s="62">
        <v>1905.946</v>
      </c>
      <c r="F1783" s="62">
        <v>433.56795</v>
      </c>
      <c r="I1783" s="62">
        <v>2014</v>
      </c>
      <c r="J1783" s="62">
        <v>2</v>
      </c>
      <c r="K1783" s="62" t="s">
        <v>18</v>
      </c>
      <c r="L1783" s="62" t="s">
        <v>3</v>
      </c>
      <c r="M1783" s="62">
        <v>110.558</v>
      </c>
      <c r="N1783" s="62">
        <v>71.8627</v>
      </c>
    </row>
    <row r="1784" spans="1:14">
      <c r="A1784" s="62">
        <v>2022</v>
      </c>
      <c r="B1784" s="62">
        <v>3</v>
      </c>
      <c r="C1784" s="62" t="s">
        <v>6</v>
      </c>
      <c r="D1784" s="62" t="s">
        <v>3</v>
      </c>
      <c r="E1784" s="62">
        <v>883.761</v>
      </c>
      <c r="F1784" s="62">
        <v>154.86615</v>
      </c>
      <c r="I1784" s="62">
        <v>2014</v>
      </c>
      <c r="J1784" s="62">
        <v>3</v>
      </c>
      <c r="K1784" s="62" t="s">
        <v>18</v>
      </c>
      <c r="L1784" s="62" t="s">
        <v>3</v>
      </c>
      <c r="M1784" s="62">
        <v>123.05</v>
      </c>
      <c r="N1784" s="62">
        <v>79.9825</v>
      </c>
    </row>
    <row r="1785" spans="1:14">
      <c r="A1785" s="62">
        <v>2022</v>
      </c>
      <c r="B1785" s="62">
        <v>4</v>
      </c>
      <c r="C1785" s="62" t="s">
        <v>6</v>
      </c>
      <c r="D1785" s="62" t="s">
        <v>3</v>
      </c>
      <c r="E1785" s="62">
        <v>873.2704</v>
      </c>
      <c r="F1785" s="62">
        <v>194.782615</v>
      </c>
      <c r="I1785" s="62">
        <v>2014</v>
      </c>
      <c r="J1785" s="62">
        <v>4</v>
      </c>
      <c r="K1785" s="62" t="s">
        <v>18</v>
      </c>
      <c r="L1785" s="62" t="s">
        <v>3</v>
      </c>
      <c r="M1785" s="62">
        <v>116.26</v>
      </c>
      <c r="N1785" s="62">
        <v>75.569</v>
      </c>
    </row>
    <row r="1786" spans="1:14">
      <c r="A1786" s="62">
        <v>2022</v>
      </c>
      <c r="B1786" s="62">
        <v>5</v>
      </c>
      <c r="C1786" s="62" t="s">
        <v>6</v>
      </c>
      <c r="D1786" s="62" t="s">
        <v>3</v>
      </c>
      <c r="E1786" s="62">
        <v>936.3128</v>
      </c>
      <c r="F1786" s="62">
        <v>145.547615</v>
      </c>
      <c r="I1786" s="62">
        <v>2014</v>
      </c>
      <c r="J1786" s="62">
        <v>5</v>
      </c>
      <c r="K1786" s="62" t="s">
        <v>18</v>
      </c>
      <c r="L1786" s="62" t="s">
        <v>3</v>
      </c>
      <c r="M1786" s="62">
        <v>45.32</v>
      </c>
      <c r="N1786" s="62">
        <v>29.458</v>
      </c>
    </row>
    <row r="1787" spans="1:14">
      <c r="A1787" s="62">
        <v>2022</v>
      </c>
      <c r="B1787" s="62">
        <v>6</v>
      </c>
      <c r="C1787" s="62" t="s">
        <v>6</v>
      </c>
      <c r="D1787" s="62" t="s">
        <v>3</v>
      </c>
      <c r="E1787" s="62">
        <v>617.272</v>
      </c>
      <c r="F1787" s="62">
        <v>145.85515</v>
      </c>
      <c r="I1787" s="62">
        <v>2014</v>
      </c>
      <c r="J1787" s="62">
        <v>6</v>
      </c>
      <c r="K1787" s="62" t="s">
        <v>18</v>
      </c>
      <c r="L1787" s="62" t="s">
        <v>3</v>
      </c>
      <c r="M1787" s="62">
        <v>110.554</v>
      </c>
      <c r="N1787" s="62">
        <v>71.8601</v>
      </c>
    </row>
    <row r="1788" spans="1:14">
      <c r="A1788" s="62">
        <v>2022</v>
      </c>
      <c r="B1788" s="62">
        <v>7</v>
      </c>
      <c r="C1788" s="62" t="s">
        <v>6</v>
      </c>
      <c r="D1788" s="62" t="s">
        <v>3</v>
      </c>
      <c r="E1788" s="62">
        <v>311.394</v>
      </c>
      <c r="F1788" s="62">
        <v>66.16075000000001</v>
      </c>
      <c r="I1788" s="62">
        <v>2014</v>
      </c>
      <c r="J1788" s="62">
        <v>7</v>
      </c>
      <c r="K1788" s="62" t="s">
        <v>18</v>
      </c>
      <c r="L1788" s="62" t="s">
        <v>3</v>
      </c>
      <c r="M1788" s="62">
        <v>208.371</v>
      </c>
      <c r="N1788" s="62">
        <v>135.44115</v>
      </c>
    </row>
    <row r="1789" spans="1:14">
      <c r="A1789" s="62">
        <v>2022</v>
      </c>
      <c r="B1789" s="62">
        <v>8</v>
      </c>
      <c r="C1789" s="62" t="s">
        <v>6</v>
      </c>
      <c r="D1789" s="62" t="s">
        <v>3</v>
      </c>
      <c r="E1789" s="62">
        <v>468.155</v>
      </c>
      <c r="F1789" s="62">
        <v>109.43275</v>
      </c>
      <c r="I1789" s="62">
        <v>2014</v>
      </c>
      <c r="J1789" s="62">
        <v>8</v>
      </c>
      <c r="K1789" s="62" t="s">
        <v>18</v>
      </c>
      <c r="L1789" s="62" t="s">
        <v>3</v>
      </c>
      <c r="M1789" s="62">
        <v>261.512</v>
      </c>
      <c r="N1789" s="62">
        <v>169.9828</v>
      </c>
    </row>
    <row r="1790" spans="1:14">
      <c r="A1790" s="62">
        <v>2022</v>
      </c>
      <c r="B1790" s="62">
        <v>9</v>
      </c>
      <c r="C1790" s="62" t="s">
        <v>6</v>
      </c>
      <c r="D1790" s="62" t="s">
        <v>3</v>
      </c>
      <c r="E1790" s="62">
        <v>490.7734</v>
      </c>
      <c r="F1790" s="62">
        <v>151.82803</v>
      </c>
      <c r="I1790" s="62">
        <v>2014</v>
      </c>
      <c r="J1790" s="62">
        <v>9</v>
      </c>
      <c r="K1790" s="62" t="s">
        <v>18</v>
      </c>
      <c r="L1790" s="62" t="s">
        <v>3</v>
      </c>
      <c r="M1790" s="62">
        <v>504.42</v>
      </c>
      <c r="N1790" s="62">
        <v>327.873</v>
      </c>
    </row>
    <row r="1791" spans="1:14">
      <c r="A1791" s="62">
        <v>2022</v>
      </c>
      <c r="B1791" s="62">
        <v>10</v>
      </c>
      <c r="C1791" s="62" t="s">
        <v>6</v>
      </c>
      <c r="D1791" s="62" t="s">
        <v>3</v>
      </c>
      <c r="E1791" s="62">
        <v>755.5650000000001</v>
      </c>
      <c r="F1791" s="62">
        <v>266.88975</v>
      </c>
      <c r="I1791" s="62">
        <v>2014</v>
      </c>
      <c r="J1791" s="62">
        <v>10</v>
      </c>
      <c r="K1791" s="62" t="s">
        <v>18</v>
      </c>
      <c r="L1791" s="62" t="s">
        <v>3</v>
      </c>
      <c r="M1791" s="62">
        <v>323.204</v>
      </c>
      <c r="N1791" s="62">
        <v>210.0826</v>
      </c>
    </row>
    <row r="1792" spans="1:14">
      <c r="A1792" s="62">
        <v>2022</v>
      </c>
      <c r="B1792" s="62">
        <v>11</v>
      </c>
      <c r="C1792" s="62" t="s">
        <v>6</v>
      </c>
      <c r="D1792" s="62" t="s">
        <v>3</v>
      </c>
      <c r="E1792" s="62">
        <v>684.1621</v>
      </c>
      <c r="F1792" s="62">
        <v>204.07442</v>
      </c>
      <c r="I1792" s="62">
        <v>2014</v>
      </c>
      <c r="J1792" s="62">
        <v>11</v>
      </c>
      <c r="K1792" s="62" t="s">
        <v>18</v>
      </c>
      <c r="L1792" s="62" t="s">
        <v>3</v>
      </c>
      <c r="M1792" s="62">
        <v>52.3115</v>
      </c>
      <c r="N1792" s="62">
        <v>34.002475</v>
      </c>
    </row>
    <row r="1793" spans="1:14">
      <c r="A1793" s="62">
        <v>2022</v>
      </c>
      <c r="B1793" s="62">
        <v>12</v>
      </c>
      <c r="C1793" s="62" t="s">
        <v>6</v>
      </c>
      <c r="D1793" s="62" t="s">
        <v>3</v>
      </c>
      <c r="E1793" s="62">
        <v>2114.2388</v>
      </c>
      <c r="F1793" s="62">
        <v>538.4592699999999</v>
      </c>
      <c r="I1793" s="62">
        <v>2014</v>
      </c>
      <c r="J1793" s="62">
        <v>12</v>
      </c>
      <c r="K1793" s="62" t="s">
        <v>18</v>
      </c>
      <c r="L1793" s="62" t="s">
        <v>3</v>
      </c>
      <c r="M1793" s="62">
        <v>61.305</v>
      </c>
      <c r="N1793" s="62">
        <v>39.84825</v>
      </c>
    </row>
    <row r="1794" spans="1:14">
      <c r="A1794" s="62">
        <v>2023</v>
      </c>
      <c r="B1794" s="62">
        <v>1</v>
      </c>
      <c r="C1794" s="62" t="s">
        <v>6</v>
      </c>
      <c r="D1794" s="62" t="s">
        <v>3</v>
      </c>
      <c r="E1794" s="62">
        <v>1539.3367</v>
      </c>
      <c r="F1794" s="62">
        <v>417.9537575</v>
      </c>
      <c r="I1794" s="62">
        <v>2015</v>
      </c>
      <c r="J1794" s="62">
        <v>1</v>
      </c>
      <c r="K1794" s="62" t="s">
        <v>18</v>
      </c>
      <c r="L1794" s="62" t="s">
        <v>3</v>
      </c>
      <c r="M1794" s="62">
        <v>255.125</v>
      </c>
      <c r="N1794" s="62">
        <v>165.83125</v>
      </c>
    </row>
    <row r="1795" spans="1:14">
      <c r="A1795" s="62">
        <v>2023</v>
      </c>
      <c r="B1795" s="62">
        <v>2</v>
      </c>
      <c r="C1795" s="62" t="s">
        <v>6</v>
      </c>
      <c r="D1795" s="62" t="s">
        <v>3</v>
      </c>
      <c r="E1795" s="62">
        <v>983.189</v>
      </c>
      <c r="F1795" s="62">
        <v>215.02275</v>
      </c>
      <c r="I1795" s="62">
        <v>2015</v>
      </c>
      <c r="J1795" s="62">
        <v>2</v>
      </c>
      <c r="K1795" s="62" t="s">
        <v>18</v>
      </c>
      <c r="L1795" s="62" t="s">
        <v>3</v>
      </c>
      <c r="M1795" s="62">
        <v>334.1565</v>
      </c>
      <c r="N1795" s="62">
        <v>217.201725</v>
      </c>
    </row>
    <row r="1796" spans="1:14">
      <c r="A1796" s="62">
        <v>2023</v>
      </c>
      <c r="B1796" s="62">
        <v>3</v>
      </c>
      <c r="C1796" s="62" t="s">
        <v>6</v>
      </c>
      <c r="D1796" s="62" t="s">
        <v>3</v>
      </c>
      <c r="E1796" s="62">
        <v>1045.102</v>
      </c>
      <c r="F1796" s="62">
        <v>237.463</v>
      </c>
      <c r="I1796" s="62">
        <v>2015</v>
      </c>
      <c r="J1796" s="62">
        <v>3</v>
      </c>
      <c r="K1796" s="62" t="s">
        <v>18</v>
      </c>
      <c r="L1796" s="62" t="s">
        <v>3</v>
      </c>
      <c r="M1796" s="62">
        <v>513.04</v>
      </c>
      <c r="N1796" s="62">
        <v>333.476</v>
      </c>
    </row>
    <row r="1797" spans="1:14">
      <c r="A1797" s="62">
        <v>2023</v>
      </c>
      <c r="B1797" s="62">
        <v>4</v>
      </c>
      <c r="C1797" s="62" t="s">
        <v>6</v>
      </c>
      <c r="D1797" s="62" t="s">
        <v>3</v>
      </c>
      <c r="E1797" s="62">
        <v>988.0629</v>
      </c>
      <c r="F1797" s="62">
        <v>215.5767075</v>
      </c>
      <c r="I1797" s="62">
        <v>2015</v>
      </c>
      <c r="J1797" s="62">
        <v>4</v>
      </c>
      <c r="K1797" s="62" t="s">
        <v>18</v>
      </c>
      <c r="L1797" s="62" t="s">
        <v>3</v>
      </c>
      <c r="M1797" s="62">
        <v>365.98</v>
      </c>
      <c r="N1797" s="62">
        <v>237.887</v>
      </c>
    </row>
    <row r="1798" spans="1:14">
      <c r="A1798" s="62">
        <v>2023</v>
      </c>
      <c r="B1798" s="62">
        <v>5</v>
      </c>
      <c r="C1798" s="62" t="s">
        <v>6</v>
      </c>
      <c r="D1798" s="62" t="s">
        <v>3</v>
      </c>
      <c r="E1798" s="62">
        <v>734.549</v>
      </c>
      <c r="F1798" s="62">
        <v>201.38875</v>
      </c>
      <c r="I1798" s="62">
        <v>2015</v>
      </c>
      <c r="J1798" s="62">
        <v>5</v>
      </c>
      <c r="K1798" s="62" t="s">
        <v>18</v>
      </c>
      <c r="L1798" s="62" t="s">
        <v>3</v>
      </c>
      <c r="M1798" s="62">
        <v>255.822</v>
      </c>
      <c r="N1798" s="62">
        <v>166.2843</v>
      </c>
    </row>
    <row r="1799" spans="1:14">
      <c r="A1799" s="62">
        <v>2023</v>
      </c>
      <c r="B1799" s="62">
        <v>6</v>
      </c>
      <c r="C1799" s="62" t="s">
        <v>6</v>
      </c>
      <c r="D1799" s="62" t="s">
        <v>3</v>
      </c>
      <c r="E1799" s="62">
        <v>1077.3149</v>
      </c>
      <c r="F1799" s="62">
        <v>313.227975</v>
      </c>
      <c r="I1799" s="62">
        <v>2015</v>
      </c>
      <c r="J1799" s="62">
        <v>6</v>
      </c>
      <c r="K1799" s="62" t="s">
        <v>18</v>
      </c>
      <c r="L1799" s="62" t="s">
        <v>3</v>
      </c>
      <c r="M1799" s="62">
        <v>281.191</v>
      </c>
      <c r="N1799" s="62">
        <v>182.77415</v>
      </c>
    </row>
    <row r="1800" spans="1:14">
      <c r="A1800" s="62">
        <v>2023</v>
      </c>
      <c r="B1800" s="62">
        <v>7</v>
      </c>
      <c r="C1800" s="62" t="s">
        <v>6</v>
      </c>
      <c r="D1800" s="62" t="s">
        <v>3</v>
      </c>
      <c r="E1800" s="62">
        <v>726.7744</v>
      </c>
      <c r="F1800" s="62">
        <v>218.63063</v>
      </c>
      <c r="I1800" s="62">
        <v>2015</v>
      </c>
      <c r="J1800" s="62">
        <v>7</v>
      </c>
      <c r="K1800" s="62" t="s">
        <v>18</v>
      </c>
      <c r="L1800" s="62" t="s">
        <v>3</v>
      </c>
      <c r="M1800" s="62">
        <v>176.47</v>
      </c>
      <c r="N1800" s="62">
        <v>114.7055</v>
      </c>
    </row>
    <row r="1801" spans="1:14">
      <c r="A1801" s="62">
        <v>2023</v>
      </c>
      <c r="B1801" s="62">
        <v>8</v>
      </c>
      <c r="C1801" s="62" t="s">
        <v>6</v>
      </c>
      <c r="D1801" s="62" t="s">
        <v>3</v>
      </c>
      <c r="E1801" s="62">
        <v>1207.137</v>
      </c>
      <c r="F1801" s="62">
        <v>310.39635</v>
      </c>
      <c r="I1801" s="62">
        <v>2015</v>
      </c>
      <c r="J1801" s="62">
        <v>8</v>
      </c>
      <c r="K1801" s="62" t="s">
        <v>18</v>
      </c>
      <c r="L1801" s="62" t="s">
        <v>3</v>
      </c>
      <c r="M1801" s="62">
        <v>193.23</v>
      </c>
      <c r="N1801" s="62">
        <v>125.5995</v>
      </c>
    </row>
    <row r="1802" spans="1:14">
      <c r="A1802" s="62">
        <v>2023</v>
      </c>
      <c r="B1802" s="62">
        <v>9</v>
      </c>
      <c r="C1802" s="62" t="s">
        <v>6</v>
      </c>
      <c r="D1802" s="62" t="s">
        <v>3</v>
      </c>
      <c r="E1802" s="62">
        <v>1067.4339</v>
      </c>
      <c r="F1802" s="62">
        <v>303.9201925</v>
      </c>
      <c r="I1802" s="62">
        <v>2015</v>
      </c>
      <c r="J1802" s="62">
        <v>9</v>
      </c>
      <c r="K1802" s="62" t="s">
        <v>18</v>
      </c>
      <c r="L1802" s="62" t="s">
        <v>3</v>
      </c>
      <c r="M1802" s="62">
        <v>296.431</v>
      </c>
      <c r="N1802" s="62">
        <v>192.68015</v>
      </c>
    </row>
    <row r="1803" spans="1:14">
      <c r="A1803" s="62">
        <v>2023</v>
      </c>
      <c r="B1803" s="62">
        <v>10</v>
      </c>
      <c r="C1803" s="62" t="s">
        <v>6</v>
      </c>
      <c r="D1803" s="62" t="s">
        <v>3</v>
      </c>
      <c r="E1803" s="62">
        <v>1223.163</v>
      </c>
      <c r="F1803" s="62">
        <v>337.020925</v>
      </c>
      <c r="I1803" s="62">
        <v>2015</v>
      </c>
      <c r="J1803" s="62">
        <v>10</v>
      </c>
      <c r="K1803" s="62" t="s">
        <v>18</v>
      </c>
      <c r="L1803" s="62" t="s">
        <v>3</v>
      </c>
      <c r="M1803" s="62">
        <v>378.88</v>
      </c>
      <c r="N1803" s="62">
        <v>246.272</v>
      </c>
    </row>
    <row r="1804" spans="1:14">
      <c r="A1804" s="62">
        <v>2023</v>
      </c>
      <c r="B1804" s="62">
        <v>11</v>
      </c>
      <c r="C1804" s="62" t="s">
        <v>6</v>
      </c>
      <c r="D1804" s="62" t="s">
        <v>3</v>
      </c>
      <c r="E1804" s="62">
        <v>788.6900000000001</v>
      </c>
      <c r="F1804" s="62">
        <v>206.869325</v>
      </c>
      <c r="I1804" s="62">
        <v>2015</v>
      </c>
      <c r="J1804" s="62">
        <v>11</v>
      </c>
      <c r="K1804" s="62" t="s">
        <v>18</v>
      </c>
      <c r="L1804" s="62" t="s">
        <v>3</v>
      </c>
      <c r="M1804" s="62">
        <v>259.854</v>
      </c>
      <c r="N1804" s="62">
        <v>168.9051</v>
      </c>
    </row>
    <row r="1805" spans="1:14">
      <c r="A1805" s="62">
        <v>2023</v>
      </c>
      <c r="B1805" s="62">
        <v>12</v>
      </c>
      <c r="C1805" s="62" t="s">
        <v>6</v>
      </c>
      <c r="D1805" s="62" t="s">
        <v>3</v>
      </c>
      <c r="E1805" s="62">
        <v>448.509</v>
      </c>
      <c r="F1805" s="62">
        <v>109.445625</v>
      </c>
      <c r="I1805" s="62">
        <v>2015</v>
      </c>
      <c r="J1805" s="62">
        <v>12</v>
      </c>
      <c r="K1805" s="62" t="s">
        <v>18</v>
      </c>
      <c r="L1805" s="62" t="s">
        <v>3</v>
      </c>
      <c r="M1805" s="62">
        <v>254.1</v>
      </c>
      <c r="N1805" s="62">
        <v>165.165</v>
      </c>
    </row>
    <row r="1806" spans="1:14">
      <c r="A1806" s="62">
        <v>2024</v>
      </c>
      <c r="B1806" s="62">
        <v>1</v>
      </c>
      <c r="C1806" s="62" t="s">
        <v>6</v>
      </c>
      <c r="D1806" s="62" t="s">
        <v>3</v>
      </c>
      <c r="E1806" s="62">
        <v>2029.9796</v>
      </c>
      <c r="F1806" s="62">
        <v>469.657845</v>
      </c>
      <c r="I1806" s="62">
        <v>2016</v>
      </c>
      <c r="J1806" s="62">
        <v>1</v>
      </c>
      <c r="K1806" s="62" t="s">
        <v>18</v>
      </c>
      <c r="L1806" s="62" t="s">
        <v>3</v>
      </c>
      <c r="M1806" s="62">
        <v>210.29</v>
      </c>
      <c r="N1806" s="62">
        <v>136.6885</v>
      </c>
    </row>
    <row r="1807" spans="1:14">
      <c r="A1807" s="62">
        <v>2024</v>
      </c>
      <c r="B1807" s="62">
        <v>2</v>
      </c>
      <c r="C1807" s="62" t="s">
        <v>6</v>
      </c>
      <c r="D1807" s="62" t="s">
        <v>3</v>
      </c>
      <c r="E1807" s="62">
        <v>2432.1483</v>
      </c>
      <c r="F1807" s="62">
        <v>566.0989825</v>
      </c>
      <c r="I1807" s="62">
        <v>2016</v>
      </c>
      <c r="J1807" s="62">
        <v>2</v>
      </c>
      <c r="K1807" s="62" t="s">
        <v>18</v>
      </c>
      <c r="L1807" s="62" t="s">
        <v>3</v>
      </c>
      <c r="M1807" s="62">
        <v>242.76</v>
      </c>
      <c r="N1807" s="62">
        <v>157.794</v>
      </c>
    </row>
    <row r="1808" spans="1:14">
      <c r="A1808" s="62">
        <v>2024</v>
      </c>
      <c r="B1808" s="62">
        <v>3</v>
      </c>
      <c r="C1808" s="62" t="s">
        <v>6</v>
      </c>
      <c r="D1808" s="62" t="s">
        <v>3</v>
      </c>
      <c r="E1808" s="62">
        <v>965.1637000000001</v>
      </c>
      <c r="F1808" s="62">
        <v>255.9942425</v>
      </c>
      <c r="I1808" s="62">
        <v>2016</v>
      </c>
      <c r="J1808" s="62">
        <v>3</v>
      </c>
      <c r="K1808" s="62" t="s">
        <v>18</v>
      </c>
      <c r="L1808" s="62" t="s">
        <v>3</v>
      </c>
      <c r="M1808" s="62">
        <v>168.5</v>
      </c>
      <c r="N1808" s="62">
        <v>109.525</v>
      </c>
    </row>
    <row r="1809" spans="1:14">
      <c r="A1809" s="62">
        <v>2024</v>
      </c>
      <c r="B1809" s="62">
        <v>4</v>
      </c>
      <c r="C1809" s="62" t="s">
        <v>6</v>
      </c>
      <c r="D1809" s="62" t="s">
        <v>3</v>
      </c>
      <c r="E1809" s="62">
        <v>1135.413</v>
      </c>
      <c r="F1809" s="62">
        <v>389.4518</v>
      </c>
      <c r="I1809" s="62">
        <v>2016</v>
      </c>
      <c r="J1809" s="62">
        <v>4</v>
      </c>
      <c r="K1809" s="62" t="s">
        <v>18</v>
      </c>
      <c r="L1809" s="62" t="s">
        <v>3</v>
      </c>
      <c r="M1809" s="62">
        <v>314.74</v>
      </c>
      <c r="N1809" s="62">
        <v>204.581</v>
      </c>
    </row>
    <row r="1810" spans="1:14">
      <c r="A1810" s="62">
        <v>2024</v>
      </c>
      <c r="B1810" s="62">
        <v>5</v>
      </c>
      <c r="C1810" s="62" t="s">
        <v>6</v>
      </c>
      <c r="D1810" s="62" t="s">
        <v>3</v>
      </c>
      <c r="E1810" s="62">
        <v>574.145</v>
      </c>
      <c r="F1810" s="62">
        <v>208.30825</v>
      </c>
      <c r="I1810" s="62">
        <v>2016</v>
      </c>
      <c r="J1810" s="62">
        <v>5</v>
      </c>
      <c r="K1810" s="62" t="s">
        <v>18</v>
      </c>
      <c r="L1810" s="62" t="s">
        <v>3</v>
      </c>
      <c r="M1810" s="62">
        <v>190.466</v>
      </c>
      <c r="N1810" s="62">
        <v>123.8029</v>
      </c>
    </row>
    <row r="1811" spans="1:14">
      <c r="A1811" s="62">
        <v>2024</v>
      </c>
      <c r="B1811" s="62">
        <v>6</v>
      </c>
      <c r="C1811" s="62" t="s">
        <v>6</v>
      </c>
      <c r="D1811" s="62" t="s">
        <v>3</v>
      </c>
      <c r="E1811" s="62">
        <v>591.53</v>
      </c>
      <c r="F1811" s="62">
        <v>208.312</v>
      </c>
      <c r="I1811" s="62">
        <v>2016</v>
      </c>
      <c r="J1811" s="62">
        <v>6</v>
      </c>
      <c r="K1811" s="62" t="s">
        <v>18</v>
      </c>
      <c r="L1811" s="62" t="s">
        <v>3</v>
      </c>
      <c r="M1811" s="62">
        <v>101.76</v>
      </c>
      <c r="N1811" s="62">
        <v>66.14400000000001</v>
      </c>
    </row>
    <row r="1812" spans="1:14">
      <c r="A1812" s="62">
        <v>2024</v>
      </c>
      <c r="B1812" s="62">
        <v>7</v>
      </c>
      <c r="C1812" s="62" t="s">
        <v>6</v>
      </c>
      <c r="D1812" s="62" t="s">
        <v>3</v>
      </c>
      <c r="E1812" s="62">
        <v>773.422</v>
      </c>
      <c r="F1812" s="62">
        <v>242.6105</v>
      </c>
      <c r="I1812" s="62">
        <v>2016</v>
      </c>
      <c r="J1812" s="62">
        <v>7</v>
      </c>
      <c r="K1812" s="62" t="s">
        <v>18</v>
      </c>
      <c r="L1812" s="62" t="s">
        <v>3</v>
      </c>
      <c r="M1812" s="62">
        <v>104.53</v>
      </c>
      <c r="N1812" s="62">
        <v>67.94450000000001</v>
      </c>
    </row>
    <row r="1813" spans="1:14">
      <c r="A1813" s="62">
        <v>2024</v>
      </c>
      <c r="B1813" s="62">
        <v>8</v>
      </c>
      <c r="C1813" s="62" t="s">
        <v>6</v>
      </c>
      <c r="D1813" s="62" t="s">
        <v>3</v>
      </c>
      <c r="E1813" s="62">
        <v>632.3932</v>
      </c>
      <c r="F1813" s="62">
        <v>153.23944</v>
      </c>
      <c r="I1813" s="62">
        <v>2016</v>
      </c>
      <c r="J1813" s="62">
        <v>8</v>
      </c>
      <c r="K1813" s="62" t="s">
        <v>18</v>
      </c>
      <c r="L1813" s="62" t="s">
        <v>3</v>
      </c>
      <c r="M1813" s="62">
        <v>97.11</v>
      </c>
      <c r="N1813" s="62">
        <v>63.1215</v>
      </c>
    </row>
    <row r="1814" spans="1:14">
      <c r="A1814" s="62">
        <v>2024</v>
      </c>
      <c r="B1814" s="62">
        <v>9</v>
      </c>
      <c r="C1814" s="62" t="s">
        <v>6</v>
      </c>
      <c r="D1814" s="62" t="s">
        <v>3</v>
      </c>
      <c r="E1814" s="62">
        <v>1059.388</v>
      </c>
      <c r="F1814" s="62">
        <v>267.532125</v>
      </c>
      <c r="I1814" s="62">
        <v>2016</v>
      </c>
      <c r="J1814" s="62">
        <v>9</v>
      </c>
      <c r="K1814" s="62" t="s">
        <v>18</v>
      </c>
      <c r="L1814" s="62" t="s">
        <v>3</v>
      </c>
      <c r="M1814" s="62">
        <v>109.62</v>
      </c>
      <c r="N1814" s="62">
        <v>71.253</v>
      </c>
    </row>
    <row r="1815" spans="1:14">
      <c r="A1815" s="62">
        <v>2024</v>
      </c>
      <c r="B1815" s="62">
        <v>10</v>
      </c>
      <c r="C1815" s="62" t="s">
        <v>6</v>
      </c>
      <c r="D1815" s="62" t="s">
        <v>3</v>
      </c>
      <c r="E1815" s="62">
        <v>870.1990000000001</v>
      </c>
      <c r="F1815" s="62">
        <v>203.796</v>
      </c>
      <c r="I1815" s="62">
        <v>2016</v>
      </c>
      <c r="J1815" s="62">
        <v>10</v>
      </c>
      <c r="K1815" s="62" t="s">
        <v>18</v>
      </c>
      <c r="L1815" s="62" t="s">
        <v>3</v>
      </c>
      <c r="M1815" s="62">
        <v>199.958</v>
      </c>
      <c r="N1815" s="62">
        <v>129.9727</v>
      </c>
    </row>
    <row r="1816" spans="1:14">
      <c r="A1816" s="62">
        <v>2024</v>
      </c>
      <c r="B1816" s="62">
        <v>11</v>
      </c>
      <c r="C1816" s="62" t="s">
        <v>6</v>
      </c>
      <c r="D1816" s="62" t="s">
        <v>3</v>
      </c>
      <c r="E1816" s="62">
        <v>477.492</v>
      </c>
      <c r="F1816" s="62">
        <v>103.457</v>
      </c>
      <c r="I1816" s="62">
        <v>2016</v>
      </c>
      <c r="J1816" s="62">
        <v>11</v>
      </c>
      <c r="K1816" s="62" t="s">
        <v>18</v>
      </c>
      <c r="L1816" s="62" t="s">
        <v>3</v>
      </c>
      <c r="M1816" s="62">
        <v>174.5225</v>
      </c>
      <c r="N1816" s="62">
        <v>113.439625</v>
      </c>
    </row>
    <row r="1817" spans="1:14">
      <c r="A1817" s="62">
        <v>2024</v>
      </c>
      <c r="B1817" s="62">
        <v>12</v>
      </c>
      <c r="C1817" s="62" t="s">
        <v>6</v>
      </c>
      <c r="D1817" s="62" t="s">
        <v>3</v>
      </c>
      <c r="E1817" s="62">
        <v>269.0754</v>
      </c>
      <c r="F1817" s="62">
        <v>56.64423</v>
      </c>
      <c r="I1817" s="62">
        <v>2016</v>
      </c>
      <c r="J1817" s="62">
        <v>12</v>
      </c>
      <c r="K1817" s="62" t="s">
        <v>18</v>
      </c>
      <c r="L1817" s="62" t="s">
        <v>3</v>
      </c>
      <c r="M1817" s="62">
        <v>54.3725</v>
      </c>
      <c r="N1817" s="62">
        <v>35.342125</v>
      </c>
    </row>
    <row r="1818" spans="1:14">
      <c r="A1818" s="62">
        <v>2025</v>
      </c>
      <c r="B1818" s="62">
        <v>1</v>
      </c>
      <c r="C1818" s="62" t="s">
        <v>6</v>
      </c>
      <c r="D1818" s="62" t="s">
        <v>3</v>
      </c>
      <c r="E1818" s="62">
        <v>792.2558</v>
      </c>
      <c r="F1818" s="62">
        <v>209.41456</v>
      </c>
      <c r="I1818" s="62">
        <v>2017</v>
      </c>
      <c r="J1818" s="62">
        <v>1</v>
      </c>
      <c r="K1818" s="62" t="s">
        <v>18</v>
      </c>
      <c r="L1818" s="62" t="s">
        <v>3</v>
      </c>
      <c r="M1818" s="62">
        <v>138.055</v>
      </c>
      <c r="N1818" s="62">
        <v>89.73575000000001</v>
      </c>
    </row>
    <row r="1819" spans="1:14">
      <c r="A1819" s="62">
        <v>2025</v>
      </c>
      <c r="B1819" s="62">
        <v>2</v>
      </c>
      <c r="C1819" s="62" t="s">
        <v>6</v>
      </c>
      <c r="D1819" s="62" t="s">
        <v>3</v>
      </c>
      <c r="E1819" s="62">
        <v>844.3324</v>
      </c>
      <c r="F1819" s="62">
        <v>197.364855</v>
      </c>
      <c r="I1819" s="62">
        <v>2017</v>
      </c>
      <c r="J1819" s="62">
        <v>2</v>
      </c>
      <c r="K1819" s="62" t="s">
        <v>18</v>
      </c>
      <c r="L1819" s="62" t="s">
        <v>3</v>
      </c>
      <c r="M1819" s="62">
        <v>168.951</v>
      </c>
      <c r="N1819" s="62">
        <v>109.81815</v>
      </c>
    </row>
    <row r="1820" spans="1:14">
      <c r="A1820" s="62">
        <v>2025</v>
      </c>
      <c r="B1820" s="62">
        <v>3</v>
      </c>
      <c r="C1820" s="62" t="s">
        <v>6</v>
      </c>
      <c r="D1820" s="62" t="s">
        <v>3</v>
      </c>
      <c r="E1820" s="62">
        <v>544.423</v>
      </c>
      <c r="F1820" s="62">
        <v>138.006725</v>
      </c>
      <c r="I1820" s="62">
        <v>2017</v>
      </c>
      <c r="J1820" s="62">
        <v>3</v>
      </c>
      <c r="K1820" s="62" t="s">
        <v>18</v>
      </c>
      <c r="L1820" s="62" t="s">
        <v>3</v>
      </c>
      <c r="M1820" s="62">
        <v>171.792</v>
      </c>
      <c r="N1820" s="62">
        <v>111.6648</v>
      </c>
    </row>
    <row r="1821" spans="1:14">
      <c r="A1821" s="62">
        <v>2025</v>
      </c>
      <c r="B1821" s="62">
        <v>4</v>
      </c>
      <c r="C1821" s="62" t="s">
        <v>6</v>
      </c>
      <c r="D1821" s="62" t="s">
        <v>3</v>
      </c>
      <c r="E1821" s="62">
        <v>347.396</v>
      </c>
      <c r="F1821" s="62">
        <v>99.382775</v>
      </c>
      <c r="I1821" s="62">
        <v>2017</v>
      </c>
      <c r="J1821" s="62">
        <v>4</v>
      </c>
      <c r="K1821" s="62" t="s">
        <v>18</v>
      </c>
      <c r="L1821" s="62" t="s">
        <v>3</v>
      </c>
      <c r="M1821" s="62">
        <v>85.855</v>
      </c>
      <c r="N1821" s="62">
        <v>55.80575</v>
      </c>
    </row>
    <row r="1822" spans="1:14">
      <c r="A1822" s="62">
        <v>2025</v>
      </c>
      <c r="B1822" s="62">
        <v>5</v>
      </c>
      <c r="C1822" s="62" t="s">
        <v>6</v>
      </c>
      <c r="D1822" s="62" t="s">
        <v>3</v>
      </c>
      <c r="E1822" s="62">
        <v>299.654</v>
      </c>
      <c r="F1822" s="62">
        <v>72.39175</v>
      </c>
      <c r="I1822" s="62">
        <v>2017</v>
      </c>
      <c r="J1822" s="62">
        <v>5</v>
      </c>
      <c r="K1822" s="62" t="s">
        <v>18</v>
      </c>
      <c r="L1822" s="62" t="s">
        <v>3</v>
      </c>
      <c r="M1822" s="62">
        <v>113.685</v>
      </c>
      <c r="N1822" s="62">
        <v>73.89525</v>
      </c>
    </row>
    <row r="1823" spans="1:14">
      <c r="A1823" s="62">
        <v>2025</v>
      </c>
      <c r="B1823" s="62">
        <v>6</v>
      </c>
      <c r="C1823" s="62" t="s">
        <v>6</v>
      </c>
      <c r="D1823" s="62" t="s">
        <v>3</v>
      </c>
      <c r="E1823" s="62">
        <v>275.749</v>
      </c>
      <c r="F1823" s="62">
        <v>67.54365</v>
      </c>
      <c r="I1823" s="62">
        <v>2017</v>
      </c>
      <c r="J1823" s="62">
        <v>6</v>
      </c>
      <c r="K1823" s="62" t="s">
        <v>18</v>
      </c>
      <c r="L1823" s="62" t="s">
        <v>3</v>
      </c>
      <c r="M1823" s="62">
        <v>61.54000000000001</v>
      </c>
      <c r="N1823" s="62">
        <v>40.001</v>
      </c>
    </row>
    <row r="1824" spans="1:14">
      <c r="A1824" s="62">
        <v>2025</v>
      </c>
      <c r="B1824" s="62">
        <v>7</v>
      </c>
      <c r="C1824" s="62" t="s">
        <v>6</v>
      </c>
      <c r="D1824" s="62" t="s">
        <v>3</v>
      </c>
      <c r="E1824" s="62">
        <v>238.2998</v>
      </c>
      <c r="F1824" s="62">
        <v>47.09036</v>
      </c>
      <c r="I1824" s="62">
        <v>2017</v>
      </c>
      <c r="J1824" s="62">
        <v>7</v>
      </c>
      <c r="K1824" s="62" t="s">
        <v>18</v>
      </c>
      <c r="L1824" s="62" t="s">
        <v>3</v>
      </c>
      <c r="M1824" s="62">
        <v>90.121</v>
      </c>
      <c r="N1824" s="62">
        <v>58.57865</v>
      </c>
    </row>
    <row r="1825" spans="1:14">
      <c r="A1825" s="62">
        <v>2025</v>
      </c>
      <c r="B1825" s="62">
        <v>8</v>
      </c>
      <c r="C1825" s="62" t="s">
        <v>6</v>
      </c>
      <c r="D1825" s="62" t="s">
        <v>3</v>
      </c>
      <c r="E1825" s="62">
        <v>339.054</v>
      </c>
      <c r="F1825" s="62">
        <v>76.12975</v>
      </c>
      <c r="I1825" s="62">
        <v>2017</v>
      </c>
      <c r="J1825" s="62">
        <v>8</v>
      </c>
      <c r="K1825" s="62" t="s">
        <v>18</v>
      </c>
      <c r="L1825" s="62" t="s">
        <v>3</v>
      </c>
      <c r="M1825" s="62">
        <v>207.089</v>
      </c>
      <c r="N1825" s="62">
        <v>134.60785</v>
      </c>
    </row>
    <row r="1826" spans="1:14">
      <c r="A1826" s="62">
        <v>2025</v>
      </c>
      <c r="B1826" s="62">
        <v>9</v>
      </c>
      <c r="C1826" s="62" t="s">
        <v>6</v>
      </c>
      <c r="D1826" s="62" t="s">
        <v>3</v>
      </c>
      <c r="E1826" s="62">
        <v>841.931</v>
      </c>
      <c r="F1826" s="62">
        <v>183.618</v>
      </c>
      <c r="I1826" s="62">
        <v>2017</v>
      </c>
      <c r="J1826" s="62">
        <v>9</v>
      </c>
      <c r="K1826" s="62" t="s">
        <v>18</v>
      </c>
      <c r="L1826" s="62" t="s">
        <v>3</v>
      </c>
      <c r="M1826" s="62">
        <v>642.268</v>
      </c>
      <c r="N1826" s="62">
        <v>417.4742</v>
      </c>
    </row>
    <row r="1827" spans="1:14">
      <c r="A1827" s="62">
        <v>2025</v>
      </c>
      <c r="B1827" s="62">
        <v>10</v>
      </c>
      <c r="C1827" s="62" t="s">
        <v>6</v>
      </c>
      <c r="D1827" s="62" t="s">
        <v>3</v>
      </c>
      <c r="E1827" s="62">
        <v>983.0083</v>
      </c>
      <c r="F1827" s="62">
        <v>250.794265</v>
      </c>
      <c r="I1827" s="62">
        <v>2017</v>
      </c>
      <c r="J1827" s="62">
        <v>10</v>
      </c>
      <c r="K1827" s="62" t="s">
        <v>18</v>
      </c>
      <c r="L1827" s="62" t="s">
        <v>3</v>
      </c>
      <c r="M1827" s="62">
        <v>125.7025</v>
      </c>
      <c r="N1827" s="62">
        <v>81.706625</v>
      </c>
    </row>
    <row r="1828" spans="1:14">
      <c r="A1828" s="62">
        <v>2025</v>
      </c>
      <c r="B1828" s="62">
        <v>11</v>
      </c>
      <c r="C1828" s="62" t="s">
        <v>6</v>
      </c>
      <c r="D1828" s="62" t="s">
        <v>3</v>
      </c>
      <c r="E1828" s="62">
        <v>454.5659</v>
      </c>
      <c r="F1828" s="62">
        <v>104.550385</v>
      </c>
      <c r="I1828" s="62">
        <v>2017</v>
      </c>
      <c r="J1828" s="62">
        <v>11</v>
      </c>
      <c r="K1828" s="62" t="s">
        <v>18</v>
      </c>
      <c r="L1828" s="62" t="s">
        <v>3</v>
      </c>
      <c r="M1828" s="62">
        <v>45.52500000000001</v>
      </c>
      <c r="N1828" s="62">
        <v>29.59125</v>
      </c>
    </row>
    <row r="1829" spans="1:14">
      <c r="A1829" s="62">
        <v>2025</v>
      </c>
      <c r="B1829" s="62">
        <v>12</v>
      </c>
      <c r="C1829" s="62" t="s">
        <v>6</v>
      </c>
      <c r="D1829" s="62" t="s">
        <v>3</v>
      </c>
      <c r="E1829" s="62">
        <v>91.074</v>
      </c>
      <c r="F1829" s="62">
        <v>16.68875</v>
      </c>
      <c r="I1829" s="62">
        <v>2017</v>
      </c>
      <c r="J1829" s="62">
        <v>12</v>
      </c>
      <c r="K1829" s="62" t="s">
        <v>18</v>
      </c>
      <c r="L1829" s="62" t="s">
        <v>3</v>
      </c>
      <c r="M1829" s="62">
        <v>61.37</v>
      </c>
      <c r="N1829" s="62">
        <v>39.8905</v>
      </c>
    </row>
    <row r="1830" spans="1:14">
      <c r="A1830" s="62">
        <v>2026</v>
      </c>
      <c r="B1830" s="62">
        <v>1</v>
      </c>
      <c r="C1830" s="62" t="s">
        <v>6</v>
      </c>
      <c r="D1830" s="62" t="s">
        <v>3</v>
      </c>
      <c r="E1830" s="62">
        <v>275.676</v>
      </c>
      <c r="F1830" s="62">
        <v>75.30249999999999</v>
      </c>
      <c r="I1830" s="62">
        <v>2018</v>
      </c>
      <c r="J1830" s="62">
        <v>1</v>
      </c>
      <c r="K1830" s="62" t="s">
        <v>18</v>
      </c>
      <c r="L1830" s="62" t="s">
        <v>3</v>
      </c>
      <c r="M1830" s="62">
        <v>69.05200000000001</v>
      </c>
      <c r="N1830" s="62">
        <v>44.8838</v>
      </c>
    </row>
    <row r="1831" spans="1:14">
      <c r="A1831" s="62">
        <v>2026</v>
      </c>
      <c r="B1831" s="62">
        <v>2</v>
      </c>
      <c r="C1831" s="62" t="s">
        <v>6</v>
      </c>
      <c r="D1831" s="62" t="s">
        <v>3</v>
      </c>
      <c r="E1831" s="62">
        <v>807.2025</v>
      </c>
      <c r="F1831" s="62">
        <v>218.270875</v>
      </c>
      <c r="I1831" s="62">
        <v>2018</v>
      </c>
      <c r="J1831" s="62">
        <v>2</v>
      </c>
      <c r="K1831" s="62" t="s">
        <v>18</v>
      </c>
      <c r="L1831" s="62" t="s">
        <v>3</v>
      </c>
      <c r="M1831" s="62">
        <v>58.66</v>
      </c>
      <c r="N1831" s="62">
        <v>38.129</v>
      </c>
    </row>
    <row r="1832" spans="1:14">
      <c r="A1832" s="62">
        <v>2026</v>
      </c>
      <c r="B1832" s="62">
        <v>3</v>
      </c>
      <c r="C1832" s="62" t="s">
        <v>6</v>
      </c>
      <c r="D1832" s="62" t="s">
        <v>3</v>
      </c>
      <c r="E1832" s="62">
        <v>652.611</v>
      </c>
      <c r="F1832" s="62">
        <v>148.50055</v>
      </c>
      <c r="I1832" s="62">
        <v>2018</v>
      </c>
      <c r="J1832" s="62">
        <v>3</v>
      </c>
      <c r="K1832" s="62" t="s">
        <v>18</v>
      </c>
      <c r="L1832" s="62" t="s">
        <v>3</v>
      </c>
      <c r="M1832" s="62">
        <v>73.7</v>
      </c>
      <c r="N1832" s="62">
        <v>47.905</v>
      </c>
    </row>
    <row r="1833" spans="1:14">
      <c r="A1833" s="62">
        <v>2026</v>
      </c>
      <c r="B1833" s="62">
        <v>4</v>
      </c>
      <c r="C1833" s="62" t="s">
        <v>6</v>
      </c>
      <c r="D1833" s="62" t="s">
        <v>3</v>
      </c>
      <c r="E1833" s="62">
        <v>1045.263</v>
      </c>
      <c r="F1833" s="62">
        <v>286.5438</v>
      </c>
      <c r="I1833" s="62">
        <v>2018</v>
      </c>
      <c r="J1833" s="62">
        <v>4</v>
      </c>
      <c r="K1833" s="62" t="s">
        <v>18</v>
      </c>
      <c r="L1833" s="62" t="s">
        <v>3</v>
      </c>
      <c r="M1833" s="62">
        <v>119.502</v>
      </c>
      <c r="N1833" s="62">
        <v>77.6763</v>
      </c>
    </row>
    <row r="1834" spans="1:14">
      <c r="A1834" s="62">
        <v>2026</v>
      </c>
      <c r="B1834" s="62">
        <v>5</v>
      </c>
      <c r="C1834" s="62" t="s">
        <v>6</v>
      </c>
      <c r="D1834" s="62" t="s">
        <v>3</v>
      </c>
      <c r="E1834" s="62">
        <v>531.2234999999999</v>
      </c>
      <c r="F1834" s="62">
        <v>164.108625</v>
      </c>
      <c r="I1834" s="62">
        <v>2018</v>
      </c>
      <c r="J1834" s="62">
        <v>5</v>
      </c>
      <c r="K1834" s="62" t="s">
        <v>18</v>
      </c>
      <c r="L1834" s="62" t="s">
        <v>3</v>
      </c>
      <c r="M1834" s="62">
        <v>156.5315</v>
      </c>
      <c r="N1834" s="62">
        <v>101.745475</v>
      </c>
    </row>
    <row r="1835" spans="1:14">
      <c r="A1835" s="62">
        <v>2026</v>
      </c>
      <c r="B1835" s="62">
        <v>6</v>
      </c>
      <c r="C1835" s="62" t="s">
        <v>6</v>
      </c>
      <c r="D1835" s="62" t="s">
        <v>3</v>
      </c>
      <c r="E1835" s="62">
        <v>582.155</v>
      </c>
      <c r="F1835" s="62">
        <v>131.8955</v>
      </c>
      <c r="I1835" s="62">
        <v>2018</v>
      </c>
      <c r="J1835" s="62">
        <v>6</v>
      </c>
      <c r="K1835" s="62" t="s">
        <v>18</v>
      </c>
      <c r="L1835" s="62" t="s">
        <v>3</v>
      </c>
      <c r="M1835" s="62">
        <v>174.534</v>
      </c>
      <c r="N1835" s="62">
        <v>113.4471</v>
      </c>
    </row>
    <row r="1836" spans="1:14">
      <c r="A1836" s="62">
        <v>2026</v>
      </c>
      <c r="B1836" s="62">
        <v>7</v>
      </c>
      <c r="C1836" s="62" t="s">
        <v>6</v>
      </c>
      <c r="D1836" s="62" t="s">
        <v>3</v>
      </c>
      <c r="E1836" s="62">
        <v>122.685</v>
      </c>
      <c r="F1836" s="62">
        <v>12.064</v>
      </c>
      <c r="I1836" s="62">
        <v>2018</v>
      </c>
      <c r="J1836" s="62">
        <v>7</v>
      </c>
      <c r="K1836" s="62" t="s">
        <v>18</v>
      </c>
      <c r="L1836" s="62" t="s">
        <v>3</v>
      </c>
      <c r="M1836" s="62">
        <v>260.299</v>
      </c>
      <c r="N1836" s="62">
        <v>169.19435</v>
      </c>
    </row>
    <row r="1837" spans="1:14">
      <c r="A1837" s="62">
        <v>2026</v>
      </c>
      <c r="B1837" s="62">
        <v>8</v>
      </c>
      <c r="C1837" s="62" t="s">
        <v>6</v>
      </c>
      <c r="D1837" s="62" t="s">
        <v>3</v>
      </c>
      <c r="E1837" s="62">
        <v>47</v>
      </c>
      <c r="F1837" s="62">
        <v>0</v>
      </c>
      <c r="I1837" s="62">
        <v>2018</v>
      </c>
      <c r="J1837" s="62">
        <v>8</v>
      </c>
      <c r="K1837" s="62" t="s">
        <v>18</v>
      </c>
      <c r="L1837" s="62" t="s">
        <v>3</v>
      </c>
      <c r="M1837" s="62">
        <v>169.432</v>
      </c>
      <c r="N1837" s="62">
        <v>110.1308</v>
      </c>
    </row>
    <row r="1838" spans="1:14">
      <c r="A1838" s="62">
        <v>2026</v>
      </c>
      <c r="B1838" s="62">
        <v>9</v>
      </c>
      <c r="C1838" s="62" t="s">
        <v>6</v>
      </c>
      <c r="D1838" s="62" t="s">
        <v>3</v>
      </c>
      <c r="E1838" s="62">
        <v>47</v>
      </c>
      <c r="F1838" s="62">
        <v>0</v>
      </c>
      <c r="I1838" s="62">
        <v>2018</v>
      </c>
      <c r="J1838" s="62">
        <v>9</v>
      </c>
      <c r="K1838" s="62" t="s">
        <v>18</v>
      </c>
      <c r="L1838" s="62" t="s">
        <v>3</v>
      </c>
      <c r="M1838" s="62">
        <v>172.9222</v>
      </c>
      <c r="N1838" s="62">
        <v>112.39943</v>
      </c>
    </row>
    <row r="1839" spans="1:14">
      <c r="A1839" s="62">
        <v>2026</v>
      </c>
      <c r="B1839" s="62">
        <v>10</v>
      </c>
      <c r="C1839" s="62" t="s">
        <v>6</v>
      </c>
      <c r="D1839" s="62" t="s">
        <v>3</v>
      </c>
      <c r="E1839" s="62">
        <v>47</v>
      </c>
      <c r="F1839" s="62">
        <v>0</v>
      </c>
      <c r="I1839" s="62">
        <v>2018</v>
      </c>
      <c r="J1839" s="62">
        <v>10</v>
      </c>
      <c r="K1839" s="62" t="s">
        <v>18</v>
      </c>
      <c r="L1839" s="62" t="s">
        <v>3</v>
      </c>
      <c r="M1839" s="62">
        <v>73.83</v>
      </c>
      <c r="N1839" s="62">
        <v>47.9895</v>
      </c>
    </row>
    <row r="1840" spans="1:14">
      <c r="A1840" s="62">
        <v>2026</v>
      </c>
      <c r="B1840" s="62">
        <v>11</v>
      </c>
      <c r="C1840" s="62" t="s">
        <v>6</v>
      </c>
      <c r="D1840" s="62" t="s">
        <v>3</v>
      </c>
      <c r="E1840" s="62">
        <v>42.3</v>
      </c>
      <c r="F1840" s="62">
        <v>0</v>
      </c>
      <c r="I1840" s="62">
        <v>2018</v>
      </c>
      <c r="J1840" s="62">
        <v>11</v>
      </c>
      <c r="K1840" s="62" t="s">
        <v>18</v>
      </c>
      <c r="L1840" s="62" t="s">
        <v>3</v>
      </c>
      <c r="M1840" s="62">
        <v>85.852</v>
      </c>
      <c r="N1840" s="62">
        <v>55.8038</v>
      </c>
    </row>
    <row r="1841" spans="1:14">
      <c r="A1841" s="62">
        <v>2014</v>
      </c>
      <c r="B1841" s="62">
        <v>1</v>
      </c>
      <c r="C1841" s="62" t="s">
        <v>7</v>
      </c>
      <c r="D1841" s="62" t="s">
        <v>1</v>
      </c>
      <c r="E1841" s="62">
        <v>66.70999999999999</v>
      </c>
      <c r="F1841" s="62">
        <v>8.559249999999999</v>
      </c>
      <c r="I1841" s="62">
        <v>2018</v>
      </c>
      <c r="J1841" s="62">
        <v>12</v>
      </c>
      <c r="K1841" s="62" t="s">
        <v>18</v>
      </c>
      <c r="L1841" s="62" t="s">
        <v>3</v>
      </c>
      <c r="M1841" s="62">
        <v>69.928</v>
      </c>
      <c r="N1841" s="62">
        <v>45.4532</v>
      </c>
    </row>
    <row r="1842" spans="1:14">
      <c r="A1842" s="62">
        <v>2014</v>
      </c>
      <c r="B1842" s="62">
        <v>2</v>
      </c>
      <c r="C1842" s="62" t="s">
        <v>7</v>
      </c>
      <c r="D1842" s="62" t="s">
        <v>1</v>
      </c>
      <c r="E1842" s="62">
        <v>95.158</v>
      </c>
      <c r="F1842" s="62">
        <v>13.56715</v>
      </c>
      <c r="I1842" s="62">
        <v>2019</v>
      </c>
      <c r="J1842" s="62">
        <v>1</v>
      </c>
      <c r="K1842" s="62" t="s">
        <v>18</v>
      </c>
      <c r="L1842" s="62" t="s">
        <v>3</v>
      </c>
      <c r="M1842" s="62">
        <v>196.489</v>
      </c>
      <c r="N1842" s="62">
        <v>127.71785</v>
      </c>
    </row>
    <row r="1843" spans="1:14">
      <c r="A1843" s="62">
        <v>2014</v>
      </c>
      <c r="B1843" s="62">
        <v>3</v>
      </c>
      <c r="C1843" s="62" t="s">
        <v>7</v>
      </c>
      <c r="D1843" s="62" t="s">
        <v>1</v>
      </c>
      <c r="E1843" s="62">
        <v>72.08199999999999</v>
      </c>
      <c r="F1843" s="62">
        <v>13.23185</v>
      </c>
      <c r="I1843" s="62">
        <v>2019</v>
      </c>
      <c r="J1843" s="62">
        <v>2</v>
      </c>
      <c r="K1843" s="62" t="s">
        <v>18</v>
      </c>
      <c r="L1843" s="62" t="s">
        <v>3</v>
      </c>
      <c r="M1843" s="62">
        <v>327.063</v>
      </c>
      <c r="N1843" s="62">
        <v>212.59095</v>
      </c>
    </row>
    <row r="1844" spans="1:14">
      <c r="A1844" s="62">
        <v>2014</v>
      </c>
      <c r="B1844" s="62">
        <v>4</v>
      </c>
      <c r="C1844" s="62" t="s">
        <v>7</v>
      </c>
      <c r="D1844" s="62" t="s">
        <v>1</v>
      </c>
      <c r="E1844" s="62">
        <v>73.057</v>
      </c>
      <c r="F1844" s="62">
        <v>13.240075</v>
      </c>
      <c r="I1844" s="62">
        <v>2019</v>
      </c>
      <c r="J1844" s="62">
        <v>3</v>
      </c>
      <c r="K1844" s="62" t="s">
        <v>18</v>
      </c>
      <c r="L1844" s="62" t="s">
        <v>3</v>
      </c>
      <c r="M1844" s="62">
        <v>351.924</v>
      </c>
      <c r="N1844" s="62">
        <v>228.7506</v>
      </c>
    </row>
    <row r="1845" spans="1:14">
      <c r="A1845" s="62">
        <v>2014</v>
      </c>
      <c r="B1845" s="62">
        <v>5</v>
      </c>
      <c r="C1845" s="62" t="s">
        <v>7</v>
      </c>
      <c r="D1845" s="62" t="s">
        <v>1</v>
      </c>
      <c r="E1845" s="62">
        <v>5.52</v>
      </c>
      <c r="F1845" s="62">
        <v>1.4412</v>
      </c>
      <c r="I1845" s="62">
        <v>2019</v>
      </c>
      <c r="J1845" s="62">
        <v>4</v>
      </c>
      <c r="K1845" s="62" t="s">
        <v>18</v>
      </c>
      <c r="L1845" s="62" t="s">
        <v>3</v>
      </c>
      <c r="M1845" s="62">
        <v>435.104</v>
      </c>
      <c r="N1845" s="62">
        <v>282.8176</v>
      </c>
    </row>
    <row r="1846" spans="1:14">
      <c r="A1846" s="62">
        <v>2014</v>
      </c>
      <c r="B1846" s="62">
        <v>6</v>
      </c>
      <c r="C1846" s="62" t="s">
        <v>7</v>
      </c>
      <c r="D1846" s="62" t="s">
        <v>1</v>
      </c>
      <c r="E1846" s="62">
        <v>123.929</v>
      </c>
      <c r="F1846" s="62">
        <v>18.33995</v>
      </c>
      <c r="I1846" s="62">
        <v>2019</v>
      </c>
      <c r="J1846" s="62">
        <v>5</v>
      </c>
      <c r="K1846" s="62" t="s">
        <v>18</v>
      </c>
      <c r="L1846" s="62" t="s">
        <v>3</v>
      </c>
      <c r="M1846" s="62">
        <v>254.842</v>
      </c>
      <c r="N1846" s="62">
        <v>165.6473</v>
      </c>
    </row>
    <row r="1847" spans="1:14">
      <c r="A1847" s="62">
        <v>2014</v>
      </c>
      <c r="B1847" s="62">
        <v>7</v>
      </c>
      <c r="C1847" s="62" t="s">
        <v>7</v>
      </c>
      <c r="D1847" s="62" t="s">
        <v>1</v>
      </c>
      <c r="E1847" s="62">
        <v>58.27</v>
      </c>
      <c r="F1847" s="62">
        <v>5.646999999999999</v>
      </c>
      <c r="I1847" s="62">
        <v>2019</v>
      </c>
      <c r="J1847" s="62">
        <v>6</v>
      </c>
      <c r="K1847" s="62" t="s">
        <v>18</v>
      </c>
      <c r="L1847" s="62" t="s">
        <v>3</v>
      </c>
      <c r="M1847" s="62">
        <v>159.618</v>
      </c>
      <c r="N1847" s="62">
        <v>103.7517</v>
      </c>
    </row>
    <row r="1848" spans="1:14">
      <c r="A1848" s="62">
        <v>2014</v>
      </c>
      <c r="B1848" s="62">
        <v>8</v>
      </c>
      <c r="C1848" s="62" t="s">
        <v>7</v>
      </c>
      <c r="D1848" s="62" t="s">
        <v>1</v>
      </c>
      <c r="E1848" s="62">
        <v>3.515</v>
      </c>
      <c r="F1848" s="62">
        <v>0.14725</v>
      </c>
      <c r="I1848" s="62">
        <v>2019</v>
      </c>
      <c r="J1848" s="62">
        <v>7</v>
      </c>
      <c r="K1848" s="62" t="s">
        <v>18</v>
      </c>
      <c r="L1848" s="62" t="s">
        <v>3</v>
      </c>
      <c r="M1848" s="62">
        <v>258.859</v>
      </c>
      <c r="N1848" s="62">
        <v>168.25835</v>
      </c>
    </row>
    <row r="1849" spans="1:14">
      <c r="A1849" s="62">
        <v>2014</v>
      </c>
      <c r="B1849" s="62">
        <v>9</v>
      </c>
      <c r="C1849" s="62" t="s">
        <v>7</v>
      </c>
      <c r="D1849" s="62" t="s">
        <v>1</v>
      </c>
      <c r="E1849" s="62">
        <v>10.25</v>
      </c>
      <c r="F1849" s="62">
        <v>3.02875</v>
      </c>
      <c r="I1849" s="62">
        <v>2019</v>
      </c>
      <c r="J1849" s="62">
        <v>8</v>
      </c>
      <c r="K1849" s="62" t="s">
        <v>18</v>
      </c>
      <c r="L1849" s="62" t="s">
        <v>3</v>
      </c>
      <c r="M1849" s="62">
        <v>131.358</v>
      </c>
      <c r="N1849" s="62">
        <v>85.38270000000001</v>
      </c>
    </row>
    <row r="1850" spans="1:14">
      <c r="A1850" s="62">
        <v>2014</v>
      </c>
      <c r="B1850" s="62">
        <v>10</v>
      </c>
      <c r="C1850" s="62" t="s">
        <v>7</v>
      </c>
      <c r="D1850" s="62" t="s">
        <v>1</v>
      </c>
      <c r="E1850" s="62">
        <v>146.402</v>
      </c>
      <c r="F1850" s="62">
        <v>44.6241</v>
      </c>
      <c r="I1850" s="62">
        <v>2019</v>
      </c>
      <c r="J1850" s="62">
        <v>9</v>
      </c>
      <c r="K1850" s="62" t="s">
        <v>18</v>
      </c>
      <c r="L1850" s="62" t="s">
        <v>3</v>
      </c>
      <c r="M1850" s="62">
        <v>162.525</v>
      </c>
      <c r="N1850" s="62">
        <v>105.64125</v>
      </c>
    </row>
    <row r="1851" spans="1:14">
      <c r="A1851" s="62">
        <v>2014</v>
      </c>
      <c r="B1851" s="62">
        <v>11</v>
      </c>
      <c r="C1851" s="62" t="s">
        <v>7</v>
      </c>
      <c r="D1851" s="62" t="s">
        <v>1</v>
      </c>
      <c r="E1851" s="62">
        <v>29.65</v>
      </c>
      <c r="F1851" s="62">
        <v>11.3735</v>
      </c>
      <c r="I1851" s="62">
        <v>2019</v>
      </c>
      <c r="J1851" s="62">
        <v>10</v>
      </c>
      <c r="K1851" s="62" t="s">
        <v>18</v>
      </c>
      <c r="L1851" s="62" t="s">
        <v>3</v>
      </c>
      <c r="M1851" s="62">
        <v>124.45</v>
      </c>
      <c r="N1851" s="62">
        <v>80.8925</v>
      </c>
    </row>
    <row r="1852" spans="1:14">
      <c r="A1852" s="62">
        <v>2015</v>
      </c>
      <c r="B1852" s="62">
        <v>1</v>
      </c>
      <c r="C1852" s="62" t="s">
        <v>7</v>
      </c>
      <c r="D1852" s="62" t="s">
        <v>1</v>
      </c>
      <c r="E1852" s="62">
        <v>0.08400000000000001</v>
      </c>
      <c r="F1852" s="62">
        <v>0.0147</v>
      </c>
      <c r="I1852" s="62">
        <v>2019</v>
      </c>
      <c r="J1852" s="62">
        <v>11</v>
      </c>
      <c r="K1852" s="62" t="s">
        <v>18</v>
      </c>
      <c r="L1852" s="62" t="s">
        <v>3</v>
      </c>
      <c r="M1852" s="62">
        <v>144.11</v>
      </c>
      <c r="N1852" s="62">
        <v>93.67149999999999</v>
      </c>
    </row>
    <row r="1853" spans="1:14">
      <c r="A1853" s="62">
        <v>2015</v>
      </c>
      <c r="B1853" s="62">
        <v>2</v>
      </c>
      <c r="C1853" s="62" t="s">
        <v>7</v>
      </c>
      <c r="D1853" s="62" t="s">
        <v>1</v>
      </c>
      <c r="E1853" s="62">
        <v>18.127</v>
      </c>
      <c r="F1853" s="62">
        <v>5.163325</v>
      </c>
      <c r="I1853" s="62">
        <v>2019</v>
      </c>
      <c r="J1853" s="62">
        <v>12</v>
      </c>
      <c r="K1853" s="62" t="s">
        <v>18</v>
      </c>
      <c r="L1853" s="62" t="s">
        <v>3</v>
      </c>
      <c r="M1853" s="62">
        <v>53.6234</v>
      </c>
      <c r="N1853" s="62">
        <v>34.85521</v>
      </c>
    </row>
    <row r="1854" spans="1:14">
      <c r="A1854" s="62">
        <v>2015</v>
      </c>
      <c r="B1854" s="62">
        <v>3</v>
      </c>
      <c r="C1854" s="62" t="s">
        <v>7</v>
      </c>
      <c r="D1854" s="62" t="s">
        <v>1</v>
      </c>
      <c r="E1854" s="62">
        <v>186.045</v>
      </c>
      <c r="F1854" s="62">
        <v>51.82595</v>
      </c>
      <c r="I1854" s="62">
        <v>2020</v>
      </c>
      <c r="J1854" s="62">
        <v>1</v>
      </c>
      <c r="K1854" s="62" t="s">
        <v>18</v>
      </c>
      <c r="L1854" s="62" t="s">
        <v>3</v>
      </c>
      <c r="M1854" s="62">
        <v>202.64</v>
      </c>
      <c r="N1854" s="62">
        <v>131.716</v>
      </c>
    </row>
    <row r="1855" spans="1:14">
      <c r="A1855" s="62">
        <v>2015</v>
      </c>
      <c r="B1855" s="62">
        <v>4</v>
      </c>
      <c r="C1855" s="62" t="s">
        <v>7</v>
      </c>
      <c r="D1855" s="62" t="s">
        <v>1</v>
      </c>
      <c r="E1855" s="62">
        <v>125.323</v>
      </c>
      <c r="F1855" s="62">
        <v>35.567</v>
      </c>
      <c r="I1855" s="62">
        <v>2020</v>
      </c>
      <c r="J1855" s="62">
        <v>2</v>
      </c>
      <c r="K1855" s="62" t="s">
        <v>18</v>
      </c>
      <c r="L1855" s="62" t="s">
        <v>3</v>
      </c>
      <c r="M1855" s="62">
        <v>567.66</v>
      </c>
      <c r="N1855" s="62">
        <v>368.979</v>
      </c>
    </row>
    <row r="1856" spans="1:14">
      <c r="A1856" s="62">
        <v>2015</v>
      </c>
      <c r="B1856" s="62">
        <v>5</v>
      </c>
      <c r="C1856" s="62" t="s">
        <v>7</v>
      </c>
      <c r="D1856" s="62" t="s">
        <v>1</v>
      </c>
      <c r="E1856" s="62">
        <v>1.212</v>
      </c>
      <c r="F1856" s="62">
        <v>0.5148</v>
      </c>
      <c r="I1856" s="62">
        <v>2020</v>
      </c>
      <c r="J1856" s="62">
        <v>3</v>
      </c>
      <c r="K1856" s="62" t="s">
        <v>18</v>
      </c>
      <c r="L1856" s="62" t="s">
        <v>3</v>
      </c>
      <c r="M1856" s="62">
        <v>598.7847</v>
      </c>
      <c r="N1856" s="62">
        <v>389.210055</v>
      </c>
    </row>
    <row r="1857" spans="1:14">
      <c r="A1857" s="62">
        <v>2015</v>
      </c>
      <c r="B1857" s="62">
        <v>6</v>
      </c>
      <c r="C1857" s="62" t="s">
        <v>7</v>
      </c>
      <c r="D1857" s="62" t="s">
        <v>1</v>
      </c>
      <c r="E1857" s="62">
        <v>43.445</v>
      </c>
      <c r="F1857" s="62">
        <v>10.402625</v>
      </c>
      <c r="I1857" s="62">
        <v>2020</v>
      </c>
      <c r="J1857" s="62">
        <v>4</v>
      </c>
      <c r="K1857" s="62" t="s">
        <v>18</v>
      </c>
      <c r="L1857" s="62" t="s">
        <v>3</v>
      </c>
      <c r="M1857" s="62">
        <v>1858.3132</v>
      </c>
      <c r="N1857" s="62">
        <v>1207.90358</v>
      </c>
    </row>
    <row r="1858" spans="1:14">
      <c r="A1858" s="62">
        <v>2015</v>
      </c>
      <c r="B1858" s="62">
        <v>7</v>
      </c>
      <c r="C1858" s="62" t="s">
        <v>7</v>
      </c>
      <c r="D1858" s="62" t="s">
        <v>1</v>
      </c>
      <c r="E1858" s="62">
        <v>111.685</v>
      </c>
      <c r="F1858" s="62">
        <v>24.11075</v>
      </c>
      <c r="I1858" s="62">
        <v>2020</v>
      </c>
      <c r="J1858" s="62">
        <v>5</v>
      </c>
      <c r="K1858" s="62" t="s">
        <v>18</v>
      </c>
      <c r="L1858" s="62" t="s">
        <v>3</v>
      </c>
      <c r="M1858" s="62">
        <v>1773.3584</v>
      </c>
      <c r="N1858" s="62">
        <v>1152.68296</v>
      </c>
    </row>
    <row r="1859" spans="1:14">
      <c r="A1859" s="62">
        <v>2015</v>
      </c>
      <c r="B1859" s="62">
        <v>8</v>
      </c>
      <c r="C1859" s="62" t="s">
        <v>7</v>
      </c>
      <c r="D1859" s="62" t="s">
        <v>1</v>
      </c>
      <c r="E1859" s="62">
        <v>140.26</v>
      </c>
      <c r="F1859" s="62">
        <v>33.365</v>
      </c>
      <c r="I1859" s="62">
        <v>2020</v>
      </c>
      <c r="J1859" s="62">
        <v>6</v>
      </c>
      <c r="K1859" s="62" t="s">
        <v>18</v>
      </c>
      <c r="L1859" s="62" t="s">
        <v>3</v>
      </c>
      <c r="M1859" s="62">
        <v>1618.063</v>
      </c>
      <c r="N1859" s="62">
        <v>1051.74095</v>
      </c>
    </row>
    <row r="1860" spans="1:14">
      <c r="A1860" s="62">
        <v>2015</v>
      </c>
      <c r="B1860" s="62">
        <v>9</v>
      </c>
      <c r="C1860" s="62" t="s">
        <v>7</v>
      </c>
      <c r="D1860" s="62" t="s">
        <v>1</v>
      </c>
      <c r="E1860" s="62">
        <v>61.617</v>
      </c>
      <c r="F1860" s="62">
        <v>21.169825</v>
      </c>
      <c r="I1860" s="62">
        <v>2020</v>
      </c>
      <c r="J1860" s="62">
        <v>7</v>
      </c>
      <c r="K1860" s="62" t="s">
        <v>18</v>
      </c>
      <c r="L1860" s="62" t="s">
        <v>3</v>
      </c>
      <c r="M1860" s="62">
        <v>1552.842</v>
      </c>
      <c r="N1860" s="62">
        <v>1009.3473</v>
      </c>
    </row>
    <row r="1861" spans="1:14">
      <c r="A1861" s="62">
        <v>2015</v>
      </c>
      <c r="B1861" s="62">
        <v>10</v>
      </c>
      <c r="C1861" s="62" t="s">
        <v>7</v>
      </c>
      <c r="D1861" s="62" t="s">
        <v>1</v>
      </c>
      <c r="E1861" s="62">
        <v>53.697</v>
      </c>
      <c r="F1861" s="62">
        <v>11.93435</v>
      </c>
      <c r="I1861" s="62">
        <v>2020</v>
      </c>
      <c r="J1861" s="62">
        <v>8</v>
      </c>
      <c r="K1861" s="62" t="s">
        <v>18</v>
      </c>
      <c r="L1861" s="62" t="s">
        <v>3</v>
      </c>
      <c r="M1861" s="62">
        <v>1436.9738</v>
      </c>
      <c r="N1861" s="62">
        <v>934.03297</v>
      </c>
    </row>
    <row r="1862" spans="1:14">
      <c r="A1862" s="62">
        <v>2015</v>
      </c>
      <c r="B1862" s="62">
        <v>11</v>
      </c>
      <c r="C1862" s="62" t="s">
        <v>7</v>
      </c>
      <c r="D1862" s="62" t="s">
        <v>1</v>
      </c>
      <c r="E1862" s="62">
        <v>31.625</v>
      </c>
      <c r="F1862" s="62">
        <v>5.779</v>
      </c>
      <c r="I1862" s="62">
        <v>2020</v>
      </c>
      <c r="J1862" s="62">
        <v>9</v>
      </c>
      <c r="K1862" s="62" t="s">
        <v>18</v>
      </c>
      <c r="L1862" s="62" t="s">
        <v>3</v>
      </c>
      <c r="M1862" s="62">
        <v>1600.3905</v>
      </c>
      <c r="N1862" s="62">
        <v>1040.253825</v>
      </c>
    </row>
    <row r="1863" spans="1:14">
      <c r="A1863" s="62">
        <v>2015</v>
      </c>
      <c r="B1863" s="62">
        <v>12</v>
      </c>
      <c r="C1863" s="62" t="s">
        <v>7</v>
      </c>
      <c r="D1863" s="62" t="s">
        <v>1</v>
      </c>
      <c r="E1863" s="62">
        <v>11.83</v>
      </c>
      <c r="F1863" s="62">
        <v>1.157</v>
      </c>
      <c r="I1863" s="62">
        <v>2020</v>
      </c>
      <c r="J1863" s="62">
        <v>10</v>
      </c>
      <c r="K1863" s="62" t="s">
        <v>18</v>
      </c>
      <c r="L1863" s="62" t="s">
        <v>3</v>
      </c>
      <c r="M1863" s="62">
        <v>1504.6131</v>
      </c>
      <c r="N1863" s="62">
        <v>977.998515</v>
      </c>
    </row>
    <row r="1864" spans="1:14">
      <c r="A1864" s="62">
        <v>2016</v>
      </c>
      <c r="B1864" s="62">
        <v>1</v>
      </c>
      <c r="C1864" s="62" t="s">
        <v>7</v>
      </c>
      <c r="D1864" s="62" t="s">
        <v>1</v>
      </c>
      <c r="E1864" s="62">
        <v>15.154</v>
      </c>
      <c r="F1864" s="62">
        <v>5.247199999999999</v>
      </c>
      <c r="I1864" s="62">
        <v>2020</v>
      </c>
      <c r="J1864" s="62">
        <v>11</v>
      </c>
      <c r="K1864" s="62" t="s">
        <v>18</v>
      </c>
      <c r="L1864" s="62" t="s">
        <v>3</v>
      </c>
      <c r="M1864" s="62">
        <v>1450.5446</v>
      </c>
      <c r="N1864" s="62">
        <v>942.85399</v>
      </c>
    </row>
    <row r="1865" spans="1:14">
      <c r="A1865" s="62">
        <v>2016</v>
      </c>
      <c r="B1865" s="62">
        <v>2</v>
      </c>
      <c r="C1865" s="62" t="s">
        <v>7</v>
      </c>
      <c r="D1865" s="62" t="s">
        <v>1</v>
      </c>
      <c r="E1865" s="62">
        <v>33.438</v>
      </c>
      <c r="F1865" s="62">
        <v>12.44</v>
      </c>
      <c r="I1865" s="62">
        <v>2020</v>
      </c>
      <c r="J1865" s="62">
        <v>12</v>
      </c>
      <c r="K1865" s="62" t="s">
        <v>18</v>
      </c>
      <c r="L1865" s="62" t="s">
        <v>3</v>
      </c>
      <c r="M1865" s="62">
        <v>1440.0285</v>
      </c>
      <c r="N1865" s="62">
        <v>936.0185250000001</v>
      </c>
    </row>
    <row r="1866" spans="1:14">
      <c r="A1866" s="62">
        <v>2016</v>
      </c>
      <c r="B1866" s="62">
        <v>3</v>
      </c>
      <c r="C1866" s="62" t="s">
        <v>7</v>
      </c>
      <c r="D1866" s="62" t="s">
        <v>1</v>
      </c>
      <c r="E1866" s="62">
        <v>132.346</v>
      </c>
      <c r="F1866" s="62">
        <v>32.04564999999999</v>
      </c>
      <c r="I1866" s="62">
        <v>2021</v>
      </c>
      <c r="J1866" s="62">
        <v>1</v>
      </c>
      <c r="K1866" s="62" t="s">
        <v>18</v>
      </c>
      <c r="L1866" s="62" t="s">
        <v>3</v>
      </c>
      <c r="M1866" s="62">
        <v>1463.073</v>
      </c>
      <c r="N1866" s="62">
        <v>950.9974500000001</v>
      </c>
    </row>
    <row r="1867" spans="1:14">
      <c r="A1867" s="62">
        <v>2016</v>
      </c>
      <c r="B1867" s="62">
        <v>4</v>
      </c>
      <c r="C1867" s="62" t="s">
        <v>7</v>
      </c>
      <c r="D1867" s="62" t="s">
        <v>1</v>
      </c>
      <c r="E1867" s="62">
        <v>179.9</v>
      </c>
      <c r="F1867" s="62">
        <v>45.58325</v>
      </c>
      <c r="I1867" s="62">
        <v>2021</v>
      </c>
      <c r="J1867" s="62">
        <v>2</v>
      </c>
      <c r="K1867" s="62" t="s">
        <v>18</v>
      </c>
      <c r="L1867" s="62" t="s">
        <v>3</v>
      </c>
      <c r="M1867" s="62">
        <v>1881.5205</v>
      </c>
      <c r="N1867" s="62">
        <v>1222.988325</v>
      </c>
    </row>
    <row r="1868" spans="1:14">
      <c r="A1868" s="62">
        <v>2016</v>
      </c>
      <c r="B1868" s="62">
        <v>5</v>
      </c>
      <c r="C1868" s="62" t="s">
        <v>7</v>
      </c>
      <c r="D1868" s="62" t="s">
        <v>1</v>
      </c>
      <c r="E1868" s="62">
        <v>88.142</v>
      </c>
      <c r="F1868" s="62">
        <v>26.4455</v>
      </c>
      <c r="I1868" s="62">
        <v>2021</v>
      </c>
      <c r="J1868" s="62">
        <v>3</v>
      </c>
      <c r="K1868" s="62" t="s">
        <v>18</v>
      </c>
      <c r="L1868" s="62" t="s">
        <v>3</v>
      </c>
      <c r="M1868" s="62">
        <v>1235.208</v>
      </c>
      <c r="N1868" s="62">
        <v>802.8852000000001</v>
      </c>
    </row>
    <row r="1869" spans="1:14">
      <c r="A1869" s="62">
        <v>2016</v>
      </c>
      <c r="B1869" s="62">
        <v>7</v>
      </c>
      <c r="C1869" s="62" t="s">
        <v>7</v>
      </c>
      <c r="D1869" s="62" t="s">
        <v>1</v>
      </c>
      <c r="E1869" s="62">
        <v>2.85</v>
      </c>
      <c r="F1869" s="62">
        <v>1.0625</v>
      </c>
      <c r="I1869" s="62">
        <v>2021</v>
      </c>
      <c r="J1869" s="62">
        <v>4</v>
      </c>
      <c r="K1869" s="62" t="s">
        <v>18</v>
      </c>
      <c r="L1869" s="62" t="s">
        <v>3</v>
      </c>
      <c r="M1869" s="62">
        <v>676.8303</v>
      </c>
      <c r="N1869" s="62">
        <v>439.939695</v>
      </c>
    </row>
    <row r="1870" spans="1:14">
      <c r="A1870" s="62">
        <v>2016</v>
      </c>
      <c r="B1870" s="62">
        <v>8</v>
      </c>
      <c r="C1870" s="62" t="s">
        <v>7</v>
      </c>
      <c r="D1870" s="62" t="s">
        <v>1</v>
      </c>
      <c r="E1870" s="62">
        <v>17.385</v>
      </c>
      <c r="F1870" s="62">
        <v>6.48125</v>
      </c>
      <c r="I1870" s="62">
        <v>2021</v>
      </c>
      <c r="J1870" s="62">
        <v>5</v>
      </c>
      <c r="K1870" s="62" t="s">
        <v>18</v>
      </c>
      <c r="L1870" s="62" t="s">
        <v>3</v>
      </c>
      <c r="M1870" s="62">
        <v>175.5931</v>
      </c>
      <c r="N1870" s="62">
        <v>114.135515</v>
      </c>
    </row>
    <row r="1871" spans="1:14">
      <c r="A1871" s="62">
        <v>2016</v>
      </c>
      <c r="B1871" s="62">
        <v>9</v>
      </c>
      <c r="C1871" s="62" t="s">
        <v>7</v>
      </c>
      <c r="D1871" s="62" t="s">
        <v>1</v>
      </c>
      <c r="E1871" s="62">
        <v>1.803</v>
      </c>
      <c r="F1871" s="62">
        <v>0.9834499999999999</v>
      </c>
      <c r="I1871" s="62">
        <v>2021</v>
      </c>
      <c r="J1871" s="62">
        <v>6</v>
      </c>
      <c r="K1871" s="62" t="s">
        <v>18</v>
      </c>
      <c r="L1871" s="62" t="s">
        <v>3</v>
      </c>
      <c r="M1871" s="62">
        <v>214.6358</v>
      </c>
      <c r="N1871" s="62">
        <v>139.51327</v>
      </c>
    </row>
    <row r="1872" spans="1:14">
      <c r="A1872" s="62">
        <v>2016</v>
      </c>
      <c r="B1872" s="62">
        <v>10</v>
      </c>
      <c r="C1872" s="62" t="s">
        <v>7</v>
      </c>
      <c r="D1872" s="62" t="s">
        <v>1</v>
      </c>
      <c r="E1872" s="62">
        <v>40.686</v>
      </c>
      <c r="F1872" s="62">
        <v>12.3725</v>
      </c>
      <c r="I1872" s="62">
        <v>2021</v>
      </c>
      <c r="J1872" s="62">
        <v>7</v>
      </c>
      <c r="K1872" s="62" t="s">
        <v>18</v>
      </c>
      <c r="L1872" s="62" t="s">
        <v>3</v>
      </c>
      <c r="M1872" s="62">
        <v>308.181</v>
      </c>
      <c r="N1872" s="62">
        <v>200.31765</v>
      </c>
    </row>
    <row r="1873" spans="1:14">
      <c r="A1873" s="62">
        <v>2016</v>
      </c>
      <c r="B1873" s="62">
        <v>11</v>
      </c>
      <c r="C1873" s="62" t="s">
        <v>7</v>
      </c>
      <c r="D1873" s="62" t="s">
        <v>1</v>
      </c>
      <c r="E1873" s="62">
        <v>5.34</v>
      </c>
      <c r="F1873" s="62">
        <v>3.471</v>
      </c>
      <c r="I1873" s="62">
        <v>2021</v>
      </c>
      <c r="J1873" s="62">
        <v>8</v>
      </c>
      <c r="K1873" s="62" t="s">
        <v>18</v>
      </c>
      <c r="L1873" s="62" t="s">
        <v>3</v>
      </c>
      <c r="M1873" s="62">
        <v>352.5475</v>
      </c>
      <c r="N1873" s="62">
        <v>229.155875</v>
      </c>
    </row>
    <row r="1874" spans="1:14">
      <c r="A1874" s="62">
        <v>2016</v>
      </c>
      <c r="B1874" s="62">
        <v>12</v>
      </c>
      <c r="C1874" s="62" t="s">
        <v>7</v>
      </c>
      <c r="D1874" s="62" t="s">
        <v>1</v>
      </c>
      <c r="E1874" s="62">
        <v>10.075</v>
      </c>
      <c r="F1874" s="62">
        <v>0.50375</v>
      </c>
      <c r="I1874" s="62">
        <v>2021</v>
      </c>
      <c r="J1874" s="62">
        <v>9</v>
      </c>
      <c r="K1874" s="62" t="s">
        <v>18</v>
      </c>
      <c r="L1874" s="62" t="s">
        <v>3</v>
      </c>
      <c r="M1874" s="62">
        <v>704.196</v>
      </c>
      <c r="N1874" s="62">
        <v>457.7274</v>
      </c>
    </row>
    <row r="1875" spans="1:14">
      <c r="A1875" s="62">
        <v>2017</v>
      </c>
      <c r="B1875" s="62">
        <v>1</v>
      </c>
      <c r="C1875" s="62" t="s">
        <v>7</v>
      </c>
      <c r="D1875" s="62" t="s">
        <v>1</v>
      </c>
      <c r="E1875" s="62">
        <v>10.845</v>
      </c>
      <c r="F1875" s="62">
        <v>4.38225</v>
      </c>
      <c r="I1875" s="62">
        <v>2021</v>
      </c>
      <c r="J1875" s="62">
        <v>10</v>
      </c>
      <c r="K1875" s="62" t="s">
        <v>18</v>
      </c>
      <c r="L1875" s="62" t="s">
        <v>3</v>
      </c>
      <c r="M1875" s="62">
        <v>588.198</v>
      </c>
      <c r="N1875" s="62">
        <v>382.3287</v>
      </c>
    </row>
    <row r="1876" spans="1:14">
      <c r="A1876" s="62">
        <v>2017</v>
      </c>
      <c r="B1876" s="62">
        <v>2</v>
      </c>
      <c r="C1876" s="62" t="s">
        <v>7</v>
      </c>
      <c r="D1876" s="62" t="s">
        <v>1</v>
      </c>
      <c r="E1876" s="62">
        <v>137.106</v>
      </c>
      <c r="F1876" s="62">
        <v>32.95755</v>
      </c>
      <c r="I1876" s="62">
        <v>2021</v>
      </c>
      <c r="J1876" s="62">
        <v>11</v>
      </c>
      <c r="K1876" s="62" t="s">
        <v>18</v>
      </c>
      <c r="L1876" s="62" t="s">
        <v>3</v>
      </c>
      <c r="M1876" s="62">
        <v>274.394</v>
      </c>
      <c r="N1876" s="62">
        <v>178.3561</v>
      </c>
    </row>
    <row r="1877" spans="1:14">
      <c r="A1877" s="62">
        <v>2017</v>
      </c>
      <c r="B1877" s="62">
        <v>3</v>
      </c>
      <c r="C1877" s="62" t="s">
        <v>7</v>
      </c>
      <c r="D1877" s="62" t="s">
        <v>1</v>
      </c>
      <c r="E1877" s="62">
        <v>220.969</v>
      </c>
      <c r="F1877" s="62">
        <v>50.96615</v>
      </c>
      <c r="I1877" s="62">
        <v>2021</v>
      </c>
      <c r="J1877" s="62">
        <v>12</v>
      </c>
      <c r="K1877" s="62" t="s">
        <v>18</v>
      </c>
      <c r="L1877" s="62" t="s">
        <v>3</v>
      </c>
      <c r="M1877" s="62">
        <v>232.045</v>
      </c>
      <c r="N1877" s="62">
        <v>150.82925</v>
      </c>
    </row>
    <row r="1878" spans="1:14">
      <c r="A1878" s="62">
        <v>2017</v>
      </c>
      <c r="B1878" s="62">
        <v>4</v>
      </c>
      <c r="C1878" s="62" t="s">
        <v>7</v>
      </c>
      <c r="D1878" s="62" t="s">
        <v>1</v>
      </c>
      <c r="E1878" s="62">
        <v>114.205</v>
      </c>
      <c r="F1878" s="62">
        <v>19.41365</v>
      </c>
      <c r="I1878" s="62">
        <v>2022</v>
      </c>
      <c r="J1878" s="62">
        <v>1</v>
      </c>
      <c r="K1878" s="62" t="s">
        <v>18</v>
      </c>
      <c r="L1878" s="62" t="s">
        <v>3</v>
      </c>
      <c r="M1878" s="62">
        <v>399.674</v>
      </c>
      <c r="N1878" s="62">
        <v>259.7881</v>
      </c>
    </row>
    <row r="1879" spans="1:14">
      <c r="A1879" s="62">
        <v>2017</v>
      </c>
      <c r="B1879" s="62">
        <v>5</v>
      </c>
      <c r="C1879" s="62" t="s">
        <v>7</v>
      </c>
      <c r="D1879" s="62" t="s">
        <v>1</v>
      </c>
      <c r="E1879" s="62">
        <v>256.5</v>
      </c>
      <c r="F1879" s="62">
        <v>47.495</v>
      </c>
      <c r="I1879" s="62">
        <v>2022</v>
      </c>
      <c r="J1879" s="62">
        <v>2</v>
      </c>
      <c r="K1879" s="62" t="s">
        <v>18</v>
      </c>
      <c r="L1879" s="62" t="s">
        <v>3</v>
      </c>
      <c r="M1879" s="62">
        <v>250.578</v>
      </c>
      <c r="N1879" s="62">
        <v>162.8757</v>
      </c>
    </row>
    <row r="1880" spans="1:14">
      <c r="A1880" s="62">
        <v>2017</v>
      </c>
      <c r="B1880" s="62">
        <v>6</v>
      </c>
      <c r="C1880" s="62" t="s">
        <v>7</v>
      </c>
      <c r="D1880" s="62" t="s">
        <v>1</v>
      </c>
      <c r="E1880" s="62">
        <v>104.655</v>
      </c>
      <c r="F1880" s="62">
        <v>21.34815</v>
      </c>
      <c r="I1880" s="62">
        <v>2022</v>
      </c>
      <c r="J1880" s="62">
        <v>3</v>
      </c>
      <c r="K1880" s="62" t="s">
        <v>18</v>
      </c>
      <c r="L1880" s="62" t="s">
        <v>3</v>
      </c>
      <c r="M1880" s="62">
        <v>60.18</v>
      </c>
      <c r="N1880" s="62">
        <v>39.117</v>
      </c>
    </row>
    <row r="1881" spans="1:14">
      <c r="A1881" s="62">
        <v>2017</v>
      </c>
      <c r="B1881" s="62">
        <v>8</v>
      </c>
      <c r="C1881" s="62" t="s">
        <v>7</v>
      </c>
      <c r="D1881" s="62" t="s">
        <v>1</v>
      </c>
      <c r="E1881" s="62">
        <v>33.59999999999999</v>
      </c>
      <c r="F1881" s="62">
        <v>5.879999999999999</v>
      </c>
      <c r="I1881" s="62">
        <v>2022</v>
      </c>
      <c r="J1881" s="62">
        <v>4</v>
      </c>
      <c r="K1881" s="62" t="s">
        <v>18</v>
      </c>
      <c r="L1881" s="62" t="s">
        <v>3</v>
      </c>
      <c r="M1881" s="62">
        <v>127.985</v>
      </c>
      <c r="N1881" s="62">
        <v>83.19024999999999</v>
      </c>
    </row>
    <row r="1882" spans="1:14">
      <c r="A1882" s="62">
        <v>2017</v>
      </c>
      <c r="B1882" s="62">
        <v>10</v>
      </c>
      <c r="C1882" s="62" t="s">
        <v>7</v>
      </c>
      <c r="D1882" s="62" t="s">
        <v>1</v>
      </c>
      <c r="E1882" s="62">
        <v>13.5</v>
      </c>
      <c r="F1882" s="62">
        <v>0.675</v>
      </c>
      <c r="I1882" s="62">
        <v>2022</v>
      </c>
      <c r="J1882" s="62">
        <v>5</v>
      </c>
      <c r="K1882" s="62" t="s">
        <v>18</v>
      </c>
      <c r="L1882" s="62" t="s">
        <v>3</v>
      </c>
      <c r="M1882" s="62">
        <v>177.638</v>
      </c>
      <c r="N1882" s="62">
        <v>115.4647</v>
      </c>
    </row>
    <row r="1883" spans="1:14">
      <c r="A1883" s="62">
        <v>2017</v>
      </c>
      <c r="B1883" s="62">
        <v>11</v>
      </c>
      <c r="C1883" s="62" t="s">
        <v>7</v>
      </c>
      <c r="D1883" s="62" t="s">
        <v>1</v>
      </c>
      <c r="E1883" s="62">
        <v>2.55</v>
      </c>
      <c r="F1883" s="62">
        <v>0.1275</v>
      </c>
      <c r="I1883" s="62">
        <v>2022</v>
      </c>
      <c r="J1883" s="62">
        <v>6</v>
      </c>
      <c r="K1883" s="62" t="s">
        <v>18</v>
      </c>
      <c r="L1883" s="62" t="s">
        <v>3</v>
      </c>
      <c r="M1883" s="62">
        <v>187.44</v>
      </c>
      <c r="N1883" s="62">
        <v>121.836</v>
      </c>
    </row>
    <row r="1884" spans="1:14">
      <c r="A1884" s="62">
        <v>2018</v>
      </c>
      <c r="B1884" s="62">
        <v>1</v>
      </c>
      <c r="C1884" s="62" t="s">
        <v>7</v>
      </c>
      <c r="D1884" s="62" t="s">
        <v>1</v>
      </c>
      <c r="E1884" s="62">
        <v>14.58</v>
      </c>
      <c r="F1884" s="62">
        <v>7.722</v>
      </c>
      <c r="I1884" s="62">
        <v>2022</v>
      </c>
      <c r="J1884" s="62">
        <v>7</v>
      </c>
      <c r="K1884" s="62" t="s">
        <v>18</v>
      </c>
      <c r="L1884" s="62" t="s">
        <v>3</v>
      </c>
      <c r="M1884" s="62">
        <v>60.092</v>
      </c>
      <c r="N1884" s="62">
        <v>39.0598</v>
      </c>
    </row>
    <row r="1885" spans="1:14">
      <c r="A1885" s="62">
        <v>2018</v>
      </c>
      <c r="B1885" s="62">
        <v>3</v>
      </c>
      <c r="C1885" s="62" t="s">
        <v>7</v>
      </c>
      <c r="D1885" s="62" t="s">
        <v>1</v>
      </c>
      <c r="E1885" s="62">
        <v>84.905</v>
      </c>
      <c r="F1885" s="62">
        <v>21.81725</v>
      </c>
      <c r="I1885" s="62">
        <v>2022</v>
      </c>
      <c r="J1885" s="62">
        <v>8</v>
      </c>
      <c r="K1885" s="62" t="s">
        <v>18</v>
      </c>
      <c r="L1885" s="62" t="s">
        <v>3</v>
      </c>
      <c r="M1885" s="62">
        <v>99.295</v>
      </c>
      <c r="N1885" s="62">
        <v>64.54175000000001</v>
      </c>
    </row>
    <row r="1886" spans="1:14">
      <c r="A1886" s="62">
        <v>2018</v>
      </c>
      <c r="B1886" s="62">
        <v>4</v>
      </c>
      <c r="C1886" s="62" t="s">
        <v>7</v>
      </c>
      <c r="D1886" s="62" t="s">
        <v>1</v>
      </c>
      <c r="E1886" s="62">
        <v>205.04</v>
      </c>
      <c r="F1886" s="62">
        <v>42.27205</v>
      </c>
      <c r="I1886" s="62">
        <v>2022</v>
      </c>
      <c r="J1886" s="62">
        <v>9</v>
      </c>
      <c r="K1886" s="62" t="s">
        <v>18</v>
      </c>
      <c r="L1886" s="62" t="s">
        <v>3</v>
      </c>
      <c r="M1886" s="62">
        <v>91.93000000000001</v>
      </c>
      <c r="N1886" s="62">
        <v>59.75450000000001</v>
      </c>
    </row>
    <row r="1887" spans="1:14">
      <c r="A1887" s="62">
        <v>2018</v>
      </c>
      <c r="B1887" s="62">
        <v>5</v>
      </c>
      <c r="C1887" s="62" t="s">
        <v>7</v>
      </c>
      <c r="D1887" s="62" t="s">
        <v>1</v>
      </c>
      <c r="E1887" s="62">
        <v>206.63</v>
      </c>
      <c r="F1887" s="62">
        <v>37.1186</v>
      </c>
      <c r="I1887" s="62">
        <v>2022</v>
      </c>
      <c r="J1887" s="62">
        <v>10</v>
      </c>
      <c r="K1887" s="62" t="s">
        <v>18</v>
      </c>
      <c r="L1887" s="62" t="s">
        <v>3</v>
      </c>
      <c r="M1887" s="62">
        <v>326.522</v>
      </c>
      <c r="N1887" s="62">
        <v>212.2393</v>
      </c>
    </row>
    <row r="1888" spans="1:14">
      <c r="A1888" s="62">
        <v>2018</v>
      </c>
      <c r="B1888" s="62">
        <v>6</v>
      </c>
      <c r="C1888" s="62" t="s">
        <v>7</v>
      </c>
      <c r="D1888" s="62" t="s">
        <v>1</v>
      </c>
      <c r="E1888" s="62">
        <v>92.78</v>
      </c>
      <c r="F1888" s="62">
        <v>17.39</v>
      </c>
      <c r="I1888" s="62">
        <v>2022</v>
      </c>
      <c r="J1888" s="62">
        <v>11</v>
      </c>
      <c r="K1888" s="62" t="s">
        <v>18</v>
      </c>
      <c r="L1888" s="62" t="s">
        <v>3</v>
      </c>
      <c r="M1888" s="62">
        <v>336.275</v>
      </c>
      <c r="N1888" s="62">
        <v>218.57875</v>
      </c>
    </row>
    <row r="1889" spans="1:14">
      <c r="A1889" s="62">
        <v>2018</v>
      </c>
      <c r="B1889" s="62">
        <v>7</v>
      </c>
      <c r="C1889" s="62" t="s">
        <v>7</v>
      </c>
      <c r="D1889" s="62" t="s">
        <v>1</v>
      </c>
      <c r="E1889" s="62">
        <v>71.185</v>
      </c>
      <c r="F1889" s="62">
        <v>16.54325</v>
      </c>
      <c r="I1889" s="62">
        <v>2022</v>
      </c>
      <c r="J1889" s="62">
        <v>12</v>
      </c>
      <c r="K1889" s="62" t="s">
        <v>18</v>
      </c>
      <c r="L1889" s="62" t="s">
        <v>3</v>
      </c>
      <c r="M1889" s="62">
        <v>502.583</v>
      </c>
      <c r="N1889" s="62">
        <v>326.67895</v>
      </c>
    </row>
    <row r="1890" spans="1:14">
      <c r="A1890" s="62">
        <v>2018</v>
      </c>
      <c r="B1890" s="62">
        <v>8</v>
      </c>
      <c r="C1890" s="62" t="s">
        <v>7</v>
      </c>
      <c r="D1890" s="62" t="s">
        <v>1</v>
      </c>
      <c r="E1890" s="62">
        <v>240.638</v>
      </c>
      <c r="F1890" s="62">
        <v>66.40219999999999</v>
      </c>
      <c r="I1890" s="62">
        <v>2023</v>
      </c>
      <c r="J1890" s="62">
        <v>1</v>
      </c>
      <c r="K1890" s="62" t="s">
        <v>18</v>
      </c>
      <c r="L1890" s="62" t="s">
        <v>3</v>
      </c>
      <c r="M1890" s="62">
        <v>382.407</v>
      </c>
      <c r="N1890" s="62">
        <v>248.56455</v>
      </c>
    </row>
    <row r="1891" spans="1:14">
      <c r="A1891" s="62">
        <v>2018</v>
      </c>
      <c r="B1891" s="62">
        <v>9</v>
      </c>
      <c r="C1891" s="62" t="s">
        <v>7</v>
      </c>
      <c r="D1891" s="62" t="s">
        <v>1</v>
      </c>
      <c r="E1891" s="62">
        <v>109.025</v>
      </c>
      <c r="F1891" s="62">
        <v>25.25075</v>
      </c>
      <c r="I1891" s="62">
        <v>2023</v>
      </c>
      <c r="J1891" s="62">
        <v>2</v>
      </c>
      <c r="K1891" s="62" t="s">
        <v>18</v>
      </c>
      <c r="L1891" s="62" t="s">
        <v>3</v>
      </c>
      <c r="M1891" s="62">
        <v>327.598</v>
      </c>
      <c r="N1891" s="62">
        <v>212.9387</v>
      </c>
    </row>
    <row r="1892" spans="1:14">
      <c r="A1892" s="62">
        <v>2018</v>
      </c>
      <c r="B1892" s="62">
        <v>10</v>
      </c>
      <c r="C1892" s="62" t="s">
        <v>7</v>
      </c>
      <c r="D1892" s="62" t="s">
        <v>1</v>
      </c>
      <c r="E1892" s="62">
        <v>194.01</v>
      </c>
      <c r="F1892" s="62">
        <v>39.4674</v>
      </c>
      <c r="I1892" s="62">
        <v>2023</v>
      </c>
      <c r="J1892" s="62">
        <v>3</v>
      </c>
      <c r="K1892" s="62" t="s">
        <v>18</v>
      </c>
      <c r="L1892" s="62" t="s">
        <v>3</v>
      </c>
      <c r="M1892" s="62">
        <v>450.195</v>
      </c>
      <c r="N1892" s="62">
        <v>292.62675</v>
      </c>
    </row>
    <row r="1893" spans="1:14">
      <c r="A1893" s="62">
        <v>2018</v>
      </c>
      <c r="B1893" s="62">
        <v>11</v>
      </c>
      <c r="C1893" s="62" t="s">
        <v>7</v>
      </c>
      <c r="D1893" s="62" t="s">
        <v>1</v>
      </c>
      <c r="E1893" s="62">
        <v>218.947</v>
      </c>
      <c r="F1893" s="62">
        <v>40.93885</v>
      </c>
      <c r="I1893" s="62">
        <v>2023</v>
      </c>
      <c r="J1893" s="62">
        <v>4</v>
      </c>
      <c r="K1893" s="62" t="s">
        <v>18</v>
      </c>
      <c r="L1893" s="62" t="s">
        <v>3</v>
      </c>
      <c r="M1893" s="62">
        <v>308.771</v>
      </c>
      <c r="N1893" s="62">
        <v>200.70115</v>
      </c>
    </row>
    <row r="1894" spans="1:14">
      <c r="A1894" s="62">
        <v>2018</v>
      </c>
      <c r="B1894" s="62">
        <v>12</v>
      </c>
      <c r="C1894" s="62" t="s">
        <v>7</v>
      </c>
      <c r="D1894" s="62" t="s">
        <v>1</v>
      </c>
      <c r="E1894" s="62">
        <v>141</v>
      </c>
      <c r="F1894" s="62">
        <v>28.875</v>
      </c>
      <c r="I1894" s="62">
        <v>2023</v>
      </c>
      <c r="J1894" s="62">
        <v>5</v>
      </c>
      <c r="K1894" s="62" t="s">
        <v>18</v>
      </c>
      <c r="L1894" s="62" t="s">
        <v>3</v>
      </c>
      <c r="M1894" s="62">
        <v>283.965</v>
      </c>
      <c r="N1894" s="62">
        <v>184.57725</v>
      </c>
    </row>
    <row r="1895" spans="1:14">
      <c r="A1895" s="62">
        <v>2019</v>
      </c>
      <c r="B1895" s="62">
        <v>1</v>
      </c>
      <c r="C1895" s="62" t="s">
        <v>7</v>
      </c>
      <c r="D1895" s="62" t="s">
        <v>1</v>
      </c>
      <c r="E1895" s="62">
        <v>59.935</v>
      </c>
      <c r="F1895" s="62">
        <v>15.16975</v>
      </c>
      <c r="I1895" s="62">
        <v>2023</v>
      </c>
      <c r="J1895" s="62">
        <v>6</v>
      </c>
      <c r="K1895" s="62" t="s">
        <v>18</v>
      </c>
      <c r="L1895" s="62" t="s">
        <v>3</v>
      </c>
      <c r="M1895" s="62">
        <v>359.8725</v>
      </c>
      <c r="N1895" s="62">
        <v>233.917125</v>
      </c>
    </row>
    <row r="1896" spans="1:14">
      <c r="A1896" s="62">
        <v>2019</v>
      </c>
      <c r="B1896" s="62">
        <v>2</v>
      </c>
      <c r="C1896" s="62" t="s">
        <v>7</v>
      </c>
      <c r="D1896" s="62" t="s">
        <v>1</v>
      </c>
      <c r="E1896" s="62">
        <v>50.572</v>
      </c>
      <c r="F1896" s="62">
        <v>10.2176</v>
      </c>
      <c r="I1896" s="62">
        <v>2023</v>
      </c>
      <c r="J1896" s="62">
        <v>7</v>
      </c>
      <c r="K1896" s="62" t="s">
        <v>18</v>
      </c>
      <c r="L1896" s="62" t="s">
        <v>3</v>
      </c>
      <c r="M1896" s="62">
        <v>220.88</v>
      </c>
      <c r="N1896" s="62">
        <v>143.572</v>
      </c>
    </row>
    <row r="1897" spans="1:14">
      <c r="A1897" s="62">
        <v>2019</v>
      </c>
      <c r="B1897" s="62">
        <v>3</v>
      </c>
      <c r="C1897" s="62" t="s">
        <v>7</v>
      </c>
      <c r="D1897" s="62" t="s">
        <v>1</v>
      </c>
      <c r="E1897" s="62">
        <v>18.3315</v>
      </c>
      <c r="F1897" s="62">
        <v>4.9928</v>
      </c>
      <c r="I1897" s="62">
        <v>2023</v>
      </c>
      <c r="J1897" s="62">
        <v>8</v>
      </c>
      <c r="K1897" s="62" t="s">
        <v>18</v>
      </c>
      <c r="L1897" s="62" t="s">
        <v>3</v>
      </c>
      <c r="M1897" s="62">
        <v>109.135</v>
      </c>
      <c r="N1897" s="62">
        <v>70.93775000000001</v>
      </c>
    </row>
    <row r="1898" spans="1:14">
      <c r="A1898" s="62">
        <v>2019</v>
      </c>
      <c r="B1898" s="62">
        <v>4</v>
      </c>
      <c r="C1898" s="62" t="s">
        <v>7</v>
      </c>
      <c r="D1898" s="62" t="s">
        <v>1</v>
      </c>
      <c r="E1898" s="62">
        <v>33.672</v>
      </c>
      <c r="F1898" s="62">
        <v>7.09055</v>
      </c>
      <c r="I1898" s="62">
        <v>2023</v>
      </c>
      <c r="J1898" s="62">
        <v>9</v>
      </c>
      <c r="K1898" s="62" t="s">
        <v>18</v>
      </c>
      <c r="L1898" s="62" t="s">
        <v>3</v>
      </c>
      <c r="M1898" s="62">
        <v>180</v>
      </c>
      <c r="N1898" s="62">
        <v>117</v>
      </c>
    </row>
    <row r="1899" spans="1:14">
      <c r="A1899" s="62">
        <v>2019</v>
      </c>
      <c r="B1899" s="62">
        <v>5</v>
      </c>
      <c r="C1899" s="62" t="s">
        <v>7</v>
      </c>
      <c r="D1899" s="62" t="s">
        <v>1</v>
      </c>
      <c r="E1899" s="62">
        <v>4.992</v>
      </c>
      <c r="F1899" s="62">
        <v>1.5096</v>
      </c>
      <c r="I1899" s="62">
        <v>2023</v>
      </c>
      <c r="J1899" s="62">
        <v>10</v>
      </c>
      <c r="K1899" s="62" t="s">
        <v>18</v>
      </c>
      <c r="L1899" s="62" t="s">
        <v>3</v>
      </c>
      <c r="M1899" s="62">
        <v>134.26</v>
      </c>
      <c r="N1899" s="62">
        <v>87.26900000000001</v>
      </c>
    </row>
    <row r="1900" spans="1:14">
      <c r="A1900" s="62">
        <v>2019</v>
      </c>
      <c r="B1900" s="62">
        <v>6</v>
      </c>
      <c r="C1900" s="62" t="s">
        <v>7</v>
      </c>
      <c r="D1900" s="62" t="s">
        <v>1</v>
      </c>
      <c r="E1900" s="62">
        <v>8.1</v>
      </c>
      <c r="F1900" s="62">
        <v>1.4175</v>
      </c>
      <c r="I1900" s="62">
        <v>2023</v>
      </c>
      <c r="J1900" s="62">
        <v>11</v>
      </c>
      <c r="K1900" s="62" t="s">
        <v>18</v>
      </c>
      <c r="L1900" s="62" t="s">
        <v>3</v>
      </c>
      <c r="M1900" s="62">
        <v>100.55</v>
      </c>
      <c r="N1900" s="62">
        <v>65.3575</v>
      </c>
    </row>
    <row r="1901" spans="1:14">
      <c r="A1901" s="62">
        <v>2019</v>
      </c>
      <c r="B1901" s="62">
        <v>7</v>
      </c>
      <c r="C1901" s="62" t="s">
        <v>7</v>
      </c>
      <c r="D1901" s="62" t="s">
        <v>1</v>
      </c>
      <c r="E1901" s="62">
        <v>16.14</v>
      </c>
      <c r="F1901" s="62">
        <v>1.2075</v>
      </c>
      <c r="I1901" s="62">
        <v>2023</v>
      </c>
      <c r="J1901" s="62">
        <v>12</v>
      </c>
      <c r="K1901" s="62" t="s">
        <v>18</v>
      </c>
      <c r="L1901" s="62" t="s">
        <v>3</v>
      </c>
      <c r="M1901" s="62">
        <v>95.504</v>
      </c>
      <c r="N1901" s="62">
        <v>62.0776</v>
      </c>
    </row>
    <row r="1902" spans="1:14">
      <c r="A1902" s="62">
        <v>2019</v>
      </c>
      <c r="B1902" s="62">
        <v>9</v>
      </c>
      <c r="C1902" s="62" t="s">
        <v>7</v>
      </c>
      <c r="D1902" s="62" t="s">
        <v>1</v>
      </c>
      <c r="E1902" s="62">
        <v>127.876</v>
      </c>
      <c r="F1902" s="62">
        <v>31.45895</v>
      </c>
      <c r="I1902" s="62">
        <v>2024</v>
      </c>
      <c r="J1902" s="62">
        <v>1</v>
      </c>
      <c r="K1902" s="62" t="s">
        <v>18</v>
      </c>
      <c r="L1902" s="62" t="s">
        <v>3</v>
      </c>
      <c r="M1902" s="62">
        <v>127.195</v>
      </c>
      <c r="N1902" s="62">
        <v>82.67675</v>
      </c>
    </row>
    <row r="1903" spans="1:14">
      <c r="A1903" s="62">
        <v>2019</v>
      </c>
      <c r="B1903" s="62">
        <v>10</v>
      </c>
      <c r="C1903" s="62" t="s">
        <v>7</v>
      </c>
      <c r="D1903" s="62" t="s">
        <v>1</v>
      </c>
      <c r="E1903" s="62">
        <v>206.602</v>
      </c>
      <c r="F1903" s="62">
        <v>54.40385</v>
      </c>
      <c r="I1903" s="62">
        <v>2024</v>
      </c>
      <c r="J1903" s="62">
        <v>2</v>
      </c>
      <c r="K1903" s="62" t="s">
        <v>18</v>
      </c>
      <c r="L1903" s="62" t="s">
        <v>3</v>
      </c>
      <c r="M1903" s="62">
        <v>617.4778</v>
      </c>
      <c r="N1903" s="62">
        <v>401.36057</v>
      </c>
    </row>
    <row r="1904" spans="1:14">
      <c r="A1904" s="62">
        <v>2019</v>
      </c>
      <c r="B1904" s="62">
        <v>11</v>
      </c>
      <c r="C1904" s="62" t="s">
        <v>7</v>
      </c>
      <c r="D1904" s="62" t="s">
        <v>1</v>
      </c>
      <c r="E1904" s="62">
        <v>47.39</v>
      </c>
      <c r="F1904" s="62">
        <v>13.541</v>
      </c>
      <c r="I1904" s="62">
        <v>2024</v>
      </c>
      <c r="J1904" s="62">
        <v>3</v>
      </c>
      <c r="K1904" s="62" t="s">
        <v>18</v>
      </c>
      <c r="L1904" s="62" t="s">
        <v>3</v>
      </c>
      <c r="M1904" s="62">
        <v>188.755</v>
      </c>
      <c r="N1904" s="62">
        <v>122.69075</v>
      </c>
    </row>
    <row r="1905" spans="1:14">
      <c r="A1905" s="62">
        <v>2020</v>
      </c>
      <c r="B1905" s="62">
        <v>2</v>
      </c>
      <c r="C1905" s="62" t="s">
        <v>7</v>
      </c>
      <c r="D1905" s="62" t="s">
        <v>1</v>
      </c>
      <c r="E1905" s="62">
        <v>14.55</v>
      </c>
      <c r="F1905" s="62">
        <v>3.856</v>
      </c>
      <c r="I1905" s="62">
        <v>2024</v>
      </c>
      <c r="J1905" s="62">
        <v>4</v>
      </c>
      <c r="K1905" s="62" t="s">
        <v>18</v>
      </c>
      <c r="L1905" s="62" t="s">
        <v>3</v>
      </c>
      <c r="M1905" s="62">
        <v>246.672</v>
      </c>
      <c r="N1905" s="62">
        <v>160.3368</v>
      </c>
    </row>
    <row r="1906" spans="1:14">
      <c r="A1906" s="62">
        <v>2020</v>
      </c>
      <c r="B1906" s="62">
        <v>3</v>
      </c>
      <c r="C1906" s="62" t="s">
        <v>7</v>
      </c>
      <c r="D1906" s="62" t="s">
        <v>1</v>
      </c>
      <c r="E1906" s="62">
        <v>258.6157</v>
      </c>
      <c r="F1906" s="62">
        <v>66.08871499999999</v>
      </c>
      <c r="I1906" s="62">
        <v>2024</v>
      </c>
      <c r="J1906" s="62">
        <v>5</v>
      </c>
      <c r="K1906" s="62" t="s">
        <v>18</v>
      </c>
      <c r="L1906" s="62" t="s">
        <v>3</v>
      </c>
      <c r="M1906" s="62">
        <v>127.895</v>
      </c>
      <c r="N1906" s="62">
        <v>83.13175000000001</v>
      </c>
    </row>
    <row r="1907" spans="1:14">
      <c r="A1907" s="62">
        <v>2020</v>
      </c>
      <c r="B1907" s="62">
        <v>4</v>
      </c>
      <c r="C1907" s="62" t="s">
        <v>7</v>
      </c>
      <c r="D1907" s="62" t="s">
        <v>1</v>
      </c>
      <c r="E1907" s="62">
        <v>390.2682</v>
      </c>
      <c r="F1907" s="62">
        <v>85.324895</v>
      </c>
      <c r="I1907" s="62">
        <v>2024</v>
      </c>
      <c r="J1907" s="62">
        <v>6</v>
      </c>
      <c r="K1907" s="62" t="s">
        <v>18</v>
      </c>
      <c r="L1907" s="62" t="s">
        <v>3</v>
      </c>
      <c r="M1907" s="62">
        <v>132.465</v>
      </c>
      <c r="N1907" s="62">
        <v>86.10225</v>
      </c>
    </row>
    <row r="1908" spans="1:14">
      <c r="A1908" s="62">
        <v>2020</v>
      </c>
      <c r="B1908" s="62">
        <v>5</v>
      </c>
      <c r="C1908" s="62" t="s">
        <v>7</v>
      </c>
      <c r="D1908" s="62" t="s">
        <v>1</v>
      </c>
      <c r="E1908" s="62">
        <v>393.05</v>
      </c>
      <c r="F1908" s="62">
        <v>84.367</v>
      </c>
      <c r="I1908" s="62">
        <v>2024</v>
      </c>
      <c r="J1908" s="62">
        <v>7</v>
      </c>
      <c r="K1908" s="62" t="s">
        <v>18</v>
      </c>
      <c r="L1908" s="62" t="s">
        <v>3</v>
      </c>
      <c r="M1908" s="62">
        <v>309.096</v>
      </c>
      <c r="N1908" s="62">
        <v>200.9124</v>
      </c>
    </row>
    <row r="1909" spans="1:14">
      <c r="A1909" s="62">
        <v>2020</v>
      </c>
      <c r="B1909" s="62">
        <v>6</v>
      </c>
      <c r="C1909" s="62" t="s">
        <v>7</v>
      </c>
      <c r="D1909" s="62" t="s">
        <v>1</v>
      </c>
      <c r="E1909" s="62">
        <v>309.2614</v>
      </c>
      <c r="F1909" s="62">
        <v>68.47064</v>
      </c>
      <c r="I1909" s="62">
        <v>2024</v>
      </c>
      <c r="J1909" s="62">
        <v>8</v>
      </c>
      <c r="K1909" s="62" t="s">
        <v>18</v>
      </c>
      <c r="L1909" s="62" t="s">
        <v>3</v>
      </c>
      <c r="M1909" s="62">
        <v>173.5444</v>
      </c>
      <c r="N1909" s="62">
        <v>112.80386</v>
      </c>
    </row>
    <row r="1910" spans="1:14">
      <c r="A1910" s="62">
        <v>2020</v>
      </c>
      <c r="B1910" s="62">
        <v>7</v>
      </c>
      <c r="C1910" s="62" t="s">
        <v>7</v>
      </c>
      <c r="D1910" s="62" t="s">
        <v>1</v>
      </c>
      <c r="E1910" s="62">
        <v>306.67</v>
      </c>
      <c r="F1910" s="62">
        <v>67.979</v>
      </c>
      <c r="I1910" s="62">
        <v>2024</v>
      </c>
      <c r="J1910" s="62">
        <v>9</v>
      </c>
      <c r="K1910" s="62" t="s">
        <v>18</v>
      </c>
      <c r="L1910" s="62" t="s">
        <v>3</v>
      </c>
      <c r="M1910" s="62">
        <v>301.055</v>
      </c>
      <c r="N1910" s="62">
        <v>195.68575</v>
      </c>
    </row>
    <row r="1911" spans="1:14">
      <c r="A1911" s="62">
        <v>2020</v>
      </c>
      <c r="B1911" s="62">
        <v>8</v>
      </c>
      <c r="C1911" s="62" t="s">
        <v>7</v>
      </c>
      <c r="D1911" s="62" t="s">
        <v>1</v>
      </c>
      <c r="E1911" s="62">
        <v>283.3792</v>
      </c>
      <c r="F1911" s="62">
        <v>63.01508</v>
      </c>
      <c r="I1911" s="62">
        <v>2024</v>
      </c>
      <c r="J1911" s="62">
        <v>10</v>
      </c>
      <c r="K1911" s="62" t="s">
        <v>18</v>
      </c>
      <c r="L1911" s="62" t="s">
        <v>3</v>
      </c>
      <c r="M1911" s="62">
        <v>121.356</v>
      </c>
      <c r="N1911" s="62">
        <v>78.8814</v>
      </c>
    </row>
    <row r="1912" spans="1:14">
      <c r="A1912" s="62">
        <v>2020</v>
      </c>
      <c r="B1912" s="62">
        <v>9</v>
      </c>
      <c r="C1912" s="62" t="s">
        <v>7</v>
      </c>
      <c r="D1912" s="62" t="s">
        <v>1</v>
      </c>
      <c r="E1912" s="62">
        <v>301.51</v>
      </c>
      <c r="F1912" s="62">
        <v>68.98604999999999</v>
      </c>
      <c r="I1912" s="62">
        <v>2024</v>
      </c>
      <c r="J1912" s="62">
        <v>11</v>
      </c>
      <c r="K1912" s="62" t="s">
        <v>18</v>
      </c>
      <c r="L1912" s="62" t="s">
        <v>3</v>
      </c>
      <c r="M1912" s="62">
        <v>27.295</v>
      </c>
      <c r="N1912" s="62">
        <v>17.74175</v>
      </c>
    </row>
    <row r="1913" spans="1:14">
      <c r="A1913" s="62">
        <v>2020</v>
      </c>
      <c r="B1913" s="62">
        <v>10</v>
      </c>
      <c r="C1913" s="62" t="s">
        <v>7</v>
      </c>
      <c r="D1913" s="62" t="s">
        <v>1</v>
      </c>
      <c r="E1913" s="62">
        <v>312.878</v>
      </c>
      <c r="F1913" s="62">
        <v>73.72099</v>
      </c>
      <c r="I1913" s="62">
        <v>2024</v>
      </c>
      <c r="J1913" s="62">
        <v>12</v>
      </c>
      <c r="K1913" s="62" t="s">
        <v>18</v>
      </c>
      <c r="L1913" s="62" t="s">
        <v>3</v>
      </c>
      <c r="M1913" s="62">
        <v>46.104</v>
      </c>
      <c r="N1913" s="62">
        <v>29.9676</v>
      </c>
    </row>
    <row r="1914" spans="1:14">
      <c r="A1914" s="62">
        <v>2020</v>
      </c>
      <c r="B1914" s="62">
        <v>11</v>
      </c>
      <c r="C1914" s="62" t="s">
        <v>7</v>
      </c>
      <c r="D1914" s="62" t="s">
        <v>1</v>
      </c>
      <c r="E1914" s="62">
        <v>266.3871</v>
      </c>
      <c r="F1914" s="62">
        <v>61.551115</v>
      </c>
      <c r="I1914" s="62">
        <v>2025</v>
      </c>
      <c r="J1914" s="62">
        <v>1</v>
      </c>
      <c r="K1914" s="62" t="s">
        <v>18</v>
      </c>
      <c r="L1914" s="62" t="s">
        <v>3</v>
      </c>
      <c r="M1914" s="62">
        <v>146.656</v>
      </c>
      <c r="N1914" s="62">
        <v>95.32640000000001</v>
      </c>
    </row>
    <row r="1915" spans="1:14">
      <c r="A1915" s="62">
        <v>2020</v>
      </c>
      <c r="B1915" s="62">
        <v>12</v>
      </c>
      <c r="C1915" s="62" t="s">
        <v>7</v>
      </c>
      <c r="D1915" s="62" t="s">
        <v>1</v>
      </c>
      <c r="E1915" s="62">
        <v>261.59</v>
      </c>
      <c r="F1915" s="62">
        <v>58.433</v>
      </c>
      <c r="I1915" s="62">
        <v>2025</v>
      </c>
      <c r="J1915" s="62">
        <v>2</v>
      </c>
      <c r="K1915" s="62" t="s">
        <v>18</v>
      </c>
      <c r="L1915" s="62" t="s">
        <v>3</v>
      </c>
      <c r="M1915" s="62">
        <v>194.261</v>
      </c>
      <c r="N1915" s="62">
        <v>126.26965</v>
      </c>
    </row>
    <row r="1916" spans="1:14">
      <c r="A1916" s="62">
        <v>2021</v>
      </c>
      <c r="B1916" s="62">
        <v>1</v>
      </c>
      <c r="C1916" s="62" t="s">
        <v>7</v>
      </c>
      <c r="D1916" s="62" t="s">
        <v>1</v>
      </c>
      <c r="E1916" s="62">
        <v>274.298</v>
      </c>
      <c r="F1916" s="62">
        <v>60.0836</v>
      </c>
      <c r="I1916" s="62">
        <v>2025</v>
      </c>
      <c r="J1916" s="62">
        <v>3</v>
      </c>
      <c r="K1916" s="62" t="s">
        <v>18</v>
      </c>
      <c r="L1916" s="62" t="s">
        <v>3</v>
      </c>
      <c r="M1916" s="62">
        <v>232.198</v>
      </c>
      <c r="N1916" s="62">
        <v>150.9287</v>
      </c>
    </row>
    <row r="1917" spans="1:14">
      <c r="A1917" s="62">
        <v>2021</v>
      </c>
      <c r="B1917" s="62">
        <v>2</v>
      </c>
      <c r="C1917" s="62" t="s">
        <v>7</v>
      </c>
      <c r="D1917" s="62" t="s">
        <v>1</v>
      </c>
      <c r="E1917" s="62">
        <v>414.9561</v>
      </c>
      <c r="F1917" s="62">
        <v>87.736625</v>
      </c>
      <c r="I1917" s="62">
        <v>2025</v>
      </c>
      <c r="J1917" s="62">
        <v>4</v>
      </c>
      <c r="K1917" s="62" t="s">
        <v>18</v>
      </c>
      <c r="L1917" s="62" t="s">
        <v>3</v>
      </c>
      <c r="M1917" s="62">
        <v>244.4</v>
      </c>
      <c r="N1917" s="62">
        <v>158.86</v>
      </c>
    </row>
    <row r="1918" spans="1:14">
      <c r="A1918" s="62">
        <v>2021</v>
      </c>
      <c r="B1918" s="62">
        <v>3</v>
      </c>
      <c r="C1918" s="62" t="s">
        <v>7</v>
      </c>
      <c r="D1918" s="62" t="s">
        <v>1</v>
      </c>
      <c r="E1918" s="62">
        <v>348.5614</v>
      </c>
      <c r="F1918" s="62">
        <v>74.96091</v>
      </c>
      <c r="I1918" s="62">
        <v>2025</v>
      </c>
      <c r="J1918" s="62">
        <v>5</v>
      </c>
      <c r="K1918" s="62" t="s">
        <v>18</v>
      </c>
      <c r="L1918" s="62" t="s">
        <v>3</v>
      </c>
      <c r="M1918" s="62">
        <v>221.525</v>
      </c>
      <c r="N1918" s="62">
        <v>143.99125</v>
      </c>
    </row>
    <row r="1919" spans="1:14">
      <c r="A1919" s="62">
        <v>2021</v>
      </c>
      <c r="B1919" s="62">
        <v>4</v>
      </c>
      <c r="C1919" s="62" t="s">
        <v>7</v>
      </c>
      <c r="D1919" s="62" t="s">
        <v>1</v>
      </c>
      <c r="E1919" s="62">
        <v>450.1151</v>
      </c>
      <c r="F1919" s="62">
        <v>107.25252</v>
      </c>
      <c r="I1919" s="62">
        <v>2025</v>
      </c>
      <c r="J1919" s="62">
        <v>6</v>
      </c>
      <c r="K1919" s="62" t="s">
        <v>18</v>
      </c>
      <c r="L1919" s="62" t="s">
        <v>3</v>
      </c>
      <c r="M1919" s="62">
        <v>194.571</v>
      </c>
      <c r="N1919" s="62">
        <v>126.47115</v>
      </c>
    </row>
    <row r="1920" spans="1:14">
      <c r="A1920" s="62">
        <v>2021</v>
      </c>
      <c r="B1920" s="62">
        <v>5</v>
      </c>
      <c r="C1920" s="62" t="s">
        <v>7</v>
      </c>
      <c r="D1920" s="62" t="s">
        <v>1</v>
      </c>
      <c r="E1920" s="62">
        <v>451.2218</v>
      </c>
      <c r="F1920" s="62">
        <v>100.052595</v>
      </c>
      <c r="I1920" s="62">
        <v>2025</v>
      </c>
      <c r="J1920" s="62">
        <v>7</v>
      </c>
      <c r="K1920" s="62" t="s">
        <v>18</v>
      </c>
      <c r="L1920" s="62" t="s">
        <v>3</v>
      </c>
      <c r="M1920" s="62">
        <v>168.407</v>
      </c>
      <c r="N1920" s="62">
        <v>109.46455</v>
      </c>
    </row>
    <row r="1921" spans="1:14">
      <c r="A1921" s="62">
        <v>2021</v>
      </c>
      <c r="B1921" s="62">
        <v>6</v>
      </c>
      <c r="C1921" s="62" t="s">
        <v>7</v>
      </c>
      <c r="D1921" s="62" t="s">
        <v>1</v>
      </c>
      <c r="E1921" s="62">
        <v>317.9231</v>
      </c>
      <c r="F1921" s="62">
        <v>70.145325</v>
      </c>
      <c r="I1921" s="62">
        <v>2025</v>
      </c>
      <c r="J1921" s="62">
        <v>8</v>
      </c>
      <c r="K1921" s="62" t="s">
        <v>18</v>
      </c>
      <c r="L1921" s="62" t="s">
        <v>3</v>
      </c>
      <c r="M1921" s="62">
        <v>143.195</v>
      </c>
      <c r="N1921" s="62">
        <v>93.07675</v>
      </c>
    </row>
    <row r="1922" spans="1:14">
      <c r="A1922" s="62">
        <v>2021</v>
      </c>
      <c r="B1922" s="62">
        <v>7</v>
      </c>
      <c r="C1922" s="62" t="s">
        <v>7</v>
      </c>
      <c r="D1922" s="62" t="s">
        <v>1</v>
      </c>
      <c r="E1922" s="62">
        <v>62.3058</v>
      </c>
      <c r="F1922" s="62">
        <v>11.05899</v>
      </c>
      <c r="I1922" s="62">
        <v>2025</v>
      </c>
      <c r="J1922" s="62">
        <v>9</v>
      </c>
      <c r="K1922" s="62" t="s">
        <v>18</v>
      </c>
      <c r="L1922" s="62" t="s">
        <v>3</v>
      </c>
      <c r="M1922" s="62">
        <v>152.205</v>
      </c>
      <c r="N1922" s="62">
        <v>98.93325</v>
      </c>
    </row>
    <row r="1923" spans="1:14">
      <c r="A1923" s="62">
        <v>2021</v>
      </c>
      <c r="B1923" s="62">
        <v>8</v>
      </c>
      <c r="C1923" s="62" t="s">
        <v>7</v>
      </c>
      <c r="D1923" s="62" t="s">
        <v>1</v>
      </c>
      <c r="E1923" s="62">
        <v>86.44499999999999</v>
      </c>
      <c r="F1923" s="62">
        <v>23.28525</v>
      </c>
      <c r="I1923" s="62">
        <v>2025</v>
      </c>
      <c r="J1923" s="62">
        <v>10</v>
      </c>
      <c r="K1923" s="62" t="s">
        <v>18</v>
      </c>
      <c r="L1923" s="62" t="s">
        <v>3</v>
      </c>
      <c r="M1923" s="62">
        <v>319.1215</v>
      </c>
      <c r="N1923" s="62">
        <v>207.428975</v>
      </c>
    </row>
    <row r="1924" spans="1:14">
      <c r="A1924" s="62">
        <v>2021</v>
      </c>
      <c r="B1924" s="62">
        <v>9</v>
      </c>
      <c r="C1924" s="62" t="s">
        <v>7</v>
      </c>
      <c r="D1924" s="62" t="s">
        <v>1</v>
      </c>
      <c r="E1924" s="62">
        <v>33.51</v>
      </c>
      <c r="F1924" s="62">
        <v>10.0395</v>
      </c>
      <c r="I1924" s="62">
        <v>2025</v>
      </c>
      <c r="J1924" s="62">
        <v>11</v>
      </c>
      <c r="K1924" s="62" t="s">
        <v>18</v>
      </c>
      <c r="L1924" s="62" t="s">
        <v>3</v>
      </c>
      <c r="M1924" s="62">
        <v>178.7629</v>
      </c>
      <c r="N1924" s="62">
        <v>116.195885</v>
      </c>
    </row>
    <row r="1925" spans="1:14">
      <c r="A1925" s="62">
        <v>2021</v>
      </c>
      <c r="B1925" s="62">
        <v>10</v>
      </c>
      <c r="C1925" s="62" t="s">
        <v>7</v>
      </c>
      <c r="D1925" s="62" t="s">
        <v>1</v>
      </c>
      <c r="E1925" s="62">
        <v>16.685</v>
      </c>
      <c r="F1925" s="62">
        <v>10.66205</v>
      </c>
      <c r="I1925" s="62">
        <v>2025</v>
      </c>
      <c r="J1925" s="62">
        <v>12</v>
      </c>
      <c r="K1925" s="62" t="s">
        <v>18</v>
      </c>
      <c r="L1925" s="62" t="s">
        <v>3</v>
      </c>
      <c r="M1925" s="62">
        <v>75.961</v>
      </c>
      <c r="N1925" s="62">
        <v>49.37465</v>
      </c>
    </row>
    <row r="1926" spans="1:14">
      <c r="A1926" s="62">
        <v>2021</v>
      </c>
      <c r="B1926" s="62">
        <v>11</v>
      </c>
      <c r="C1926" s="62" t="s">
        <v>7</v>
      </c>
      <c r="D1926" s="62" t="s">
        <v>1</v>
      </c>
      <c r="E1926" s="62">
        <v>8.952</v>
      </c>
      <c r="F1926" s="62">
        <v>4.54935</v>
      </c>
      <c r="I1926" s="62">
        <v>2026</v>
      </c>
      <c r="J1926" s="62">
        <v>1</v>
      </c>
      <c r="K1926" s="62" t="s">
        <v>18</v>
      </c>
      <c r="L1926" s="62" t="s">
        <v>3</v>
      </c>
      <c r="M1926" s="62">
        <v>131.73</v>
      </c>
      <c r="N1926" s="62">
        <v>85.62450000000001</v>
      </c>
    </row>
    <row r="1927" spans="1:14">
      <c r="A1927" s="62">
        <v>2021</v>
      </c>
      <c r="B1927" s="62">
        <v>12</v>
      </c>
      <c r="C1927" s="62" t="s">
        <v>7</v>
      </c>
      <c r="D1927" s="62" t="s">
        <v>1</v>
      </c>
      <c r="E1927" s="62">
        <v>24.8058</v>
      </c>
      <c r="F1927" s="62">
        <v>1.57039</v>
      </c>
      <c r="I1927" s="62">
        <v>2026</v>
      </c>
      <c r="J1927" s="62">
        <v>2</v>
      </c>
      <c r="K1927" s="62" t="s">
        <v>18</v>
      </c>
      <c r="L1927" s="62" t="s">
        <v>3</v>
      </c>
      <c r="M1927" s="62">
        <v>256.2425</v>
      </c>
      <c r="N1927" s="62">
        <v>166.557625</v>
      </c>
    </row>
    <row r="1928" spans="1:14">
      <c r="A1928" s="62">
        <v>2022</v>
      </c>
      <c r="B1928" s="62">
        <v>1</v>
      </c>
      <c r="C1928" s="62" t="s">
        <v>7</v>
      </c>
      <c r="D1928" s="62" t="s">
        <v>1</v>
      </c>
      <c r="E1928" s="62">
        <v>4.769</v>
      </c>
      <c r="F1928" s="62">
        <v>1.10585</v>
      </c>
      <c r="I1928" s="62">
        <v>2026</v>
      </c>
      <c r="J1928" s="62">
        <v>3</v>
      </c>
      <c r="K1928" s="62" t="s">
        <v>18</v>
      </c>
      <c r="L1928" s="62" t="s">
        <v>3</v>
      </c>
      <c r="M1928" s="62">
        <v>132.132</v>
      </c>
      <c r="N1928" s="62">
        <v>85.8858</v>
      </c>
    </row>
    <row r="1929" spans="1:14">
      <c r="A1929" s="62">
        <v>2022</v>
      </c>
      <c r="B1929" s="62">
        <v>2</v>
      </c>
      <c r="C1929" s="62" t="s">
        <v>7</v>
      </c>
      <c r="D1929" s="62" t="s">
        <v>1</v>
      </c>
      <c r="E1929" s="62">
        <v>11.366</v>
      </c>
      <c r="F1929" s="62">
        <v>4.29195</v>
      </c>
      <c r="I1929" s="62">
        <v>2026</v>
      </c>
      <c r="J1929" s="62">
        <v>4</v>
      </c>
      <c r="K1929" s="62" t="s">
        <v>18</v>
      </c>
      <c r="L1929" s="62" t="s">
        <v>3</v>
      </c>
      <c r="M1929" s="62">
        <v>422.558</v>
      </c>
      <c r="N1929" s="62">
        <v>274.6627</v>
      </c>
    </row>
    <row r="1930" spans="1:14">
      <c r="A1930" s="62">
        <v>2022</v>
      </c>
      <c r="B1930" s="62">
        <v>3</v>
      </c>
      <c r="C1930" s="62" t="s">
        <v>7</v>
      </c>
      <c r="D1930" s="62" t="s">
        <v>1</v>
      </c>
      <c r="E1930" s="62">
        <v>155.812</v>
      </c>
      <c r="F1930" s="62">
        <v>33.7655</v>
      </c>
      <c r="I1930" s="62">
        <v>2026</v>
      </c>
      <c r="J1930" s="62">
        <v>5</v>
      </c>
      <c r="K1930" s="62" t="s">
        <v>18</v>
      </c>
      <c r="L1930" s="62" t="s">
        <v>3</v>
      </c>
      <c r="M1930" s="62">
        <v>328.0125</v>
      </c>
      <c r="N1930" s="62">
        <v>213.208125</v>
      </c>
    </row>
    <row r="1931" spans="1:14">
      <c r="A1931" s="62">
        <v>2022</v>
      </c>
      <c r="B1931" s="62">
        <v>4</v>
      </c>
      <c r="C1931" s="62" t="s">
        <v>7</v>
      </c>
      <c r="D1931" s="62" t="s">
        <v>1</v>
      </c>
      <c r="E1931" s="62">
        <v>305.468</v>
      </c>
      <c r="F1931" s="62">
        <v>63.9491</v>
      </c>
      <c r="I1931" s="62">
        <v>2026</v>
      </c>
      <c r="J1931" s="62">
        <v>6</v>
      </c>
      <c r="K1931" s="62" t="s">
        <v>18</v>
      </c>
      <c r="L1931" s="62" t="s">
        <v>3</v>
      </c>
      <c r="M1931" s="62">
        <v>119.855</v>
      </c>
      <c r="N1931" s="62">
        <v>77.90575</v>
      </c>
    </row>
    <row r="1932" spans="1:14">
      <c r="A1932" s="62">
        <v>2022</v>
      </c>
      <c r="B1932" s="62">
        <v>5</v>
      </c>
      <c r="C1932" s="62" t="s">
        <v>7</v>
      </c>
      <c r="D1932" s="62" t="s">
        <v>1</v>
      </c>
      <c r="E1932" s="62">
        <v>435.9618</v>
      </c>
      <c r="F1932" s="62">
        <v>91.08649</v>
      </c>
      <c r="I1932" s="62">
        <v>2026</v>
      </c>
      <c r="J1932" s="62">
        <v>7</v>
      </c>
      <c r="K1932" s="62" t="s">
        <v>18</v>
      </c>
      <c r="L1932" s="62" t="s">
        <v>3</v>
      </c>
      <c r="M1932" s="62">
        <v>4.715</v>
      </c>
      <c r="N1932" s="62">
        <v>3.06475</v>
      </c>
    </row>
    <row r="1933" spans="1:14">
      <c r="A1933" s="62">
        <v>2022</v>
      </c>
      <c r="B1933" s="62">
        <v>6</v>
      </c>
      <c r="C1933" s="62" t="s">
        <v>7</v>
      </c>
      <c r="D1933" s="62" t="s">
        <v>1</v>
      </c>
      <c r="E1933" s="62">
        <v>29.626</v>
      </c>
      <c r="F1933" s="62">
        <v>7.755650000000001</v>
      </c>
      <c r="I1933" s="62">
        <v>2014</v>
      </c>
      <c r="J1933" s="62">
        <v>1</v>
      </c>
      <c r="K1933" s="62" t="s">
        <v>19</v>
      </c>
      <c r="L1933" s="62" t="s">
        <v>1</v>
      </c>
      <c r="M1933" s="62">
        <v>287.0861</v>
      </c>
      <c r="N1933" s="62">
        <v>50.24006749999999</v>
      </c>
    </row>
    <row r="1934" spans="1:14">
      <c r="A1934" s="62">
        <v>2022</v>
      </c>
      <c r="B1934" s="62">
        <v>7</v>
      </c>
      <c r="C1934" s="62" t="s">
        <v>7</v>
      </c>
      <c r="D1934" s="62" t="s">
        <v>1</v>
      </c>
      <c r="E1934" s="62">
        <v>38.7875</v>
      </c>
      <c r="F1934" s="62">
        <v>5.45475</v>
      </c>
      <c r="I1934" s="62">
        <v>2014</v>
      </c>
      <c r="J1934" s="62">
        <v>2</v>
      </c>
      <c r="K1934" s="62" t="s">
        <v>19</v>
      </c>
      <c r="L1934" s="62" t="s">
        <v>1</v>
      </c>
      <c r="M1934" s="62">
        <v>521.3285999999999</v>
      </c>
      <c r="N1934" s="62">
        <v>91.23250499999999</v>
      </c>
    </row>
    <row r="1935" spans="1:14">
      <c r="A1935" s="62">
        <v>2022</v>
      </c>
      <c r="B1935" s="62">
        <v>8</v>
      </c>
      <c r="C1935" s="62" t="s">
        <v>7</v>
      </c>
      <c r="D1935" s="62" t="s">
        <v>1</v>
      </c>
      <c r="E1935" s="62">
        <v>189.176</v>
      </c>
      <c r="F1935" s="62">
        <v>25.97625</v>
      </c>
      <c r="I1935" s="62">
        <v>2014</v>
      </c>
      <c r="J1935" s="62">
        <v>3</v>
      </c>
      <c r="K1935" s="62" t="s">
        <v>19</v>
      </c>
      <c r="L1935" s="62" t="s">
        <v>1</v>
      </c>
      <c r="M1935" s="62">
        <v>481.0642</v>
      </c>
      <c r="N1935" s="62">
        <v>84.186235</v>
      </c>
    </row>
    <row r="1936" spans="1:14">
      <c r="A1936" s="62">
        <v>2022</v>
      </c>
      <c r="B1936" s="62">
        <v>9</v>
      </c>
      <c r="C1936" s="62" t="s">
        <v>7</v>
      </c>
      <c r="D1936" s="62" t="s">
        <v>1</v>
      </c>
      <c r="E1936" s="62">
        <v>136.531</v>
      </c>
      <c r="F1936" s="62">
        <v>20.429225</v>
      </c>
      <c r="I1936" s="62">
        <v>2014</v>
      </c>
      <c r="J1936" s="62">
        <v>4</v>
      </c>
      <c r="K1936" s="62" t="s">
        <v>19</v>
      </c>
      <c r="L1936" s="62" t="s">
        <v>1</v>
      </c>
      <c r="M1936" s="62">
        <v>221.597</v>
      </c>
      <c r="N1936" s="62">
        <v>38.779475</v>
      </c>
    </row>
    <row r="1937" spans="1:14">
      <c r="A1937" s="62">
        <v>2022</v>
      </c>
      <c r="B1937" s="62">
        <v>10</v>
      </c>
      <c r="C1937" s="62" t="s">
        <v>7</v>
      </c>
      <c r="D1937" s="62" t="s">
        <v>1</v>
      </c>
      <c r="E1937" s="62">
        <v>95.2033</v>
      </c>
      <c r="F1937" s="62">
        <v>16.615065</v>
      </c>
      <c r="I1937" s="62">
        <v>2014</v>
      </c>
      <c r="J1937" s="62">
        <v>5</v>
      </c>
      <c r="K1937" s="62" t="s">
        <v>19</v>
      </c>
      <c r="L1937" s="62" t="s">
        <v>1</v>
      </c>
      <c r="M1937" s="62">
        <v>347.925</v>
      </c>
      <c r="N1937" s="62">
        <v>60.886875</v>
      </c>
    </row>
    <row r="1938" spans="1:14">
      <c r="A1938" s="62">
        <v>2022</v>
      </c>
      <c r="B1938" s="62">
        <v>11</v>
      </c>
      <c r="C1938" s="62" t="s">
        <v>7</v>
      </c>
      <c r="D1938" s="62" t="s">
        <v>1</v>
      </c>
      <c r="E1938" s="62">
        <v>93.91540000000001</v>
      </c>
      <c r="F1938" s="62">
        <v>16.072495</v>
      </c>
      <c r="I1938" s="62">
        <v>2014</v>
      </c>
      <c r="J1938" s="62">
        <v>6</v>
      </c>
      <c r="K1938" s="62" t="s">
        <v>19</v>
      </c>
      <c r="L1938" s="62" t="s">
        <v>1</v>
      </c>
      <c r="M1938" s="62">
        <v>311.645</v>
      </c>
      <c r="N1938" s="62">
        <v>54.537875</v>
      </c>
    </row>
    <row r="1939" spans="1:14">
      <c r="A1939" s="62">
        <v>2022</v>
      </c>
      <c r="B1939" s="62">
        <v>12</v>
      </c>
      <c r="C1939" s="62" t="s">
        <v>7</v>
      </c>
      <c r="D1939" s="62" t="s">
        <v>1</v>
      </c>
      <c r="E1939" s="62">
        <v>151.5877</v>
      </c>
      <c r="F1939" s="62">
        <v>30.4056225</v>
      </c>
      <c r="I1939" s="62">
        <v>2014</v>
      </c>
      <c r="J1939" s="62">
        <v>7</v>
      </c>
      <c r="K1939" s="62" t="s">
        <v>19</v>
      </c>
      <c r="L1939" s="62" t="s">
        <v>1</v>
      </c>
      <c r="M1939" s="62">
        <v>16.35</v>
      </c>
      <c r="N1939" s="62">
        <v>2.86125</v>
      </c>
    </row>
    <row r="1940" spans="1:14">
      <c r="A1940" s="62">
        <v>2023</v>
      </c>
      <c r="B1940" s="62">
        <v>1</v>
      </c>
      <c r="C1940" s="62" t="s">
        <v>7</v>
      </c>
      <c r="D1940" s="62" t="s">
        <v>1</v>
      </c>
      <c r="E1940" s="62">
        <v>493.348</v>
      </c>
      <c r="F1940" s="62">
        <v>114.393575</v>
      </c>
      <c r="I1940" s="62">
        <v>2014</v>
      </c>
      <c r="J1940" s="62">
        <v>8</v>
      </c>
      <c r="K1940" s="62" t="s">
        <v>19</v>
      </c>
      <c r="L1940" s="62" t="s">
        <v>1</v>
      </c>
      <c r="M1940" s="62">
        <v>30.335</v>
      </c>
      <c r="N1940" s="62">
        <v>5.308625</v>
      </c>
    </row>
    <row r="1941" spans="1:14">
      <c r="A1941" s="62">
        <v>2023</v>
      </c>
      <c r="B1941" s="62">
        <v>2</v>
      </c>
      <c r="C1941" s="62" t="s">
        <v>7</v>
      </c>
      <c r="D1941" s="62" t="s">
        <v>1</v>
      </c>
      <c r="E1941" s="62">
        <v>408.143</v>
      </c>
      <c r="F1941" s="62">
        <v>94.69612499999999</v>
      </c>
      <c r="I1941" s="62">
        <v>2014</v>
      </c>
      <c r="J1941" s="62">
        <v>9</v>
      </c>
      <c r="K1941" s="62" t="s">
        <v>19</v>
      </c>
      <c r="L1941" s="62" t="s">
        <v>1</v>
      </c>
      <c r="M1941" s="62">
        <v>131.554</v>
      </c>
      <c r="N1941" s="62">
        <v>23.02195</v>
      </c>
    </row>
    <row r="1942" spans="1:14">
      <c r="A1942" s="62">
        <v>2023</v>
      </c>
      <c r="B1942" s="62">
        <v>3</v>
      </c>
      <c r="C1942" s="62" t="s">
        <v>7</v>
      </c>
      <c r="D1942" s="62" t="s">
        <v>1</v>
      </c>
      <c r="E1942" s="62">
        <v>357.3731</v>
      </c>
      <c r="F1942" s="62">
        <v>81.954155</v>
      </c>
      <c r="I1942" s="62">
        <v>2014</v>
      </c>
      <c r="J1942" s="62">
        <v>10</v>
      </c>
      <c r="K1942" s="62" t="s">
        <v>19</v>
      </c>
      <c r="L1942" s="62" t="s">
        <v>1</v>
      </c>
      <c r="M1942" s="62">
        <v>114.432</v>
      </c>
      <c r="N1942" s="62">
        <v>20.0256</v>
      </c>
    </row>
    <row r="1943" spans="1:14">
      <c r="A1943" s="62">
        <v>2023</v>
      </c>
      <c r="B1943" s="62">
        <v>4</v>
      </c>
      <c r="C1943" s="62" t="s">
        <v>7</v>
      </c>
      <c r="D1943" s="62" t="s">
        <v>1</v>
      </c>
      <c r="E1943" s="62">
        <v>344.0876</v>
      </c>
      <c r="F1943" s="62">
        <v>79.88590499999999</v>
      </c>
      <c r="I1943" s="62">
        <v>2014</v>
      </c>
      <c r="J1943" s="62">
        <v>11</v>
      </c>
      <c r="K1943" s="62" t="s">
        <v>19</v>
      </c>
      <c r="L1943" s="62" t="s">
        <v>1</v>
      </c>
      <c r="M1943" s="62">
        <v>49.26000000000001</v>
      </c>
      <c r="N1943" s="62">
        <v>8.6205</v>
      </c>
    </row>
    <row r="1944" spans="1:14">
      <c r="A1944" s="62">
        <v>2023</v>
      </c>
      <c r="B1944" s="62">
        <v>5</v>
      </c>
      <c r="C1944" s="62" t="s">
        <v>7</v>
      </c>
      <c r="D1944" s="62" t="s">
        <v>1</v>
      </c>
      <c r="E1944" s="62">
        <v>228.289</v>
      </c>
      <c r="F1944" s="62">
        <v>62.450025</v>
      </c>
      <c r="I1944" s="62">
        <v>2014</v>
      </c>
      <c r="J1944" s="62">
        <v>12</v>
      </c>
      <c r="K1944" s="62" t="s">
        <v>19</v>
      </c>
      <c r="L1944" s="62" t="s">
        <v>1</v>
      </c>
      <c r="M1944" s="62">
        <v>21.95</v>
      </c>
      <c r="N1944" s="62">
        <v>3.84125</v>
      </c>
    </row>
    <row r="1945" spans="1:14">
      <c r="A1945" s="62">
        <v>2023</v>
      </c>
      <c r="B1945" s="62">
        <v>6</v>
      </c>
      <c r="C1945" s="62" t="s">
        <v>7</v>
      </c>
      <c r="D1945" s="62" t="s">
        <v>1</v>
      </c>
      <c r="E1945" s="62">
        <v>53.3175</v>
      </c>
      <c r="F1945" s="62">
        <v>13.714875</v>
      </c>
      <c r="I1945" s="62">
        <v>2015</v>
      </c>
      <c r="J1945" s="62">
        <v>1</v>
      </c>
      <c r="K1945" s="62" t="s">
        <v>19</v>
      </c>
      <c r="L1945" s="62" t="s">
        <v>1</v>
      </c>
      <c r="M1945" s="62">
        <v>239.7888</v>
      </c>
      <c r="N1945" s="62">
        <v>41.96304</v>
      </c>
    </row>
    <row r="1946" spans="1:14">
      <c r="A1946" s="62">
        <v>2023</v>
      </c>
      <c r="B1946" s="62">
        <v>7</v>
      </c>
      <c r="C1946" s="62" t="s">
        <v>7</v>
      </c>
      <c r="D1946" s="62" t="s">
        <v>1</v>
      </c>
      <c r="E1946" s="62">
        <v>40.651</v>
      </c>
      <c r="F1946" s="62">
        <v>7.59985</v>
      </c>
      <c r="I1946" s="62">
        <v>2015</v>
      </c>
      <c r="J1946" s="62">
        <v>2</v>
      </c>
      <c r="K1946" s="62" t="s">
        <v>19</v>
      </c>
      <c r="L1946" s="62" t="s">
        <v>1</v>
      </c>
      <c r="M1946" s="62">
        <v>348.1842</v>
      </c>
      <c r="N1946" s="62">
        <v>60.932235</v>
      </c>
    </row>
    <row r="1947" spans="1:14">
      <c r="A1947" s="62">
        <v>2023</v>
      </c>
      <c r="B1947" s="62">
        <v>8</v>
      </c>
      <c r="C1947" s="62" t="s">
        <v>7</v>
      </c>
      <c r="D1947" s="62" t="s">
        <v>1</v>
      </c>
      <c r="E1947" s="62">
        <v>76.8</v>
      </c>
      <c r="F1947" s="62">
        <v>20.565</v>
      </c>
      <c r="I1947" s="62">
        <v>2015</v>
      </c>
      <c r="J1947" s="62">
        <v>3</v>
      </c>
      <c r="K1947" s="62" t="s">
        <v>19</v>
      </c>
      <c r="L1947" s="62" t="s">
        <v>1</v>
      </c>
      <c r="M1947" s="62">
        <v>340.435</v>
      </c>
      <c r="N1947" s="62">
        <v>59.576125</v>
      </c>
    </row>
    <row r="1948" spans="1:14">
      <c r="A1948" s="62">
        <v>2023</v>
      </c>
      <c r="B1948" s="62">
        <v>10</v>
      </c>
      <c r="C1948" s="62" t="s">
        <v>7</v>
      </c>
      <c r="D1948" s="62" t="s">
        <v>1</v>
      </c>
      <c r="E1948" s="62">
        <v>2.726</v>
      </c>
      <c r="F1948" s="62">
        <v>0.9120499999999999</v>
      </c>
      <c r="I1948" s="62">
        <v>2015</v>
      </c>
      <c r="J1948" s="62">
        <v>4</v>
      </c>
      <c r="K1948" s="62" t="s">
        <v>19</v>
      </c>
      <c r="L1948" s="62" t="s">
        <v>1</v>
      </c>
      <c r="M1948" s="62">
        <v>175.595</v>
      </c>
      <c r="N1948" s="62">
        <v>30.729125</v>
      </c>
    </row>
    <row r="1949" spans="1:14">
      <c r="A1949" s="62">
        <v>2023</v>
      </c>
      <c r="B1949" s="62">
        <v>11</v>
      </c>
      <c r="C1949" s="62" t="s">
        <v>7</v>
      </c>
      <c r="D1949" s="62" t="s">
        <v>1</v>
      </c>
      <c r="E1949" s="62">
        <v>18.951</v>
      </c>
      <c r="F1949" s="62">
        <v>3.19675</v>
      </c>
      <c r="I1949" s="62">
        <v>2015</v>
      </c>
      <c r="J1949" s="62">
        <v>5</v>
      </c>
      <c r="K1949" s="62" t="s">
        <v>19</v>
      </c>
      <c r="L1949" s="62" t="s">
        <v>1</v>
      </c>
      <c r="M1949" s="62">
        <v>87.92</v>
      </c>
      <c r="N1949" s="62">
        <v>15.386</v>
      </c>
    </row>
    <row r="1950" spans="1:14">
      <c r="A1950" s="62">
        <v>2023</v>
      </c>
      <c r="B1950" s="62">
        <v>12</v>
      </c>
      <c r="C1950" s="62" t="s">
        <v>7</v>
      </c>
      <c r="D1950" s="62" t="s">
        <v>1</v>
      </c>
      <c r="E1950" s="62">
        <v>111.2157</v>
      </c>
      <c r="F1950" s="62">
        <v>22.4482225</v>
      </c>
      <c r="I1950" s="62">
        <v>2015</v>
      </c>
      <c r="J1950" s="62">
        <v>6</v>
      </c>
      <c r="K1950" s="62" t="s">
        <v>19</v>
      </c>
      <c r="L1950" s="62" t="s">
        <v>1</v>
      </c>
      <c r="M1950" s="62">
        <v>36.525</v>
      </c>
      <c r="N1950" s="62">
        <v>6.391874999999999</v>
      </c>
    </row>
    <row r="1951" spans="1:14">
      <c r="A1951" s="62">
        <v>2024</v>
      </c>
      <c r="B1951" s="62">
        <v>1</v>
      </c>
      <c r="C1951" s="62" t="s">
        <v>7</v>
      </c>
      <c r="D1951" s="62" t="s">
        <v>1</v>
      </c>
      <c r="E1951" s="62">
        <v>71.7204</v>
      </c>
      <c r="F1951" s="62">
        <v>14.92227</v>
      </c>
      <c r="I1951" s="62">
        <v>2015</v>
      </c>
      <c r="J1951" s="62">
        <v>7</v>
      </c>
      <c r="K1951" s="62" t="s">
        <v>19</v>
      </c>
      <c r="L1951" s="62" t="s">
        <v>1</v>
      </c>
      <c r="M1951" s="62">
        <v>51.055</v>
      </c>
      <c r="N1951" s="62">
        <v>8.934625</v>
      </c>
    </row>
    <row r="1952" spans="1:14">
      <c r="A1952" s="62">
        <v>2024</v>
      </c>
      <c r="B1952" s="62">
        <v>2</v>
      </c>
      <c r="C1952" s="62" t="s">
        <v>7</v>
      </c>
      <c r="D1952" s="62" t="s">
        <v>1</v>
      </c>
      <c r="E1952" s="62">
        <v>226.08</v>
      </c>
      <c r="F1952" s="62">
        <v>50.79605</v>
      </c>
      <c r="I1952" s="62">
        <v>2015</v>
      </c>
      <c r="J1952" s="62">
        <v>8</v>
      </c>
      <c r="K1952" s="62" t="s">
        <v>19</v>
      </c>
      <c r="L1952" s="62" t="s">
        <v>1</v>
      </c>
      <c r="M1952" s="62">
        <v>129.704</v>
      </c>
      <c r="N1952" s="62">
        <v>22.6982</v>
      </c>
    </row>
    <row r="1953" spans="1:14">
      <c r="A1953" s="62">
        <v>2024</v>
      </c>
      <c r="B1953" s="62">
        <v>3</v>
      </c>
      <c r="C1953" s="62" t="s">
        <v>7</v>
      </c>
      <c r="D1953" s="62" t="s">
        <v>1</v>
      </c>
      <c r="E1953" s="62">
        <v>244.3878</v>
      </c>
      <c r="F1953" s="62">
        <v>58.636315</v>
      </c>
      <c r="I1953" s="62">
        <v>2015</v>
      </c>
      <c r="J1953" s="62">
        <v>9</v>
      </c>
      <c r="K1953" s="62" t="s">
        <v>19</v>
      </c>
      <c r="L1953" s="62" t="s">
        <v>1</v>
      </c>
      <c r="M1953" s="62">
        <v>237.9415</v>
      </c>
      <c r="N1953" s="62">
        <v>41.6397625</v>
      </c>
    </row>
    <row r="1954" spans="1:14">
      <c r="A1954" s="62">
        <v>2024</v>
      </c>
      <c r="B1954" s="62">
        <v>4</v>
      </c>
      <c r="C1954" s="62" t="s">
        <v>7</v>
      </c>
      <c r="D1954" s="62" t="s">
        <v>1</v>
      </c>
      <c r="E1954" s="62">
        <v>138.769</v>
      </c>
      <c r="F1954" s="62">
        <v>27.488625</v>
      </c>
      <c r="I1954" s="62">
        <v>2015</v>
      </c>
      <c r="J1954" s="62">
        <v>10</v>
      </c>
      <c r="K1954" s="62" t="s">
        <v>19</v>
      </c>
      <c r="L1954" s="62" t="s">
        <v>1</v>
      </c>
      <c r="M1954" s="62">
        <v>266.0865</v>
      </c>
      <c r="N1954" s="62">
        <v>46.5651375</v>
      </c>
    </row>
    <row r="1955" spans="1:14">
      <c r="A1955" s="62">
        <v>2024</v>
      </c>
      <c r="B1955" s="62">
        <v>5</v>
      </c>
      <c r="C1955" s="62" t="s">
        <v>7</v>
      </c>
      <c r="D1955" s="62" t="s">
        <v>1</v>
      </c>
      <c r="E1955" s="62">
        <v>31.459</v>
      </c>
      <c r="F1955" s="62">
        <v>5.519299999999999</v>
      </c>
      <c r="I1955" s="62">
        <v>2015</v>
      </c>
      <c r="J1955" s="62">
        <v>11</v>
      </c>
      <c r="K1955" s="62" t="s">
        <v>19</v>
      </c>
      <c r="L1955" s="62" t="s">
        <v>1</v>
      </c>
      <c r="M1955" s="62">
        <v>152.8954</v>
      </c>
      <c r="N1955" s="62">
        <v>26.756695</v>
      </c>
    </row>
    <row r="1956" spans="1:14">
      <c r="A1956" s="62">
        <v>2024</v>
      </c>
      <c r="B1956" s="62">
        <v>6</v>
      </c>
      <c r="C1956" s="62" t="s">
        <v>7</v>
      </c>
      <c r="D1956" s="62" t="s">
        <v>1</v>
      </c>
      <c r="E1956" s="62">
        <v>17.778</v>
      </c>
      <c r="F1956" s="62">
        <v>0</v>
      </c>
      <c r="I1956" s="62">
        <v>2015</v>
      </c>
      <c r="J1956" s="62">
        <v>12</v>
      </c>
      <c r="K1956" s="62" t="s">
        <v>19</v>
      </c>
      <c r="L1956" s="62" t="s">
        <v>1</v>
      </c>
      <c r="M1956" s="62">
        <v>143.29</v>
      </c>
      <c r="N1956" s="62">
        <v>25.07575</v>
      </c>
    </row>
    <row r="1957" spans="1:14">
      <c r="A1957" s="62">
        <v>2024</v>
      </c>
      <c r="B1957" s="62">
        <v>7</v>
      </c>
      <c r="C1957" s="62" t="s">
        <v>7</v>
      </c>
      <c r="D1957" s="62" t="s">
        <v>1</v>
      </c>
      <c r="E1957" s="62">
        <v>23.131</v>
      </c>
      <c r="F1957" s="62">
        <v>5.67465</v>
      </c>
      <c r="I1957" s="62">
        <v>2016</v>
      </c>
      <c r="J1957" s="62">
        <v>1</v>
      </c>
      <c r="K1957" s="62" t="s">
        <v>19</v>
      </c>
      <c r="L1957" s="62" t="s">
        <v>1</v>
      </c>
      <c r="M1957" s="62">
        <v>192.304</v>
      </c>
      <c r="N1957" s="62">
        <v>33.6532</v>
      </c>
    </row>
    <row r="1958" spans="1:14">
      <c r="A1958" s="62">
        <v>2024</v>
      </c>
      <c r="B1958" s="62">
        <v>8</v>
      </c>
      <c r="C1958" s="62" t="s">
        <v>7</v>
      </c>
      <c r="D1958" s="62" t="s">
        <v>1</v>
      </c>
      <c r="E1958" s="62">
        <v>38.4844</v>
      </c>
      <c r="F1958" s="62">
        <v>12.91836</v>
      </c>
      <c r="I1958" s="62">
        <v>2016</v>
      </c>
      <c r="J1958" s="62">
        <v>2</v>
      </c>
      <c r="K1958" s="62" t="s">
        <v>19</v>
      </c>
      <c r="L1958" s="62" t="s">
        <v>1</v>
      </c>
      <c r="M1958" s="62">
        <v>330.665</v>
      </c>
      <c r="N1958" s="62">
        <v>57.866375</v>
      </c>
    </row>
    <row r="1959" spans="1:14">
      <c r="A1959" s="62">
        <v>2024</v>
      </c>
      <c r="B1959" s="62">
        <v>9</v>
      </c>
      <c r="C1959" s="62" t="s">
        <v>7</v>
      </c>
      <c r="D1959" s="62" t="s">
        <v>1</v>
      </c>
      <c r="E1959" s="62">
        <v>131.881</v>
      </c>
      <c r="F1959" s="62">
        <v>20.073275</v>
      </c>
      <c r="I1959" s="62">
        <v>2016</v>
      </c>
      <c r="J1959" s="62">
        <v>3</v>
      </c>
      <c r="K1959" s="62" t="s">
        <v>19</v>
      </c>
      <c r="L1959" s="62" t="s">
        <v>1</v>
      </c>
      <c r="M1959" s="62">
        <v>387.9361</v>
      </c>
      <c r="N1959" s="62">
        <v>67.8888175</v>
      </c>
    </row>
    <row r="1960" spans="1:14">
      <c r="A1960" s="62">
        <v>2024</v>
      </c>
      <c r="B1960" s="62">
        <v>10</v>
      </c>
      <c r="C1960" s="62" t="s">
        <v>7</v>
      </c>
      <c r="D1960" s="62" t="s">
        <v>1</v>
      </c>
      <c r="E1960" s="62">
        <v>58.955</v>
      </c>
      <c r="F1960" s="62">
        <v>12.31835</v>
      </c>
      <c r="I1960" s="62">
        <v>2016</v>
      </c>
      <c r="J1960" s="62">
        <v>4</v>
      </c>
      <c r="K1960" s="62" t="s">
        <v>19</v>
      </c>
      <c r="L1960" s="62" t="s">
        <v>1</v>
      </c>
      <c r="M1960" s="62">
        <v>408.9931</v>
      </c>
      <c r="N1960" s="62">
        <v>71.5737925</v>
      </c>
    </row>
    <row r="1961" spans="1:14">
      <c r="A1961" s="62">
        <v>2024</v>
      </c>
      <c r="B1961" s="62">
        <v>11</v>
      </c>
      <c r="C1961" s="62" t="s">
        <v>7</v>
      </c>
      <c r="D1961" s="62" t="s">
        <v>1</v>
      </c>
      <c r="E1961" s="62">
        <v>6.975</v>
      </c>
      <c r="F1961" s="62">
        <v>1.37025</v>
      </c>
      <c r="I1961" s="62">
        <v>2016</v>
      </c>
      <c r="J1961" s="62">
        <v>5</v>
      </c>
      <c r="K1961" s="62" t="s">
        <v>19</v>
      </c>
      <c r="L1961" s="62" t="s">
        <v>1</v>
      </c>
      <c r="M1961" s="62">
        <v>231.375</v>
      </c>
      <c r="N1961" s="62">
        <v>40.49062499999999</v>
      </c>
    </row>
    <row r="1962" spans="1:14">
      <c r="A1962" s="62">
        <v>2024</v>
      </c>
      <c r="B1962" s="62">
        <v>12</v>
      </c>
      <c r="C1962" s="62" t="s">
        <v>7</v>
      </c>
      <c r="D1962" s="62" t="s">
        <v>1</v>
      </c>
      <c r="E1962" s="62">
        <v>44.4628</v>
      </c>
      <c r="F1962" s="62">
        <v>14.64334</v>
      </c>
      <c r="I1962" s="62">
        <v>2016</v>
      </c>
      <c r="J1962" s="62">
        <v>6</v>
      </c>
      <c r="K1962" s="62" t="s">
        <v>19</v>
      </c>
      <c r="L1962" s="62" t="s">
        <v>1</v>
      </c>
      <c r="M1962" s="62">
        <v>108.1</v>
      </c>
      <c r="N1962" s="62">
        <v>18.9175</v>
      </c>
    </row>
    <row r="1963" spans="1:14">
      <c r="A1963" s="62">
        <v>2025</v>
      </c>
      <c r="B1963" s="62">
        <v>1</v>
      </c>
      <c r="C1963" s="62" t="s">
        <v>7</v>
      </c>
      <c r="D1963" s="62" t="s">
        <v>1</v>
      </c>
      <c r="E1963" s="62">
        <v>63.17959999999999</v>
      </c>
      <c r="F1963" s="62">
        <v>9.350429999999999</v>
      </c>
      <c r="I1963" s="62">
        <v>2016</v>
      </c>
      <c r="J1963" s="62">
        <v>7</v>
      </c>
      <c r="K1963" s="62" t="s">
        <v>19</v>
      </c>
      <c r="L1963" s="62" t="s">
        <v>1</v>
      </c>
      <c r="M1963" s="62">
        <v>48.448</v>
      </c>
      <c r="N1963" s="62">
        <v>8.478399999999999</v>
      </c>
    </row>
    <row r="1964" spans="1:14">
      <c r="A1964" s="62">
        <v>2025</v>
      </c>
      <c r="B1964" s="62">
        <v>2</v>
      </c>
      <c r="C1964" s="62" t="s">
        <v>7</v>
      </c>
      <c r="D1964" s="62" t="s">
        <v>1</v>
      </c>
      <c r="E1964" s="62">
        <v>36.9436</v>
      </c>
      <c r="F1964" s="62">
        <v>8.34238</v>
      </c>
      <c r="I1964" s="62">
        <v>2016</v>
      </c>
      <c r="J1964" s="62">
        <v>8</v>
      </c>
      <c r="K1964" s="62" t="s">
        <v>19</v>
      </c>
      <c r="L1964" s="62" t="s">
        <v>1</v>
      </c>
      <c r="M1964" s="62">
        <v>76.64</v>
      </c>
      <c r="N1964" s="62">
        <v>13.412</v>
      </c>
    </row>
    <row r="1965" spans="1:14">
      <c r="A1965" s="62">
        <v>2025</v>
      </c>
      <c r="B1965" s="62">
        <v>3</v>
      </c>
      <c r="C1965" s="62" t="s">
        <v>7</v>
      </c>
      <c r="D1965" s="62" t="s">
        <v>1</v>
      </c>
      <c r="E1965" s="62">
        <v>72.16249999999999</v>
      </c>
      <c r="F1965" s="62">
        <v>14.2458125</v>
      </c>
      <c r="I1965" s="62">
        <v>2016</v>
      </c>
      <c r="J1965" s="62">
        <v>9</v>
      </c>
      <c r="K1965" s="62" t="s">
        <v>19</v>
      </c>
      <c r="L1965" s="62" t="s">
        <v>1</v>
      </c>
      <c r="M1965" s="62">
        <v>182.6105</v>
      </c>
      <c r="N1965" s="62">
        <v>31.9568375</v>
      </c>
    </row>
    <row r="1966" spans="1:14">
      <c r="A1966" s="62">
        <v>2025</v>
      </c>
      <c r="B1966" s="62">
        <v>4</v>
      </c>
      <c r="C1966" s="62" t="s">
        <v>7</v>
      </c>
      <c r="D1966" s="62" t="s">
        <v>1</v>
      </c>
      <c r="E1966" s="62">
        <v>127.706</v>
      </c>
      <c r="F1966" s="62">
        <v>39.754</v>
      </c>
      <c r="I1966" s="62">
        <v>2016</v>
      </c>
      <c r="J1966" s="62">
        <v>10</v>
      </c>
      <c r="K1966" s="62" t="s">
        <v>19</v>
      </c>
      <c r="L1966" s="62" t="s">
        <v>1</v>
      </c>
      <c r="M1966" s="62">
        <v>418.3251</v>
      </c>
      <c r="N1966" s="62">
        <v>73.2068925</v>
      </c>
    </row>
    <row r="1967" spans="1:14">
      <c r="A1967" s="62">
        <v>2025</v>
      </c>
      <c r="B1967" s="62">
        <v>5</v>
      </c>
      <c r="C1967" s="62" t="s">
        <v>7</v>
      </c>
      <c r="D1967" s="62" t="s">
        <v>1</v>
      </c>
      <c r="E1967" s="62">
        <v>75.15000000000001</v>
      </c>
      <c r="F1967" s="62">
        <v>29.552175</v>
      </c>
      <c r="I1967" s="62">
        <v>2016</v>
      </c>
      <c r="J1967" s="62">
        <v>11</v>
      </c>
      <c r="K1967" s="62" t="s">
        <v>19</v>
      </c>
      <c r="L1967" s="62" t="s">
        <v>1</v>
      </c>
      <c r="M1967" s="62">
        <v>210.997</v>
      </c>
      <c r="N1967" s="62">
        <v>36.92447499999999</v>
      </c>
    </row>
    <row r="1968" spans="1:14">
      <c r="A1968" s="62">
        <v>2025</v>
      </c>
      <c r="B1968" s="62">
        <v>6</v>
      </c>
      <c r="C1968" s="62" t="s">
        <v>7</v>
      </c>
      <c r="D1968" s="62" t="s">
        <v>1</v>
      </c>
      <c r="E1968" s="62">
        <v>8.223000000000001</v>
      </c>
      <c r="F1968" s="62">
        <v>3.5789</v>
      </c>
      <c r="I1968" s="62">
        <v>2016</v>
      </c>
      <c r="J1968" s="62">
        <v>12</v>
      </c>
      <c r="K1968" s="62" t="s">
        <v>19</v>
      </c>
      <c r="L1968" s="62" t="s">
        <v>1</v>
      </c>
      <c r="M1968" s="62">
        <v>84.818</v>
      </c>
      <c r="N1968" s="62">
        <v>14.84315</v>
      </c>
    </row>
    <row r="1969" spans="1:14">
      <c r="A1969" s="62">
        <v>2025</v>
      </c>
      <c r="B1969" s="62">
        <v>7</v>
      </c>
      <c r="C1969" s="62" t="s">
        <v>7</v>
      </c>
      <c r="D1969" s="62" t="s">
        <v>1</v>
      </c>
      <c r="E1969" s="62">
        <v>92.11199999999999</v>
      </c>
      <c r="F1969" s="62">
        <v>24.144725</v>
      </c>
      <c r="I1969" s="62">
        <v>2017</v>
      </c>
      <c r="J1969" s="62">
        <v>1</v>
      </c>
      <c r="K1969" s="62" t="s">
        <v>19</v>
      </c>
      <c r="L1969" s="62" t="s">
        <v>1</v>
      </c>
      <c r="M1969" s="62">
        <v>338.25</v>
      </c>
      <c r="N1969" s="62">
        <v>59.19374999999999</v>
      </c>
    </row>
    <row r="1970" spans="1:14">
      <c r="A1970" s="62">
        <v>2025</v>
      </c>
      <c r="B1970" s="62">
        <v>8</v>
      </c>
      <c r="C1970" s="62" t="s">
        <v>7</v>
      </c>
      <c r="D1970" s="62" t="s">
        <v>1</v>
      </c>
      <c r="E1970" s="62">
        <v>4.779999999999999</v>
      </c>
      <c r="F1970" s="62">
        <v>2.657</v>
      </c>
      <c r="I1970" s="62">
        <v>2017</v>
      </c>
      <c r="J1970" s="62">
        <v>2</v>
      </c>
      <c r="K1970" s="62" t="s">
        <v>19</v>
      </c>
      <c r="L1970" s="62" t="s">
        <v>1</v>
      </c>
      <c r="M1970" s="62">
        <v>593.247</v>
      </c>
      <c r="N1970" s="62">
        <v>103.818225</v>
      </c>
    </row>
    <row r="1971" spans="1:14">
      <c r="A1971" s="62">
        <v>2025</v>
      </c>
      <c r="B1971" s="62">
        <v>9</v>
      </c>
      <c r="C1971" s="62" t="s">
        <v>7</v>
      </c>
      <c r="D1971" s="62" t="s">
        <v>1</v>
      </c>
      <c r="E1971" s="62">
        <v>6.365</v>
      </c>
      <c r="F1971" s="62">
        <v>1.71</v>
      </c>
      <c r="I1971" s="62">
        <v>2017</v>
      </c>
      <c r="J1971" s="62">
        <v>3</v>
      </c>
      <c r="K1971" s="62" t="s">
        <v>19</v>
      </c>
      <c r="L1971" s="62" t="s">
        <v>1</v>
      </c>
      <c r="M1971" s="62">
        <v>491.745</v>
      </c>
      <c r="N1971" s="62">
        <v>86.055375</v>
      </c>
    </row>
    <row r="1972" spans="1:14">
      <c r="A1972" s="62">
        <v>2025</v>
      </c>
      <c r="B1972" s="62">
        <v>10</v>
      </c>
      <c r="C1972" s="62" t="s">
        <v>7</v>
      </c>
      <c r="D1972" s="62" t="s">
        <v>1</v>
      </c>
      <c r="E1972" s="62">
        <v>54.195</v>
      </c>
      <c r="F1972" s="62">
        <v>20.6615</v>
      </c>
      <c r="I1972" s="62">
        <v>2017</v>
      </c>
      <c r="J1972" s="62">
        <v>4</v>
      </c>
      <c r="K1972" s="62" t="s">
        <v>19</v>
      </c>
      <c r="L1972" s="62" t="s">
        <v>1</v>
      </c>
      <c r="M1972" s="62">
        <v>235.233</v>
      </c>
      <c r="N1972" s="62">
        <v>41.165775</v>
      </c>
    </row>
    <row r="1973" spans="1:14">
      <c r="A1973" s="62">
        <v>2025</v>
      </c>
      <c r="B1973" s="62">
        <v>11</v>
      </c>
      <c r="C1973" s="62" t="s">
        <v>7</v>
      </c>
      <c r="D1973" s="62" t="s">
        <v>1</v>
      </c>
      <c r="E1973" s="62">
        <v>16.895</v>
      </c>
      <c r="F1973" s="62">
        <v>5.13075</v>
      </c>
      <c r="I1973" s="62">
        <v>2017</v>
      </c>
      <c r="J1973" s="62">
        <v>5</v>
      </c>
      <c r="K1973" s="62" t="s">
        <v>19</v>
      </c>
      <c r="L1973" s="62" t="s">
        <v>1</v>
      </c>
      <c r="M1973" s="62">
        <v>207.555</v>
      </c>
      <c r="N1973" s="62">
        <v>36.322125</v>
      </c>
    </row>
    <row r="1974" spans="1:14">
      <c r="A1974" s="62">
        <v>2025</v>
      </c>
      <c r="B1974" s="62">
        <v>12</v>
      </c>
      <c r="C1974" s="62" t="s">
        <v>7</v>
      </c>
      <c r="D1974" s="62" t="s">
        <v>1</v>
      </c>
      <c r="E1974" s="62">
        <v>14.089</v>
      </c>
      <c r="F1974" s="62">
        <v>3.58195</v>
      </c>
      <c r="I1974" s="62">
        <v>2017</v>
      </c>
      <c r="J1974" s="62">
        <v>6</v>
      </c>
      <c r="K1974" s="62" t="s">
        <v>19</v>
      </c>
      <c r="L1974" s="62" t="s">
        <v>1</v>
      </c>
      <c r="M1974" s="62">
        <v>43.26</v>
      </c>
      <c r="N1974" s="62">
        <v>7.570499999999999</v>
      </c>
    </row>
    <row r="1975" spans="1:14">
      <c r="A1975" s="62">
        <v>2026</v>
      </c>
      <c r="B1975" s="62">
        <v>2</v>
      </c>
      <c r="C1975" s="62" t="s">
        <v>7</v>
      </c>
      <c r="D1975" s="62" t="s">
        <v>1</v>
      </c>
      <c r="E1975" s="62">
        <v>35.302</v>
      </c>
      <c r="F1975" s="62">
        <v>7.358625</v>
      </c>
      <c r="I1975" s="62">
        <v>2017</v>
      </c>
      <c r="J1975" s="62">
        <v>7</v>
      </c>
      <c r="K1975" s="62" t="s">
        <v>19</v>
      </c>
      <c r="L1975" s="62" t="s">
        <v>1</v>
      </c>
      <c r="M1975" s="62">
        <v>25.37</v>
      </c>
      <c r="N1975" s="62">
        <v>4.43975</v>
      </c>
    </row>
    <row r="1976" spans="1:14">
      <c r="A1976" s="62">
        <v>2026</v>
      </c>
      <c r="B1976" s="62">
        <v>3</v>
      </c>
      <c r="C1976" s="62" t="s">
        <v>7</v>
      </c>
      <c r="D1976" s="62" t="s">
        <v>1</v>
      </c>
      <c r="E1976" s="62">
        <v>193.667</v>
      </c>
      <c r="F1976" s="62">
        <v>29.3089</v>
      </c>
      <c r="I1976" s="62">
        <v>2017</v>
      </c>
      <c r="J1976" s="62">
        <v>8</v>
      </c>
      <c r="K1976" s="62" t="s">
        <v>19</v>
      </c>
      <c r="L1976" s="62" t="s">
        <v>1</v>
      </c>
      <c r="M1976" s="62">
        <v>346.3429</v>
      </c>
      <c r="N1976" s="62">
        <v>60.61000749999999</v>
      </c>
    </row>
    <row r="1977" spans="1:14">
      <c r="A1977" s="62">
        <v>2026</v>
      </c>
      <c r="B1977" s="62">
        <v>4</v>
      </c>
      <c r="C1977" s="62" t="s">
        <v>7</v>
      </c>
      <c r="D1977" s="62" t="s">
        <v>1</v>
      </c>
      <c r="E1977" s="62">
        <v>298.055</v>
      </c>
      <c r="F1977" s="62">
        <v>72.05045</v>
      </c>
      <c r="I1977" s="62">
        <v>2017</v>
      </c>
      <c r="J1977" s="62">
        <v>9</v>
      </c>
      <c r="K1977" s="62" t="s">
        <v>19</v>
      </c>
      <c r="L1977" s="62" t="s">
        <v>1</v>
      </c>
      <c r="M1977" s="62">
        <v>975.7574999999999</v>
      </c>
      <c r="N1977" s="62">
        <v>170.7575625</v>
      </c>
    </row>
    <row r="1978" spans="1:14">
      <c r="A1978" s="62">
        <v>2026</v>
      </c>
      <c r="B1978" s="62">
        <v>5</v>
      </c>
      <c r="C1978" s="62" t="s">
        <v>7</v>
      </c>
      <c r="D1978" s="62" t="s">
        <v>1</v>
      </c>
      <c r="E1978" s="62">
        <v>128.6544</v>
      </c>
      <c r="F1978" s="62">
        <v>33.712395</v>
      </c>
      <c r="I1978" s="62">
        <v>2017</v>
      </c>
      <c r="J1978" s="62">
        <v>10</v>
      </c>
      <c r="K1978" s="62" t="s">
        <v>19</v>
      </c>
      <c r="L1978" s="62" t="s">
        <v>1</v>
      </c>
      <c r="M1978" s="62">
        <v>566.087</v>
      </c>
      <c r="N1978" s="62">
        <v>99.065225</v>
      </c>
    </row>
    <row r="1979" spans="1:14">
      <c r="A1979" s="62">
        <v>2026</v>
      </c>
      <c r="B1979" s="62">
        <v>6</v>
      </c>
      <c r="C1979" s="62" t="s">
        <v>7</v>
      </c>
      <c r="D1979" s="62" t="s">
        <v>1</v>
      </c>
      <c r="E1979" s="62">
        <v>10.17</v>
      </c>
      <c r="F1979" s="62">
        <v>2.925</v>
      </c>
      <c r="I1979" s="62">
        <v>2017</v>
      </c>
      <c r="J1979" s="62">
        <v>11</v>
      </c>
      <c r="K1979" s="62" t="s">
        <v>19</v>
      </c>
      <c r="L1979" s="62" t="s">
        <v>1</v>
      </c>
      <c r="M1979" s="62">
        <v>257.11</v>
      </c>
      <c r="N1979" s="62">
        <v>44.99424999999999</v>
      </c>
    </row>
    <row r="1980" spans="1:14">
      <c r="A1980" s="62">
        <v>2026</v>
      </c>
      <c r="B1980" s="62">
        <v>7</v>
      </c>
      <c r="C1980" s="62" t="s">
        <v>7</v>
      </c>
      <c r="D1980" s="62" t="s">
        <v>1</v>
      </c>
      <c r="E1980" s="62">
        <v>4.83</v>
      </c>
      <c r="F1980" s="62">
        <v>0</v>
      </c>
      <c r="I1980" s="62">
        <v>2017</v>
      </c>
      <c r="J1980" s="62">
        <v>12</v>
      </c>
      <c r="K1980" s="62" t="s">
        <v>19</v>
      </c>
      <c r="L1980" s="62" t="s">
        <v>1</v>
      </c>
      <c r="M1980" s="62">
        <v>118.52</v>
      </c>
      <c r="N1980" s="62">
        <v>20.741</v>
      </c>
    </row>
    <row r="1981" spans="1:14">
      <c r="A1981" s="62">
        <v>2026</v>
      </c>
      <c r="B1981" s="62">
        <v>10</v>
      </c>
      <c r="C1981" s="62" t="s">
        <v>7</v>
      </c>
      <c r="D1981" s="62" t="s">
        <v>1</v>
      </c>
      <c r="E1981" s="62">
        <v>19.62</v>
      </c>
      <c r="F1981" s="62">
        <v>3.826125</v>
      </c>
      <c r="I1981" s="62">
        <v>2018</v>
      </c>
      <c r="J1981" s="62">
        <v>1</v>
      </c>
      <c r="K1981" s="62" t="s">
        <v>19</v>
      </c>
      <c r="L1981" s="62" t="s">
        <v>1</v>
      </c>
      <c r="M1981" s="62">
        <v>239.186</v>
      </c>
      <c r="N1981" s="62">
        <v>41.85755</v>
      </c>
    </row>
    <row r="1982" spans="1:14">
      <c r="A1982" s="62">
        <v>2027</v>
      </c>
      <c r="B1982" s="62">
        <v>2</v>
      </c>
      <c r="C1982" s="62" t="s">
        <v>7</v>
      </c>
      <c r="D1982" s="62" t="s">
        <v>1</v>
      </c>
      <c r="E1982" s="62">
        <v>139.68</v>
      </c>
      <c r="F1982" s="62">
        <v>37.0176</v>
      </c>
      <c r="I1982" s="62">
        <v>2018</v>
      </c>
      <c r="J1982" s="62">
        <v>2</v>
      </c>
      <c r="K1982" s="62" t="s">
        <v>19</v>
      </c>
      <c r="L1982" s="62" t="s">
        <v>1</v>
      </c>
      <c r="M1982" s="62">
        <v>457.46</v>
      </c>
      <c r="N1982" s="62">
        <v>80.05549999999999</v>
      </c>
    </row>
    <row r="1983" spans="1:14">
      <c r="A1983" s="62">
        <v>2027</v>
      </c>
      <c r="B1983" s="62">
        <v>3</v>
      </c>
      <c r="C1983" s="62" t="s">
        <v>7</v>
      </c>
      <c r="D1983" s="62" t="s">
        <v>1</v>
      </c>
      <c r="E1983" s="62">
        <v>251.725</v>
      </c>
      <c r="F1983" s="62">
        <v>73.079825</v>
      </c>
      <c r="I1983" s="62">
        <v>2018</v>
      </c>
      <c r="J1983" s="62">
        <v>3</v>
      </c>
      <c r="K1983" s="62" t="s">
        <v>19</v>
      </c>
      <c r="L1983" s="62" t="s">
        <v>1</v>
      </c>
      <c r="M1983" s="62">
        <v>371.0105</v>
      </c>
      <c r="N1983" s="62">
        <v>64.92683749999999</v>
      </c>
    </row>
    <row r="1984" spans="1:14">
      <c r="A1984" s="62">
        <v>2027</v>
      </c>
      <c r="B1984" s="62">
        <v>4</v>
      </c>
      <c r="C1984" s="62" t="s">
        <v>7</v>
      </c>
      <c r="D1984" s="62" t="s">
        <v>1</v>
      </c>
      <c r="E1984" s="62">
        <v>257.098</v>
      </c>
      <c r="F1984" s="62">
        <v>56.081075</v>
      </c>
      <c r="I1984" s="62">
        <v>2018</v>
      </c>
      <c r="J1984" s="62">
        <v>4</v>
      </c>
      <c r="K1984" s="62" t="s">
        <v>19</v>
      </c>
      <c r="L1984" s="62" t="s">
        <v>1</v>
      </c>
      <c r="M1984" s="62">
        <v>238.6196</v>
      </c>
      <c r="N1984" s="62">
        <v>41.75843</v>
      </c>
    </row>
    <row r="1985" spans="1:14">
      <c r="A1985" s="62">
        <v>2027</v>
      </c>
      <c r="B1985" s="62">
        <v>5</v>
      </c>
      <c r="C1985" s="62" t="s">
        <v>7</v>
      </c>
      <c r="D1985" s="62" t="s">
        <v>1</v>
      </c>
      <c r="E1985" s="62">
        <v>242.162</v>
      </c>
      <c r="F1985" s="62">
        <v>53.9074</v>
      </c>
      <c r="I1985" s="62">
        <v>2018</v>
      </c>
      <c r="J1985" s="62">
        <v>5</v>
      </c>
      <c r="K1985" s="62" t="s">
        <v>19</v>
      </c>
      <c r="L1985" s="62" t="s">
        <v>1</v>
      </c>
      <c r="M1985" s="62">
        <v>237.3684</v>
      </c>
      <c r="N1985" s="62">
        <v>41.53946999999999</v>
      </c>
    </row>
    <row r="1986" spans="1:14">
      <c r="A1986" s="62">
        <v>2027</v>
      </c>
      <c r="B1986" s="62">
        <v>6</v>
      </c>
      <c r="C1986" s="62" t="s">
        <v>7</v>
      </c>
      <c r="D1986" s="62" t="s">
        <v>1</v>
      </c>
      <c r="E1986" s="62">
        <v>0.855</v>
      </c>
      <c r="F1986" s="62">
        <v>0.42075</v>
      </c>
      <c r="I1986" s="62">
        <v>2018</v>
      </c>
      <c r="J1986" s="62">
        <v>6</v>
      </c>
      <c r="K1986" s="62" t="s">
        <v>19</v>
      </c>
      <c r="L1986" s="62" t="s">
        <v>1</v>
      </c>
      <c r="M1986" s="62">
        <v>50.295</v>
      </c>
      <c r="N1986" s="62">
        <v>8.801625</v>
      </c>
    </row>
    <row r="1987" spans="1:14">
      <c r="A1987" s="62">
        <v>2027</v>
      </c>
      <c r="B1987" s="62">
        <v>9</v>
      </c>
      <c r="C1987" s="62" t="s">
        <v>7</v>
      </c>
      <c r="D1987" s="62" t="s">
        <v>1</v>
      </c>
      <c r="E1987" s="62">
        <v>42.994</v>
      </c>
      <c r="F1987" s="62">
        <v>6.594349999999999</v>
      </c>
      <c r="I1987" s="62">
        <v>2018</v>
      </c>
      <c r="J1987" s="62">
        <v>7</v>
      </c>
      <c r="K1987" s="62" t="s">
        <v>19</v>
      </c>
      <c r="L1987" s="62" t="s">
        <v>1</v>
      </c>
      <c r="M1987" s="62">
        <v>146.874</v>
      </c>
      <c r="N1987" s="62">
        <v>25.70295</v>
      </c>
    </row>
    <row r="1988" spans="1:14">
      <c r="A1988" s="62">
        <v>2027</v>
      </c>
      <c r="B1988" s="62">
        <v>10</v>
      </c>
      <c r="C1988" s="62" t="s">
        <v>7</v>
      </c>
      <c r="D1988" s="62" t="s">
        <v>1</v>
      </c>
      <c r="E1988" s="62">
        <v>34.444</v>
      </c>
      <c r="F1988" s="62">
        <v>5.47385</v>
      </c>
      <c r="I1988" s="62">
        <v>2018</v>
      </c>
      <c r="J1988" s="62">
        <v>8</v>
      </c>
      <c r="K1988" s="62" t="s">
        <v>19</v>
      </c>
      <c r="L1988" s="62" t="s">
        <v>1</v>
      </c>
      <c r="M1988" s="62">
        <v>183.2729</v>
      </c>
      <c r="N1988" s="62">
        <v>32.0727575</v>
      </c>
    </row>
    <row r="1989" spans="1:14">
      <c r="A1989" s="62">
        <v>2027</v>
      </c>
      <c r="B1989" s="62">
        <v>11</v>
      </c>
      <c r="C1989" s="62" t="s">
        <v>7</v>
      </c>
      <c r="D1989" s="62" t="s">
        <v>1</v>
      </c>
      <c r="E1989" s="62">
        <v>4.753</v>
      </c>
      <c r="F1989" s="62">
        <v>0.23765</v>
      </c>
      <c r="I1989" s="62">
        <v>2018</v>
      </c>
      <c r="J1989" s="62">
        <v>9</v>
      </c>
      <c r="K1989" s="62" t="s">
        <v>19</v>
      </c>
      <c r="L1989" s="62" t="s">
        <v>1</v>
      </c>
      <c r="M1989" s="62">
        <v>342.0816</v>
      </c>
      <c r="N1989" s="62">
        <v>59.86427999999999</v>
      </c>
    </row>
    <row r="1990" spans="1:14">
      <c r="A1990" s="62">
        <v>2014</v>
      </c>
      <c r="B1990" s="62">
        <v>1</v>
      </c>
      <c r="C1990" s="62" t="s">
        <v>7</v>
      </c>
      <c r="D1990" s="62" t="s">
        <v>2</v>
      </c>
      <c r="E1990" s="62">
        <v>30.496</v>
      </c>
      <c r="F1990" s="62">
        <v>5.5058</v>
      </c>
      <c r="I1990" s="62">
        <v>2018</v>
      </c>
      <c r="J1990" s="62">
        <v>10</v>
      </c>
      <c r="K1990" s="62" t="s">
        <v>19</v>
      </c>
      <c r="L1990" s="62" t="s">
        <v>1</v>
      </c>
      <c r="M1990" s="62">
        <v>553.87</v>
      </c>
      <c r="N1990" s="62">
        <v>96.92724999999999</v>
      </c>
    </row>
    <row r="1991" spans="1:14">
      <c r="A1991" s="62">
        <v>2014</v>
      </c>
      <c r="B1991" s="62">
        <v>2</v>
      </c>
      <c r="C1991" s="62" t="s">
        <v>7</v>
      </c>
      <c r="D1991" s="62" t="s">
        <v>2</v>
      </c>
      <c r="E1991" s="62">
        <v>51.47</v>
      </c>
      <c r="F1991" s="62">
        <v>9.169749999999999</v>
      </c>
      <c r="I1991" s="62">
        <v>2018</v>
      </c>
      <c r="J1991" s="62">
        <v>11</v>
      </c>
      <c r="K1991" s="62" t="s">
        <v>19</v>
      </c>
      <c r="L1991" s="62" t="s">
        <v>1</v>
      </c>
      <c r="M1991" s="62">
        <v>237.1481</v>
      </c>
      <c r="N1991" s="62">
        <v>41.5009175</v>
      </c>
    </row>
    <row r="1992" spans="1:14">
      <c r="A1992" s="62">
        <v>2014</v>
      </c>
      <c r="B1992" s="62">
        <v>3</v>
      </c>
      <c r="C1992" s="62" t="s">
        <v>7</v>
      </c>
      <c r="D1992" s="62" t="s">
        <v>2</v>
      </c>
      <c r="E1992" s="62">
        <v>47.602</v>
      </c>
      <c r="F1992" s="62">
        <v>12.44785</v>
      </c>
      <c r="I1992" s="62">
        <v>2018</v>
      </c>
      <c r="J1992" s="62">
        <v>12</v>
      </c>
      <c r="K1992" s="62" t="s">
        <v>19</v>
      </c>
      <c r="L1992" s="62" t="s">
        <v>1</v>
      </c>
      <c r="M1992" s="62">
        <v>90.18000000000001</v>
      </c>
      <c r="N1992" s="62">
        <v>15.7815</v>
      </c>
    </row>
    <row r="1993" spans="1:14">
      <c r="A1993" s="62">
        <v>2014</v>
      </c>
      <c r="B1993" s="62">
        <v>4</v>
      </c>
      <c r="C1993" s="62" t="s">
        <v>7</v>
      </c>
      <c r="D1993" s="62" t="s">
        <v>2</v>
      </c>
      <c r="E1993" s="62">
        <v>63.057</v>
      </c>
      <c r="F1993" s="62">
        <v>13.240075</v>
      </c>
      <c r="I1993" s="62">
        <v>2019</v>
      </c>
      <c r="J1993" s="62">
        <v>1</v>
      </c>
      <c r="K1993" s="62" t="s">
        <v>19</v>
      </c>
      <c r="L1993" s="62" t="s">
        <v>1</v>
      </c>
      <c r="M1993" s="62">
        <v>368.748</v>
      </c>
      <c r="N1993" s="62">
        <v>64.53089999999999</v>
      </c>
    </row>
    <row r="1994" spans="1:14">
      <c r="A1994" s="62">
        <v>2014</v>
      </c>
      <c r="B1994" s="62">
        <v>5</v>
      </c>
      <c r="C1994" s="62" t="s">
        <v>7</v>
      </c>
      <c r="D1994" s="62" t="s">
        <v>2</v>
      </c>
      <c r="E1994" s="62">
        <v>5.52</v>
      </c>
      <c r="F1994" s="62">
        <v>1.4412</v>
      </c>
      <c r="I1994" s="62">
        <v>2019</v>
      </c>
      <c r="J1994" s="62">
        <v>2</v>
      </c>
      <c r="K1994" s="62" t="s">
        <v>19</v>
      </c>
      <c r="L1994" s="62" t="s">
        <v>1</v>
      </c>
      <c r="M1994" s="62">
        <v>498.9596</v>
      </c>
      <c r="N1994" s="62">
        <v>87.31792999999999</v>
      </c>
    </row>
    <row r="1995" spans="1:14">
      <c r="A1995" s="62">
        <v>2014</v>
      </c>
      <c r="B1995" s="62">
        <v>6</v>
      </c>
      <c r="C1995" s="62" t="s">
        <v>7</v>
      </c>
      <c r="D1995" s="62" t="s">
        <v>2</v>
      </c>
      <c r="E1995" s="62">
        <v>110.739</v>
      </c>
      <c r="F1995" s="62">
        <v>15.6327</v>
      </c>
      <c r="I1995" s="62">
        <v>2019</v>
      </c>
      <c r="J1995" s="62">
        <v>3</v>
      </c>
      <c r="K1995" s="62" t="s">
        <v>19</v>
      </c>
      <c r="L1995" s="62" t="s">
        <v>1</v>
      </c>
      <c r="M1995" s="62">
        <v>576.1009</v>
      </c>
      <c r="N1995" s="62">
        <v>100.8176575</v>
      </c>
    </row>
    <row r="1996" spans="1:14">
      <c r="A1996" s="62">
        <v>2014</v>
      </c>
      <c r="B1996" s="62">
        <v>7</v>
      </c>
      <c r="C1996" s="62" t="s">
        <v>7</v>
      </c>
      <c r="D1996" s="62" t="s">
        <v>2</v>
      </c>
      <c r="E1996" s="62">
        <v>58.27</v>
      </c>
      <c r="F1996" s="62">
        <v>5.646999999999999</v>
      </c>
      <c r="I1996" s="62">
        <v>2019</v>
      </c>
      <c r="J1996" s="62">
        <v>4</v>
      </c>
      <c r="K1996" s="62" t="s">
        <v>19</v>
      </c>
      <c r="L1996" s="62" t="s">
        <v>1</v>
      </c>
      <c r="M1996" s="62">
        <v>580.3071</v>
      </c>
      <c r="N1996" s="62">
        <v>101.5537425</v>
      </c>
    </row>
    <row r="1997" spans="1:14">
      <c r="A1997" s="62">
        <v>2014</v>
      </c>
      <c r="B1997" s="62">
        <v>8</v>
      </c>
      <c r="C1997" s="62" t="s">
        <v>7</v>
      </c>
      <c r="D1997" s="62" t="s">
        <v>2</v>
      </c>
      <c r="E1997" s="62">
        <v>3.515</v>
      </c>
      <c r="F1997" s="62">
        <v>0.14725</v>
      </c>
      <c r="I1997" s="62">
        <v>2019</v>
      </c>
      <c r="J1997" s="62">
        <v>5</v>
      </c>
      <c r="K1997" s="62" t="s">
        <v>19</v>
      </c>
      <c r="L1997" s="62" t="s">
        <v>1</v>
      </c>
      <c r="M1997" s="62">
        <v>404.8293</v>
      </c>
      <c r="N1997" s="62">
        <v>70.84512749999999</v>
      </c>
    </row>
    <row r="1998" spans="1:14">
      <c r="A1998" s="62">
        <v>2014</v>
      </c>
      <c r="B1998" s="62">
        <v>9</v>
      </c>
      <c r="C1998" s="62" t="s">
        <v>7</v>
      </c>
      <c r="D1998" s="62" t="s">
        <v>2</v>
      </c>
      <c r="E1998" s="62">
        <v>10.25</v>
      </c>
      <c r="F1998" s="62">
        <v>3.02875</v>
      </c>
      <c r="I1998" s="62">
        <v>2019</v>
      </c>
      <c r="J1998" s="62">
        <v>6</v>
      </c>
      <c r="K1998" s="62" t="s">
        <v>19</v>
      </c>
      <c r="L1998" s="62" t="s">
        <v>1</v>
      </c>
      <c r="M1998" s="62">
        <v>156.907</v>
      </c>
      <c r="N1998" s="62">
        <v>27.458725</v>
      </c>
    </row>
    <row r="1999" spans="1:14">
      <c r="A1999" s="62">
        <v>2014</v>
      </c>
      <c r="B1999" s="62">
        <v>10</v>
      </c>
      <c r="C1999" s="62" t="s">
        <v>7</v>
      </c>
      <c r="D1999" s="62" t="s">
        <v>2</v>
      </c>
      <c r="E1999" s="62">
        <v>104.6</v>
      </c>
      <c r="F1999" s="62">
        <v>35.04125000000001</v>
      </c>
      <c r="I1999" s="62">
        <v>2019</v>
      </c>
      <c r="J1999" s="62">
        <v>7</v>
      </c>
      <c r="K1999" s="62" t="s">
        <v>19</v>
      </c>
      <c r="L1999" s="62" t="s">
        <v>1</v>
      </c>
      <c r="M1999" s="62">
        <v>220.8</v>
      </c>
      <c r="N1999" s="62">
        <v>38.64</v>
      </c>
    </row>
    <row r="2000" spans="1:14">
      <c r="A2000" s="62">
        <v>2014</v>
      </c>
      <c r="B2000" s="62">
        <v>11</v>
      </c>
      <c r="C2000" s="62" t="s">
        <v>7</v>
      </c>
      <c r="D2000" s="62" t="s">
        <v>2</v>
      </c>
      <c r="E2000" s="62">
        <v>29.395</v>
      </c>
      <c r="F2000" s="62">
        <v>11.20775</v>
      </c>
      <c r="I2000" s="62">
        <v>2019</v>
      </c>
      <c r="J2000" s="62">
        <v>8</v>
      </c>
      <c r="K2000" s="62" t="s">
        <v>19</v>
      </c>
      <c r="L2000" s="62" t="s">
        <v>1</v>
      </c>
      <c r="M2000" s="62">
        <v>220.29</v>
      </c>
      <c r="N2000" s="62">
        <v>38.55074999999999</v>
      </c>
    </row>
    <row r="2001" spans="1:14">
      <c r="A2001" s="62">
        <v>2015</v>
      </c>
      <c r="B2001" s="62">
        <v>2</v>
      </c>
      <c r="C2001" s="62" t="s">
        <v>7</v>
      </c>
      <c r="D2001" s="62" t="s">
        <v>2</v>
      </c>
      <c r="E2001" s="62">
        <v>18.127</v>
      </c>
      <c r="F2001" s="62">
        <v>5.163325</v>
      </c>
      <c r="I2001" s="62">
        <v>2019</v>
      </c>
      <c r="J2001" s="62">
        <v>9</v>
      </c>
      <c r="K2001" s="62" t="s">
        <v>19</v>
      </c>
      <c r="L2001" s="62" t="s">
        <v>1</v>
      </c>
      <c r="M2001" s="62">
        <v>592.3214</v>
      </c>
      <c r="N2001" s="62">
        <v>103.656245</v>
      </c>
    </row>
    <row r="2002" spans="1:14">
      <c r="A2002" s="62">
        <v>2015</v>
      </c>
      <c r="B2002" s="62">
        <v>3</v>
      </c>
      <c r="C2002" s="62" t="s">
        <v>7</v>
      </c>
      <c r="D2002" s="62" t="s">
        <v>2</v>
      </c>
      <c r="E2002" s="62">
        <v>186.045</v>
      </c>
      <c r="F2002" s="62">
        <v>51.82595</v>
      </c>
      <c r="I2002" s="62">
        <v>2019</v>
      </c>
      <c r="J2002" s="62">
        <v>10</v>
      </c>
      <c r="K2002" s="62" t="s">
        <v>19</v>
      </c>
      <c r="L2002" s="62" t="s">
        <v>1</v>
      </c>
      <c r="M2002" s="62">
        <v>734.1342999999999</v>
      </c>
      <c r="N2002" s="62">
        <v>128.4735025</v>
      </c>
    </row>
    <row r="2003" spans="1:14">
      <c r="A2003" s="62">
        <v>2015</v>
      </c>
      <c r="B2003" s="62">
        <v>4</v>
      </c>
      <c r="C2003" s="62" t="s">
        <v>7</v>
      </c>
      <c r="D2003" s="62" t="s">
        <v>2</v>
      </c>
      <c r="E2003" s="62">
        <v>125.323</v>
      </c>
      <c r="F2003" s="62">
        <v>35.567</v>
      </c>
      <c r="I2003" s="62">
        <v>2019</v>
      </c>
      <c r="J2003" s="62">
        <v>11</v>
      </c>
      <c r="K2003" s="62" t="s">
        <v>19</v>
      </c>
      <c r="L2003" s="62" t="s">
        <v>1</v>
      </c>
      <c r="M2003" s="62">
        <v>501.49</v>
      </c>
      <c r="N2003" s="62">
        <v>87.76074999999999</v>
      </c>
    </row>
    <row r="2004" spans="1:14">
      <c r="A2004" s="62">
        <v>2015</v>
      </c>
      <c r="B2004" s="62">
        <v>5</v>
      </c>
      <c r="C2004" s="62" t="s">
        <v>7</v>
      </c>
      <c r="D2004" s="62" t="s">
        <v>2</v>
      </c>
      <c r="E2004" s="62">
        <v>1.212</v>
      </c>
      <c r="F2004" s="62">
        <v>0.5148</v>
      </c>
      <c r="I2004" s="62">
        <v>2019</v>
      </c>
      <c r="J2004" s="62">
        <v>12</v>
      </c>
      <c r="K2004" s="62" t="s">
        <v>19</v>
      </c>
      <c r="L2004" s="62" t="s">
        <v>1</v>
      </c>
      <c r="M2004" s="62">
        <v>291.253</v>
      </c>
      <c r="N2004" s="62">
        <v>50.969275</v>
      </c>
    </row>
    <row r="2005" spans="1:14">
      <c r="A2005" s="62">
        <v>2015</v>
      </c>
      <c r="B2005" s="62">
        <v>6</v>
      </c>
      <c r="C2005" s="62" t="s">
        <v>7</v>
      </c>
      <c r="D2005" s="62" t="s">
        <v>2</v>
      </c>
      <c r="E2005" s="62">
        <v>42.045</v>
      </c>
      <c r="F2005" s="62">
        <v>10.122625</v>
      </c>
      <c r="I2005" s="62">
        <v>2020</v>
      </c>
      <c r="J2005" s="62">
        <v>1</v>
      </c>
      <c r="K2005" s="62" t="s">
        <v>19</v>
      </c>
      <c r="L2005" s="62" t="s">
        <v>1</v>
      </c>
      <c r="M2005" s="62">
        <v>359.7795</v>
      </c>
      <c r="N2005" s="62">
        <v>62.96141249999999</v>
      </c>
    </row>
    <row r="2006" spans="1:14">
      <c r="A2006" s="62">
        <v>2015</v>
      </c>
      <c r="B2006" s="62">
        <v>7</v>
      </c>
      <c r="C2006" s="62" t="s">
        <v>7</v>
      </c>
      <c r="D2006" s="62" t="s">
        <v>2</v>
      </c>
      <c r="E2006" s="62">
        <v>111.685</v>
      </c>
      <c r="F2006" s="62">
        <v>24.11075</v>
      </c>
      <c r="I2006" s="62">
        <v>2020</v>
      </c>
      <c r="J2006" s="62">
        <v>2</v>
      </c>
      <c r="K2006" s="62" t="s">
        <v>19</v>
      </c>
      <c r="L2006" s="62" t="s">
        <v>1</v>
      </c>
      <c r="M2006" s="62">
        <v>404.4281</v>
      </c>
      <c r="N2006" s="62">
        <v>70.7749175</v>
      </c>
    </row>
    <row r="2007" spans="1:14">
      <c r="A2007" s="62">
        <v>2015</v>
      </c>
      <c r="B2007" s="62">
        <v>8</v>
      </c>
      <c r="C2007" s="62" t="s">
        <v>7</v>
      </c>
      <c r="D2007" s="62" t="s">
        <v>2</v>
      </c>
      <c r="E2007" s="62">
        <v>140.26</v>
      </c>
      <c r="F2007" s="62">
        <v>33.365</v>
      </c>
      <c r="I2007" s="62">
        <v>2020</v>
      </c>
      <c r="J2007" s="62">
        <v>3</v>
      </c>
      <c r="K2007" s="62" t="s">
        <v>19</v>
      </c>
      <c r="L2007" s="62" t="s">
        <v>1</v>
      </c>
      <c r="M2007" s="62">
        <v>570.0093000000001</v>
      </c>
      <c r="N2007" s="62">
        <v>99.7516275</v>
      </c>
    </row>
    <row r="2008" spans="1:14">
      <c r="A2008" s="62">
        <v>2015</v>
      </c>
      <c r="B2008" s="62">
        <v>9</v>
      </c>
      <c r="C2008" s="62" t="s">
        <v>7</v>
      </c>
      <c r="D2008" s="62" t="s">
        <v>2</v>
      </c>
      <c r="E2008" s="62">
        <v>57.277</v>
      </c>
      <c r="F2008" s="62">
        <v>20.410325</v>
      </c>
      <c r="I2008" s="62">
        <v>2020</v>
      </c>
      <c r="J2008" s="62">
        <v>4</v>
      </c>
      <c r="K2008" s="62" t="s">
        <v>19</v>
      </c>
      <c r="L2008" s="62" t="s">
        <v>1</v>
      </c>
      <c r="M2008" s="62">
        <v>1644.5444</v>
      </c>
      <c r="N2008" s="62">
        <v>287.79527</v>
      </c>
    </row>
    <row r="2009" spans="1:14">
      <c r="A2009" s="62">
        <v>2015</v>
      </c>
      <c r="B2009" s="62">
        <v>10</v>
      </c>
      <c r="C2009" s="62" t="s">
        <v>7</v>
      </c>
      <c r="D2009" s="62" t="s">
        <v>2</v>
      </c>
      <c r="E2009" s="62">
        <v>48.737</v>
      </c>
      <c r="F2009" s="62">
        <v>11.68635</v>
      </c>
      <c r="I2009" s="62">
        <v>2020</v>
      </c>
      <c r="J2009" s="62">
        <v>5</v>
      </c>
      <c r="K2009" s="62" t="s">
        <v>19</v>
      </c>
      <c r="L2009" s="62" t="s">
        <v>1</v>
      </c>
      <c r="M2009" s="62">
        <v>1712.0083</v>
      </c>
      <c r="N2009" s="62">
        <v>299.6014525</v>
      </c>
    </row>
    <row r="2010" spans="1:14">
      <c r="A2010" s="62">
        <v>2015</v>
      </c>
      <c r="B2010" s="62">
        <v>11</v>
      </c>
      <c r="C2010" s="62" t="s">
        <v>7</v>
      </c>
      <c r="D2010" s="62" t="s">
        <v>2</v>
      </c>
      <c r="E2010" s="62">
        <v>16.125</v>
      </c>
      <c r="F2010" s="62">
        <v>5.004</v>
      </c>
      <c r="I2010" s="62">
        <v>2020</v>
      </c>
      <c r="J2010" s="62">
        <v>6</v>
      </c>
      <c r="K2010" s="62" t="s">
        <v>19</v>
      </c>
      <c r="L2010" s="62" t="s">
        <v>1</v>
      </c>
      <c r="M2010" s="62">
        <v>1727.2225</v>
      </c>
      <c r="N2010" s="62">
        <v>302.2639375</v>
      </c>
    </row>
    <row r="2011" spans="1:14">
      <c r="A2011" s="62">
        <v>2015</v>
      </c>
      <c r="B2011" s="62">
        <v>12</v>
      </c>
      <c r="C2011" s="62" t="s">
        <v>7</v>
      </c>
      <c r="D2011" s="62" t="s">
        <v>2</v>
      </c>
      <c r="E2011" s="62">
        <v>3.77</v>
      </c>
      <c r="F2011" s="62">
        <v>0.754</v>
      </c>
      <c r="I2011" s="62">
        <v>2020</v>
      </c>
      <c r="J2011" s="62">
        <v>7</v>
      </c>
      <c r="K2011" s="62" t="s">
        <v>19</v>
      </c>
      <c r="L2011" s="62" t="s">
        <v>1</v>
      </c>
      <c r="M2011" s="62">
        <v>1687.559</v>
      </c>
      <c r="N2011" s="62">
        <v>295.322825</v>
      </c>
    </row>
    <row r="2012" spans="1:14">
      <c r="A2012" s="62">
        <v>2016</v>
      </c>
      <c r="B2012" s="62">
        <v>2</v>
      </c>
      <c r="C2012" s="62" t="s">
        <v>7</v>
      </c>
      <c r="D2012" s="62" t="s">
        <v>2</v>
      </c>
      <c r="E2012" s="62">
        <v>24.718</v>
      </c>
      <c r="F2012" s="62">
        <v>7.276</v>
      </c>
      <c r="I2012" s="62">
        <v>2020</v>
      </c>
      <c r="J2012" s="62">
        <v>8</v>
      </c>
      <c r="K2012" s="62" t="s">
        <v>19</v>
      </c>
      <c r="L2012" s="62" t="s">
        <v>1</v>
      </c>
      <c r="M2012" s="62">
        <v>1650.635</v>
      </c>
      <c r="N2012" s="62">
        <v>288.861125</v>
      </c>
    </row>
    <row r="2013" spans="1:14">
      <c r="A2013" s="62">
        <v>2016</v>
      </c>
      <c r="B2013" s="62">
        <v>3</v>
      </c>
      <c r="C2013" s="62" t="s">
        <v>7</v>
      </c>
      <c r="D2013" s="62" t="s">
        <v>2</v>
      </c>
      <c r="E2013" s="62">
        <v>132.346</v>
      </c>
      <c r="F2013" s="62">
        <v>32.04564999999999</v>
      </c>
      <c r="I2013" s="62">
        <v>2020</v>
      </c>
      <c r="J2013" s="62">
        <v>9</v>
      </c>
      <c r="K2013" s="62" t="s">
        <v>19</v>
      </c>
      <c r="L2013" s="62" t="s">
        <v>1</v>
      </c>
      <c r="M2013" s="62">
        <v>1865.5535</v>
      </c>
      <c r="N2013" s="62">
        <v>326.4718625</v>
      </c>
    </row>
    <row r="2014" spans="1:14">
      <c r="A2014" s="62">
        <v>2016</v>
      </c>
      <c r="B2014" s="62">
        <v>4</v>
      </c>
      <c r="C2014" s="62" t="s">
        <v>7</v>
      </c>
      <c r="D2014" s="62" t="s">
        <v>2</v>
      </c>
      <c r="E2014" s="62">
        <v>179.9</v>
      </c>
      <c r="F2014" s="62">
        <v>45.58325</v>
      </c>
      <c r="I2014" s="62">
        <v>2020</v>
      </c>
      <c r="J2014" s="62">
        <v>10</v>
      </c>
      <c r="K2014" s="62" t="s">
        <v>19</v>
      </c>
      <c r="L2014" s="62" t="s">
        <v>1</v>
      </c>
      <c r="M2014" s="62">
        <v>1719.8459</v>
      </c>
      <c r="N2014" s="62">
        <v>300.9730325</v>
      </c>
    </row>
    <row r="2015" spans="1:14">
      <c r="A2015" s="62">
        <v>2016</v>
      </c>
      <c r="B2015" s="62">
        <v>5</v>
      </c>
      <c r="C2015" s="62" t="s">
        <v>7</v>
      </c>
      <c r="D2015" s="62" t="s">
        <v>2</v>
      </c>
      <c r="E2015" s="62">
        <v>88.142</v>
      </c>
      <c r="F2015" s="62">
        <v>26.4455</v>
      </c>
      <c r="I2015" s="62">
        <v>2020</v>
      </c>
      <c r="J2015" s="62">
        <v>11</v>
      </c>
      <c r="K2015" s="62" t="s">
        <v>19</v>
      </c>
      <c r="L2015" s="62" t="s">
        <v>1</v>
      </c>
      <c r="M2015" s="62">
        <v>1479.278</v>
      </c>
      <c r="N2015" s="62">
        <v>258.87365</v>
      </c>
    </row>
    <row r="2016" spans="1:14">
      <c r="A2016" s="62">
        <v>2016</v>
      </c>
      <c r="B2016" s="62">
        <v>7</v>
      </c>
      <c r="C2016" s="62" t="s">
        <v>7</v>
      </c>
      <c r="D2016" s="62" t="s">
        <v>2</v>
      </c>
      <c r="E2016" s="62">
        <v>2.85</v>
      </c>
      <c r="F2016" s="62">
        <v>1.0625</v>
      </c>
      <c r="I2016" s="62">
        <v>2020</v>
      </c>
      <c r="J2016" s="62">
        <v>12</v>
      </c>
      <c r="K2016" s="62" t="s">
        <v>19</v>
      </c>
      <c r="L2016" s="62" t="s">
        <v>1</v>
      </c>
      <c r="M2016" s="62">
        <v>1609.926</v>
      </c>
      <c r="N2016" s="62">
        <v>281.73705</v>
      </c>
    </row>
    <row r="2017" spans="1:14">
      <c r="A2017" s="62">
        <v>2016</v>
      </c>
      <c r="B2017" s="62">
        <v>8</v>
      </c>
      <c r="C2017" s="62" t="s">
        <v>7</v>
      </c>
      <c r="D2017" s="62" t="s">
        <v>2</v>
      </c>
      <c r="E2017" s="62">
        <v>17.385</v>
      </c>
      <c r="F2017" s="62">
        <v>6.48125</v>
      </c>
      <c r="I2017" s="62">
        <v>2021</v>
      </c>
      <c r="J2017" s="62">
        <v>1</v>
      </c>
      <c r="K2017" s="62" t="s">
        <v>19</v>
      </c>
      <c r="L2017" s="62" t="s">
        <v>1</v>
      </c>
      <c r="M2017" s="62">
        <v>1647.6555</v>
      </c>
      <c r="N2017" s="62">
        <v>288.3397125</v>
      </c>
    </row>
    <row r="2018" spans="1:14">
      <c r="A2018" s="62">
        <v>2016</v>
      </c>
      <c r="B2018" s="62">
        <v>9</v>
      </c>
      <c r="C2018" s="62" t="s">
        <v>7</v>
      </c>
      <c r="D2018" s="62" t="s">
        <v>2</v>
      </c>
      <c r="E2018" s="62">
        <v>1.803</v>
      </c>
      <c r="F2018" s="62">
        <v>0.9834499999999999</v>
      </c>
      <c r="I2018" s="62">
        <v>2021</v>
      </c>
      <c r="J2018" s="62">
        <v>2</v>
      </c>
      <c r="K2018" s="62" t="s">
        <v>19</v>
      </c>
      <c r="L2018" s="62" t="s">
        <v>1</v>
      </c>
      <c r="M2018" s="62">
        <v>2463.7546</v>
      </c>
      <c r="N2018" s="62">
        <v>431.157055</v>
      </c>
    </row>
    <row r="2019" spans="1:14">
      <c r="A2019" s="62">
        <v>2016</v>
      </c>
      <c r="B2019" s="62">
        <v>10</v>
      </c>
      <c r="C2019" s="62" t="s">
        <v>7</v>
      </c>
      <c r="D2019" s="62" t="s">
        <v>2</v>
      </c>
      <c r="E2019" s="62">
        <v>11.336</v>
      </c>
      <c r="F2019" s="62">
        <v>5.785</v>
      </c>
      <c r="I2019" s="62">
        <v>2021</v>
      </c>
      <c r="J2019" s="62">
        <v>3</v>
      </c>
      <c r="K2019" s="62" t="s">
        <v>19</v>
      </c>
      <c r="L2019" s="62" t="s">
        <v>1</v>
      </c>
      <c r="M2019" s="62">
        <v>1655.7923</v>
      </c>
      <c r="N2019" s="62">
        <v>289.7636525</v>
      </c>
    </row>
    <row r="2020" spans="1:14">
      <c r="A2020" s="62">
        <v>2016</v>
      </c>
      <c r="B2020" s="62">
        <v>11</v>
      </c>
      <c r="C2020" s="62" t="s">
        <v>7</v>
      </c>
      <c r="D2020" s="62" t="s">
        <v>2</v>
      </c>
      <c r="E2020" s="62">
        <v>5.34</v>
      </c>
      <c r="F2020" s="62">
        <v>3.471</v>
      </c>
      <c r="I2020" s="62">
        <v>2021</v>
      </c>
      <c r="J2020" s="62">
        <v>4</v>
      </c>
      <c r="K2020" s="62" t="s">
        <v>19</v>
      </c>
      <c r="L2020" s="62" t="s">
        <v>1</v>
      </c>
      <c r="M2020" s="62">
        <v>991.5586</v>
      </c>
      <c r="N2020" s="62">
        <v>173.522755</v>
      </c>
    </row>
    <row r="2021" spans="1:14">
      <c r="A2021" s="62">
        <v>2017</v>
      </c>
      <c r="B2021" s="62">
        <v>1</v>
      </c>
      <c r="C2021" s="62" t="s">
        <v>7</v>
      </c>
      <c r="D2021" s="62" t="s">
        <v>2</v>
      </c>
      <c r="E2021" s="62">
        <v>4.8</v>
      </c>
      <c r="F2021" s="62">
        <v>4.08</v>
      </c>
      <c r="I2021" s="62">
        <v>2021</v>
      </c>
      <c r="J2021" s="62">
        <v>5</v>
      </c>
      <c r="K2021" s="62" t="s">
        <v>19</v>
      </c>
      <c r="L2021" s="62" t="s">
        <v>1</v>
      </c>
      <c r="M2021" s="62">
        <v>659.0857999999999</v>
      </c>
      <c r="N2021" s="62">
        <v>115.340015</v>
      </c>
    </row>
    <row r="2022" spans="1:14">
      <c r="A2022" s="62">
        <v>2017</v>
      </c>
      <c r="B2022" s="62">
        <v>3</v>
      </c>
      <c r="C2022" s="62" t="s">
        <v>7</v>
      </c>
      <c r="D2022" s="62" t="s">
        <v>2</v>
      </c>
      <c r="E2022" s="62">
        <v>3.5</v>
      </c>
      <c r="F2022" s="62">
        <v>2.975</v>
      </c>
      <c r="I2022" s="62">
        <v>2021</v>
      </c>
      <c r="J2022" s="62">
        <v>6</v>
      </c>
      <c r="K2022" s="62" t="s">
        <v>19</v>
      </c>
      <c r="L2022" s="62" t="s">
        <v>1</v>
      </c>
      <c r="M2022" s="62">
        <v>532.188</v>
      </c>
      <c r="N2022" s="62">
        <v>93.13289999999999</v>
      </c>
    </row>
    <row r="2023" spans="1:14">
      <c r="A2023" s="62">
        <v>2017</v>
      </c>
      <c r="B2023" s="62">
        <v>4</v>
      </c>
      <c r="C2023" s="62" t="s">
        <v>7</v>
      </c>
      <c r="D2023" s="62" t="s">
        <v>2</v>
      </c>
      <c r="E2023" s="62">
        <v>108.355</v>
      </c>
      <c r="F2023" s="62">
        <v>18.3049</v>
      </c>
      <c r="I2023" s="62">
        <v>2021</v>
      </c>
      <c r="J2023" s="62">
        <v>7</v>
      </c>
      <c r="K2023" s="62" t="s">
        <v>19</v>
      </c>
      <c r="L2023" s="62" t="s">
        <v>1</v>
      </c>
      <c r="M2023" s="62">
        <v>405.5988</v>
      </c>
      <c r="N2023" s="62">
        <v>70.97978999999999</v>
      </c>
    </row>
    <row r="2024" spans="1:14">
      <c r="A2024" s="62">
        <v>2017</v>
      </c>
      <c r="B2024" s="62">
        <v>5</v>
      </c>
      <c r="C2024" s="62" t="s">
        <v>7</v>
      </c>
      <c r="D2024" s="62" t="s">
        <v>2</v>
      </c>
      <c r="E2024" s="62">
        <v>201.5</v>
      </c>
      <c r="F2024" s="62">
        <v>37.37</v>
      </c>
      <c r="I2024" s="62">
        <v>2021</v>
      </c>
      <c r="J2024" s="62">
        <v>8</v>
      </c>
      <c r="K2024" s="62" t="s">
        <v>19</v>
      </c>
      <c r="L2024" s="62" t="s">
        <v>1</v>
      </c>
      <c r="M2024" s="62">
        <v>529.21</v>
      </c>
      <c r="N2024" s="62">
        <v>92.61175</v>
      </c>
    </row>
    <row r="2025" spans="1:14">
      <c r="A2025" s="62">
        <v>2017</v>
      </c>
      <c r="B2025" s="62">
        <v>6</v>
      </c>
      <c r="C2025" s="62" t="s">
        <v>7</v>
      </c>
      <c r="D2025" s="62" t="s">
        <v>2</v>
      </c>
      <c r="E2025" s="62">
        <v>74.55500000000001</v>
      </c>
      <c r="F2025" s="62">
        <v>13.8269</v>
      </c>
      <c r="I2025" s="62">
        <v>2021</v>
      </c>
      <c r="J2025" s="62">
        <v>9</v>
      </c>
      <c r="K2025" s="62" t="s">
        <v>19</v>
      </c>
      <c r="L2025" s="62" t="s">
        <v>1</v>
      </c>
      <c r="M2025" s="62">
        <v>914.954</v>
      </c>
      <c r="N2025" s="62">
        <v>160.11695</v>
      </c>
    </row>
    <row r="2026" spans="1:14">
      <c r="A2026" s="62">
        <v>2017</v>
      </c>
      <c r="B2026" s="62">
        <v>10</v>
      </c>
      <c r="C2026" s="62" t="s">
        <v>7</v>
      </c>
      <c r="D2026" s="62" t="s">
        <v>2</v>
      </c>
      <c r="E2026" s="62">
        <v>13.5</v>
      </c>
      <c r="F2026" s="62">
        <v>0.675</v>
      </c>
      <c r="I2026" s="62">
        <v>2021</v>
      </c>
      <c r="J2026" s="62">
        <v>10</v>
      </c>
      <c r="K2026" s="62" t="s">
        <v>19</v>
      </c>
      <c r="L2026" s="62" t="s">
        <v>1</v>
      </c>
      <c r="M2026" s="62">
        <v>1039.8345</v>
      </c>
      <c r="N2026" s="62">
        <v>181.9710375</v>
      </c>
    </row>
    <row r="2027" spans="1:14">
      <c r="A2027" s="62">
        <v>2017</v>
      </c>
      <c r="B2027" s="62">
        <v>11</v>
      </c>
      <c r="C2027" s="62" t="s">
        <v>7</v>
      </c>
      <c r="D2027" s="62" t="s">
        <v>2</v>
      </c>
      <c r="E2027" s="62">
        <v>2.55</v>
      </c>
      <c r="F2027" s="62">
        <v>0.1275</v>
      </c>
      <c r="I2027" s="62">
        <v>2021</v>
      </c>
      <c r="J2027" s="62">
        <v>11</v>
      </c>
      <c r="K2027" s="62" t="s">
        <v>19</v>
      </c>
      <c r="L2027" s="62" t="s">
        <v>1</v>
      </c>
      <c r="M2027" s="62">
        <v>576.367</v>
      </c>
      <c r="N2027" s="62">
        <v>100.864225</v>
      </c>
    </row>
    <row r="2028" spans="1:14">
      <c r="A2028" s="62">
        <v>2018</v>
      </c>
      <c r="B2028" s="62">
        <v>1</v>
      </c>
      <c r="C2028" s="62" t="s">
        <v>7</v>
      </c>
      <c r="D2028" s="62" t="s">
        <v>2</v>
      </c>
      <c r="E2028" s="62">
        <v>14.58</v>
      </c>
      <c r="F2028" s="62">
        <v>7.722</v>
      </c>
      <c r="I2028" s="62">
        <v>2021</v>
      </c>
      <c r="J2028" s="62">
        <v>12</v>
      </c>
      <c r="K2028" s="62" t="s">
        <v>19</v>
      </c>
      <c r="L2028" s="62" t="s">
        <v>1</v>
      </c>
      <c r="M2028" s="62">
        <v>370.4678</v>
      </c>
      <c r="N2028" s="62">
        <v>64.83186499999999</v>
      </c>
    </row>
    <row r="2029" spans="1:14">
      <c r="A2029" s="62">
        <v>2018</v>
      </c>
      <c r="B2029" s="62">
        <v>3</v>
      </c>
      <c r="C2029" s="62" t="s">
        <v>7</v>
      </c>
      <c r="D2029" s="62" t="s">
        <v>2</v>
      </c>
      <c r="E2029" s="62">
        <v>66.605</v>
      </c>
      <c r="F2029" s="62">
        <v>18.61475</v>
      </c>
      <c r="I2029" s="62">
        <v>2022</v>
      </c>
      <c r="J2029" s="62">
        <v>1</v>
      </c>
      <c r="K2029" s="62" t="s">
        <v>19</v>
      </c>
      <c r="L2029" s="62" t="s">
        <v>1</v>
      </c>
      <c r="M2029" s="62">
        <v>498.338</v>
      </c>
      <c r="N2029" s="62">
        <v>87.20914999999999</v>
      </c>
    </row>
    <row r="2030" spans="1:14">
      <c r="A2030" s="62">
        <v>2018</v>
      </c>
      <c r="B2030" s="62">
        <v>4</v>
      </c>
      <c r="C2030" s="62" t="s">
        <v>7</v>
      </c>
      <c r="D2030" s="62" t="s">
        <v>2</v>
      </c>
      <c r="E2030" s="62">
        <v>110.634</v>
      </c>
      <c r="F2030" s="62">
        <v>20.7535</v>
      </c>
      <c r="I2030" s="62">
        <v>2022</v>
      </c>
      <c r="J2030" s="62">
        <v>2</v>
      </c>
      <c r="K2030" s="62" t="s">
        <v>19</v>
      </c>
      <c r="L2030" s="62" t="s">
        <v>1</v>
      </c>
      <c r="M2030" s="62">
        <v>561.65</v>
      </c>
      <c r="N2030" s="62">
        <v>98.28874999999999</v>
      </c>
    </row>
    <row r="2031" spans="1:14">
      <c r="A2031" s="62">
        <v>2018</v>
      </c>
      <c r="B2031" s="62">
        <v>5</v>
      </c>
      <c r="C2031" s="62" t="s">
        <v>7</v>
      </c>
      <c r="D2031" s="62" t="s">
        <v>2</v>
      </c>
      <c r="E2031" s="62">
        <v>132.3</v>
      </c>
      <c r="F2031" s="62">
        <v>20.125</v>
      </c>
      <c r="I2031" s="62">
        <v>2022</v>
      </c>
      <c r="J2031" s="62">
        <v>3</v>
      </c>
      <c r="K2031" s="62" t="s">
        <v>19</v>
      </c>
      <c r="L2031" s="62" t="s">
        <v>1</v>
      </c>
      <c r="M2031" s="62">
        <v>345.327</v>
      </c>
      <c r="N2031" s="62">
        <v>60.432225</v>
      </c>
    </row>
    <row r="2032" spans="1:14">
      <c r="A2032" s="62">
        <v>2018</v>
      </c>
      <c r="B2032" s="62">
        <v>6</v>
      </c>
      <c r="C2032" s="62" t="s">
        <v>7</v>
      </c>
      <c r="D2032" s="62" t="s">
        <v>2</v>
      </c>
      <c r="E2032" s="62">
        <v>27.18</v>
      </c>
      <c r="F2032" s="62">
        <v>2.71</v>
      </c>
      <c r="I2032" s="62">
        <v>2022</v>
      </c>
      <c r="J2032" s="62">
        <v>4</v>
      </c>
      <c r="K2032" s="62" t="s">
        <v>19</v>
      </c>
      <c r="L2032" s="62" t="s">
        <v>1</v>
      </c>
      <c r="M2032" s="62">
        <v>464.519</v>
      </c>
      <c r="N2032" s="62">
        <v>81.290825</v>
      </c>
    </row>
    <row r="2033" spans="1:14">
      <c r="A2033" s="62">
        <v>2018</v>
      </c>
      <c r="B2033" s="62">
        <v>7</v>
      </c>
      <c r="C2033" s="62" t="s">
        <v>7</v>
      </c>
      <c r="D2033" s="62" t="s">
        <v>2</v>
      </c>
      <c r="E2033" s="62">
        <v>2.945</v>
      </c>
      <c r="F2033" s="62">
        <v>0.14725</v>
      </c>
      <c r="I2033" s="62">
        <v>2022</v>
      </c>
      <c r="J2033" s="62">
        <v>5</v>
      </c>
      <c r="K2033" s="62" t="s">
        <v>19</v>
      </c>
      <c r="L2033" s="62" t="s">
        <v>1</v>
      </c>
      <c r="M2033" s="62">
        <v>464.6058</v>
      </c>
      <c r="N2033" s="62">
        <v>81.306015</v>
      </c>
    </row>
    <row r="2034" spans="1:14">
      <c r="A2034" s="62">
        <v>2018</v>
      </c>
      <c r="B2034" s="62">
        <v>8</v>
      </c>
      <c r="C2034" s="62" t="s">
        <v>7</v>
      </c>
      <c r="D2034" s="62" t="s">
        <v>2</v>
      </c>
      <c r="E2034" s="62">
        <v>163.95</v>
      </c>
      <c r="F2034" s="62">
        <v>44.515</v>
      </c>
      <c r="I2034" s="62">
        <v>2022</v>
      </c>
      <c r="J2034" s="62">
        <v>6</v>
      </c>
      <c r="K2034" s="62" t="s">
        <v>19</v>
      </c>
      <c r="L2034" s="62" t="s">
        <v>1</v>
      </c>
      <c r="M2034" s="62">
        <v>423.498</v>
      </c>
      <c r="N2034" s="62">
        <v>74.11215</v>
      </c>
    </row>
    <row r="2035" spans="1:14">
      <c r="A2035" s="62">
        <v>2018</v>
      </c>
      <c r="B2035" s="62">
        <v>9</v>
      </c>
      <c r="C2035" s="62" t="s">
        <v>7</v>
      </c>
      <c r="D2035" s="62" t="s">
        <v>2</v>
      </c>
      <c r="E2035" s="62">
        <v>109.025</v>
      </c>
      <c r="F2035" s="62">
        <v>25.25075</v>
      </c>
      <c r="I2035" s="62">
        <v>2022</v>
      </c>
      <c r="J2035" s="62">
        <v>7</v>
      </c>
      <c r="K2035" s="62" t="s">
        <v>19</v>
      </c>
      <c r="L2035" s="62" t="s">
        <v>1</v>
      </c>
      <c r="M2035" s="62">
        <v>443.782</v>
      </c>
      <c r="N2035" s="62">
        <v>77.66185</v>
      </c>
    </row>
    <row r="2036" spans="1:14">
      <c r="A2036" s="62">
        <v>2018</v>
      </c>
      <c r="B2036" s="62">
        <v>10</v>
      </c>
      <c r="C2036" s="62" t="s">
        <v>7</v>
      </c>
      <c r="D2036" s="62" t="s">
        <v>2</v>
      </c>
      <c r="E2036" s="62">
        <v>194.01</v>
      </c>
      <c r="F2036" s="62">
        <v>39.4674</v>
      </c>
      <c r="I2036" s="62">
        <v>2022</v>
      </c>
      <c r="J2036" s="62">
        <v>8</v>
      </c>
      <c r="K2036" s="62" t="s">
        <v>19</v>
      </c>
      <c r="L2036" s="62" t="s">
        <v>1</v>
      </c>
      <c r="M2036" s="62">
        <v>481.4398</v>
      </c>
      <c r="N2036" s="62">
        <v>84.251965</v>
      </c>
    </row>
    <row r="2037" spans="1:14">
      <c r="A2037" s="62">
        <v>2018</v>
      </c>
      <c r="B2037" s="62">
        <v>11</v>
      </c>
      <c r="C2037" s="62" t="s">
        <v>7</v>
      </c>
      <c r="D2037" s="62" t="s">
        <v>2</v>
      </c>
      <c r="E2037" s="62">
        <v>218.947</v>
      </c>
      <c r="F2037" s="62">
        <v>40.93885</v>
      </c>
      <c r="I2037" s="62">
        <v>2022</v>
      </c>
      <c r="J2037" s="62">
        <v>9</v>
      </c>
      <c r="K2037" s="62" t="s">
        <v>19</v>
      </c>
      <c r="L2037" s="62" t="s">
        <v>1</v>
      </c>
      <c r="M2037" s="62">
        <v>404.7855</v>
      </c>
      <c r="N2037" s="62">
        <v>70.8374625</v>
      </c>
    </row>
    <row r="2038" spans="1:14">
      <c r="A2038" s="62">
        <v>2018</v>
      </c>
      <c r="B2038" s="62">
        <v>12</v>
      </c>
      <c r="C2038" s="62" t="s">
        <v>7</v>
      </c>
      <c r="D2038" s="62" t="s">
        <v>2</v>
      </c>
      <c r="E2038" s="62">
        <v>141</v>
      </c>
      <c r="F2038" s="62">
        <v>28.875</v>
      </c>
      <c r="I2038" s="62">
        <v>2022</v>
      </c>
      <c r="J2038" s="62">
        <v>10</v>
      </c>
      <c r="K2038" s="62" t="s">
        <v>19</v>
      </c>
      <c r="L2038" s="62" t="s">
        <v>1</v>
      </c>
      <c r="M2038" s="62">
        <v>665.9017</v>
      </c>
      <c r="N2038" s="62">
        <v>116.5327975</v>
      </c>
    </row>
    <row r="2039" spans="1:14">
      <c r="A2039" s="62">
        <v>2019</v>
      </c>
      <c r="B2039" s="62">
        <v>1</v>
      </c>
      <c r="C2039" s="62" t="s">
        <v>7</v>
      </c>
      <c r="D2039" s="62" t="s">
        <v>2</v>
      </c>
      <c r="E2039" s="62">
        <v>57.375</v>
      </c>
      <c r="F2039" s="62">
        <v>12.99375</v>
      </c>
      <c r="I2039" s="62">
        <v>2022</v>
      </c>
      <c r="J2039" s="62">
        <v>11</v>
      </c>
      <c r="K2039" s="62" t="s">
        <v>19</v>
      </c>
      <c r="L2039" s="62" t="s">
        <v>1</v>
      </c>
      <c r="M2039" s="62">
        <v>279.1413</v>
      </c>
      <c r="N2039" s="62">
        <v>48.8497275</v>
      </c>
    </row>
    <row r="2040" spans="1:14">
      <c r="A2040" s="62">
        <v>2019</v>
      </c>
      <c r="B2040" s="62">
        <v>2</v>
      </c>
      <c r="C2040" s="62" t="s">
        <v>7</v>
      </c>
      <c r="D2040" s="62" t="s">
        <v>2</v>
      </c>
      <c r="E2040" s="62">
        <v>48.7</v>
      </c>
      <c r="F2040" s="62">
        <v>9.890000000000001</v>
      </c>
      <c r="I2040" s="62">
        <v>2022</v>
      </c>
      <c r="J2040" s="62">
        <v>12</v>
      </c>
      <c r="K2040" s="62" t="s">
        <v>19</v>
      </c>
      <c r="L2040" s="62" t="s">
        <v>1</v>
      </c>
      <c r="M2040" s="62">
        <v>602.4184</v>
      </c>
      <c r="N2040" s="62">
        <v>105.42322</v>
      </c>
    </row>
    <row r="2041" spans="1:14">
      <c r="A2041" s="62">
        <v>2019</v>
      </c>
      <c r="B2041" s="62">
        <v>3</v>
      </c>
      <c r="C2041" s="62" t="s">
        <v>7</v>
      </c>
      <c r="D2041" s="62" t="s">
        <v>2</v>
      </c>
      <c r="E2041" s="62">
        <v>16.299</v>
      </c>
      <c r="F2041" s="62">
        <v>4.7177</v>
      </c>
      <c r="I2041" s="62">
        <v>2023</v>
      </c>
      <c r="J2041" s="62">
        <v>1</v>
      </c>
      <c r="K2041" s="62" t="s">
        <v>19</v>
      </c>
      <c r="L2041" s="62" t="s">
        <v>1</v>
      </c>
      <c r="M2041" s="62">
        <v>662.9664</v>
      </c>
      <c r="N2041" s="62">
        <v>116.01912</v>
      </c>
    </row>
    <row r="2042" spans="1:14">
      <c r="A2042" s="62">
        <v>2019</v>
      </c>
      <c r="B2042" s="62">
        <v>5</v>
      </c>
      <c r="C2042" s="62" t="s">
        <v>7</v>
      </c>
      <c r="D2042" s="62" t="s">
        <v>2</v>
      </c>
      <c r="E2042" s="62">
        <v>4.992</v>
      </c>
      <c r="F2042" s="62">
        <v>1.5096</v>
      </c>
      <c r="I2042" s="62">
        <v>2023</v>
      </c>
      <c r="J2042" s="62">
        <v>2</v>
      </c>
      <c r="K2042" s="62" t="s">
        <v>19</v>
      </c>
      <c r="L2042" s="62" t="s">
        <v>1</v>
      </c>
      <c r="M2042" s="62">
        <v>745.967</v>
      </c>
      <c r="N2042" s="62">
        <v>130.544225</v>
      </c>
    </row>
    <row r="2043" spans="1:14">
      <c r="A2043" s="62">
        <v>2019</v>
      </c>
      <c r="B2043" s="62">
        <v>6</v>
      </c>
      <c r="C2043" s="62" t="s">
        <v>7</v>
      </c>
      <c r="D2043" s="62" t="s">
        <v>2</v>
      </c>
      <c r="E2043" s="62">
        <v>8.1</v>
      </c>
      <c r="F2043" s="62">
        <v>1.4175</v>
      </c>
      <c r="I2043" s="62">
        <v>2023</v>
      </c>
      <c r="J2043" s="62">
        <v>3</v>
      </c>
      <c r="K2043" s="62" t="s">
        <v>19</v>
      </c>
      <c r="L2043" s="62" t="s">
        <v>1</v>
      </c>
      <c r="M2043" s="62">
        <v>666.1146</v>
      </c>
      <c r="N2043" s="62">
        <v>116.570055</v>
      </c>
    </row>
    <row r="2044" spans="1:14">
      <c r="A2044" s="62">
        <v>2019</v>
      </c>
      <c r="B2044" s="62">
        <v>7</v>
      </c>
      <c r="C2044" s="62" t="s">
        <v>7</v>
      </c>
      <c r="D2044" s="62" t="s">
        <v>2</v>
      </c>
      <c r="E2044" s="62">
        <v>16.14</v>
      </c>
      <c r="F2044" s="62">
        <v>1.2075</v>
      </c>
      <c r="I2044" s="62">
        <v>2023</v>
      </c>
      <c r="J2044" s="62">
        <v>4</v>
      </c>
      <c r="K2044" s="62" t="s">
        <v>19</v>
      </c>
      <c r="L2044" s="62" t="s">
        <v>1</v>
      </c>
      <c r="M2044" s="62">
        <v>522.0879</v>
      </c>
      <c r="N2044" s="62">
        <v>91.3653825</v>
      </c>
    </row>
    <row r="2045" spans="1:14">
      <c r="A2045" s="62">
        <v>2019</v>
      </c>
      <c r="B2045" s="62">
        <v>9</v>
      </c>
      <c r="C2045" s="62" t="s">
        <v>7</v>
      </c>
      <c r="D2045" s="62" t="s">
        <v>2</v>
      </c>
      <c r="E2045" s="62">
        <v>127.876</v>
      </c>
      <c r="F2045" s="62">
        <v>31.45895</v>
      </c>
      <c r="I2045" s="62">
        <v>2023</v>
      </c>
      <c r="J2045" s="62">
        <v>5</v>
      </c>
      <c r="K2045" s="62" t="s">
        <v>19</v>
      </c>
      <c r="L2045" s="62" t="s">
        <v>1</v>
      </c>
      <c r="M2045" s="62">
        <v>447.3986</v>
      </c>
      <c r="N2045" s="62">
        <v>78.29475499999999</v>
      </c>
    </row>
    <row r="2046" spans="1:14">
      <c r="A2046" s="62">
        <v>2019</v>
      </c>
      <c r="B2046" s="62">
        <v>10</v>
      </c>
      <c r="C2046" s="62" t="s">
        <v>7</v>
      </c>
      <c r="D2046" s="62" t="s">
        <v>2</v>
      </c>
      <c r="E2046" s="62">
        <v>206.602</v>
      </c>
      <c r="F2046" s="62">
        <v>54.40385</v>
      </c>
      <c r="I2046" s="62">
        <v>2023</v>
      </c>
      <c r="J2046" s="62">
        <v>6</v>
      </c>
      <c r="K2046" s="62" t="s">
        <v>19</v>
      </c>
      <c r="L2046" s="62" t="s">
        <v>1</v>
      </c>
      <c r="M2046" s="62">
        <v>279.35</v>
      </c>
      <c r="N2046" s="62">
        <v>48.88625</v>
      </c>
    </row>
    <row r="2047" spans="1:14">
      <c r="A2047" s="62">
        <v>2019</v>
      </c>
      <c r="B2047" s="62">
        <v>11</v>
      </c>
      <c r="C2047" s="62" t="s">
        <v>7</v>
      </c>
      <c r="D2047" s="62" t="s">
        <v>2</v>
      </c>
      <c r="E2047" s="62">
        <v>47.39</v>
      </c>
      <c r="F2047" s="62">
        <v>13.541</v>
      </c>
      <c r="I2047" s="62">
        <v>2023</v>
      </c>
      <c r="J2047" s="62">
        <v>7</v>
      </c>
      <c r="K2047" s="62" t="s">
        <v>19</v>
      </c>
      <c r="L2047" s="62" t="s">
        <v>1</v>
      </c>
      <c r="M2047" s="62">
        <v>218.97</v>
      </c>
      <c r="N2047" s="62">
        <v>38.31975</v>
      </c>
    </row>
    <row r="2048" spans="1:14">
      <c r="A2048" s="62">
        <v>2020</v>
      </c>
      <c r="B2048" s="62">
        <v>2</v>
      </c>
      <c r="C2048" s="62" t="s">
        <v>7</v>
      </c>
      <c r="D2048" s="62" t="s">
        <v>2</v>
      </c>
      <c r="E2048" s="62">
        <v>14.55</v>
      </c>
      <c r="F2048" s="62">
        <v>3.856</v>
      </c>
      <c r="I2048" s="62">
        <v>2023</v>
      </c>
      <c r="J2048" s="62">
        <v>8</v>
      </c>
      <c r="K2048" s="62" t="s">
        <v>19</v>
      </c>
      <c r="L2048" s="62" t="s">
        <v>1</v>
      </c>
      <c r="M2048" s="62">
        <v>284.904</v>
      </c>
      <c r="N2048" s="62">
        <v>49.8582</v>
      </c>
    </row>
    <row r="2049" spans="1:14">
      <c r="A2049" s="62">
        <v>2020</v>
      </c>
      <c r="B2049" s="62">
        <v>3</v>
      </c>
      <c r="C2049" s="62" t="s">
        <v>7</v>
      </c>
      <c r="D2049" s="62" t="s">
        <v>2</v>
      </c>
      <c r="E2049" s="62">
        <v>210.99</v>
      </c>
      <c r="F2049" s="62">
        <v>56.4495</v>
      </c>
      <c r="I2049" s="62">
        <v>2023</v>
      </c>
      <c r="J2049" s="62">
        <v>9</v>
      </c>
      <c r="K2049" s="62" t="s">
        <v>19</v>
      </c>
      <c r="L2049" s="62" t="s">
        <v>1</v>
      </c>
      <c r="M2049" s="62">
        <v>560.1403</v>
      </c>
      <c r="N2049" s="62">
        <v>98.0245525</v>
      </c>
    </row>
    <row r="2050" spans="1:14">
      <c r="A2050" s="62">
        <v>2020</v>
      </c>
      <c r="B2050" s="62">
        <v>4</v>
      </c>
      <c r="C2050" s="62" t="s">
        <v>7</v>
      </c>
      <c r="D2050" s="62" t="s">
        <v>2</v>
      </c>
      <c r="E2050" s="62">
        <v>45.585</v>
      </c>
      <c r="F2050" s="62">
        <v>12.3692</v>
      </c>
      <c r="I2050" s="62">
        <v>2023</v>
      </c>
      <c r="J2050" s="62">
        <v>10</v>
      </c>
      <c r="K2050" s="62" t="s">
        <v>19</v>
      </c>
      <c r="L2050" s="62" t="s">
        <v>1</v>
      </c>
      <c r="M2050" s="62">
        <v>983.004</v>
      </c>
      <c r="N2050" s="62">
        <v>172.0257</v>
      </c>
    </row>
    <row r="2051" spans="1:14">
      <c r="A2051" s="62">
        <v>2020</v>
      </c>
      <c r="B2051" s="62">
        <v>9</v>
      </c>
      <c r="C2051" s="62" t="s">
        <v>7</v>
      </c>
      <c r="D2051" s="62" t="s">
        <v>2</v>
      </c>
      <c r="E2051" s="62">
        <v>37.01</v>
      </c>
      <c r="F2051" s="62">
        <v>9.893750000000001</v>
      </c>
      <c r="I2051" s="62">
        <v>2023</v>
      </c>
      <c r="J2051" s="62">
        <v>11</v>
      </c>
      <c r="K2051" s="62" t="s">
        <v>19</v>
      </c>
      <c r="L2051" s="62" t="s">
        <v>1</v>
      </c>
      <c r="M2051" s="62">
        <v>431.4999</v>
      </c>
      <c r="N2051" s="62">
        <v>75.51248249999999</v>
      </c>
    </row>
    <row r="2052" spans="1:14">
      <c r="A2052" s="62">
        <v>2020</v>
      </c>
      <c r="B2052" s="62">
        <v>10</v>
      </c>
      <c r="C2052" s="62" t="s">
        <v>7</v>
      </c>
      <c r="D2052" s="62" t="s">
        <v>2</v>
      </c>
      <c r="E2052" s="62">
        <v>47.439</v>
      </c>
      <c r="F2052" s="62">
        <v>14.91005</v>
      </c>
      <c r="I2052" s="62">
        <v>2023</v>
      </c>
      <c r="J2052" s="62">
        <v>12</v>
      </c>
      <c r="K2052" s="62" t="s">
        <v>19</v>
      </c>
      <c r="L2052" s="62" t="s">
        <v>1</v>
      </c>
      <c r="M2052" s="62">
        <v>159.5213</v>
      </c>
      <c r="N2052" s="62">
        <v>27.9162275</v>
      </c>
    </row>
    <row r="2053" spans="1:14">
      <c r="A2053" s="62">
        <v>2020</v>
      </c>
      <c r="B2053" s="62">
        <v>11</v>
      </c>
      <c r="C2053" s="62" t="s">
        <v>7</v>
      </c>
      <c r="D2053" s="62" t="s">
        <v>2</v>
      </c>
      <c r="E2053" s="62">
        <v>6.853</v>
      </c>
      <c r="F2053" s="62">
        <v>4.45445</v>
      </c>
      <c r="I2053" s="62">
        <v>2024</v>
      </c>
      <c r="J2053" s="62">
        <v>1</v>
      </c>
      <c r="K2053" s="62" t="s">
        <v>19</v>
      </c>
      <c r="L2053" s="62" t="s">
        <v>1</v>
      </c>
      <c r="M2053" s="62">
        <v>838.6612</v>
      </c>
      <c r="N2053" s="62">
        <v>146.76571</v>
      </c>
    </row>
    <row r="2054" spans="1:14">
      <c r="A2054" s="62">
        <v>2021</v>
      </c>
      <c r="B2054" s="62">
        <v>2</v>
      </c>
      <c r="C2054" s="62" t="s">
        <v>7</v>
      </c>
      <c r="D2054" s="62" t="s">
        <v>2</v>
      </c>
      <c r="E2054" s="62">
        <v>171.275</v>
      </c>
      <c r="F2054" s="62">
        <v>34.53075</v>
      </c>
      <c r="I2054" s="62">
        <v>2024</v>
      </c>
      <c r="J2054" s="62">
        <v>2</v>
      </c>
      <c r="K2054" s="62" t="s">
        <v>19</v>
      </c>
      <c r="L2054" s="62" t="s">
        <v>1</v>
      </c>
      <c r="M2054" s="62">
        <v>1147.6531</v>
      </c>
      <c r="N2054" s="62">
        <v>200.8392925</v>
      </c>
    </row>
    <row r="2055" spans="1:14">
      <c r="A2055" s="62">
        <v>2021</v>
      </c>
      <c r="B2055" s="62">
        <v>3</v>
      </c>
      <c r="C2055" s="62" t="s">
        <v>7</v>
      </c>
      <c r="D2055" s="62" t="s">
        <v>2</v>
      </c>
      <c r="E2055" s="62">
        <v>107.1</v>
      </c>
      <c r="F2055" s="62">
        <v>23.96325</v>
      </c>
      <c r="I2055" s="62">
        <v>2024</v>
      </c>
      <c r="J2055" s="62">
        <v>3</v>
      </c>
      <c r="K2055" s="62" t="s">
        <v>19</v>
      </c>
      <c r="L2055" s="62" t="s">
        <v>1</v>
      </c>
      <c r="M2055" s="62">
        <v>373.1832</v>
      </c>
      <c r="N2055" s="62">
        <v>65.30705999999999</v>
      </c>
    </row>
    <row r="2056" spans="1:14">
      <c r="A2056" s="62">
        <v>2021</v>
      </c>
      <c r="B2056" s="62">
        <v>4</v>
      </c>
      <c r="C2056" s="62" t="s">
        <v>7</v>
      </c>
      <c r="D2056" s="62" t="s">
        <v>2</v>
      </c>
      <c r="E2056" s="62">
        <v>214.3525</v>
      </c>
      <c r="F2056" s="62">
        <v>57.44815</v>
      </c>
      <c r="I2056" s="62">
        <v>2024</v>
      </c>
      <c r="J2056" s="62">
        <v>4</v>
      </c>
      <c r="K2056" s="62" t="s">
        <v>19</v>
      </c>
      <c r="L2056" s="62" t="s">
        <v>1</v>
      </c>
      <c r="M2056" s="62">
        <v>495.9495</v>
      </c>
      <c r="N2056" s="62">
        <v>86.7911625</v>
      </c>
    </row>
    <row r="2057" spans="1:14">
      <c r="A2057" s="62">
        <v>2021</v>
      </c>
      <c r="B2057" s="62">
        <v>5</v>
      </c>
      <c r="C2057" s="62" t="s">
        <v>7</v>
      </c>
      <c r="D2057" s="62" t="s">
        <v>2</v>
      </c>
      <c r="E2057" s="62">
        <v>186.96</v>
      </c>
      <c r="F2057" s="62">
        <v>42.2532</v>
      </c>
      <c r="I2057" s="62">
        <v>2024</v>
      </c>
      <c r="J2057" s="62">
        <v>5</v>
      </c>
      <c r="K2057" s="62" t="s">
        <v>19</v>
      </c>
      <c r="L2057" s="62" t="s">
        <v>1</v>
      </c>
      <c r="M2057" s="62">
        <v>201.16</v>
      </c>
      <c r="N2057" s="62">
        <v>35.203</v>
      </c>
    </row>
    <row r="2058" spans="1:14">
      <c r="A2058" s="62">
        <v>2021</v>
      </c>
      <c r="B2058" s="62">
        <v>6</v>
      </c>
      <c r="C2058" s="62" t="s">
        <v>7</v>
      </c>
      <c r="D2058" s="62" t="s">
        <v>2</v>
      </c>
      <c r="E2058" s="62">
        <v>52.33</v>
      </c>
      <c r="F2058" s="62">
        <v>9.15775</v>
      </c>
      <c r="I2058" s="62">
        <v>2024</v>
      </c>
      <c r="J2058" s="62">
        <v>6</v>
      </c>
      <c r="K2058" s="62" t="s">
        <v>19</v>
      </c>
      <c r="L2058" s="62" t="s">
        <v>1</v>
      </c>
      <c r="M2058" s="62">
        <v>50.9615</v>
      </c>
      <c r="N2058" s="62">
        <v>8.918262499999999</v>
      </c>
    </row>
    <row r="2059" spans="1:14">
      <c r="A2059" s="62">
        <v>2021</v>
      </c>
      <c r="B2059" s="62">
        <v>7</v>
      </c>
      <c r="C2059" s="62" t="s">
        <v>7</v>
      </c>
      <c r="D2059" s="62" t="s">
        <v>2</v>
      </c>
      <c r="E2059" s="62">
        <v>9.984</v>
      </c>
      <c r="F2059" s="62">
        <v>2.67345</v>
      </c>
      <c r="I2059" s="62">
        <v>2024</v>
      </c>
      <c r="J2059" s="62">
        <v>7</v>
      </c>
      <c r="K2059" s="62" t="s">
        <v>19</v>
      </c>
      <c r="L2059" s="62" t="s">
        <v>1</v>
      </c>
      <c r="M2059" s="62">
        <v>247.618</v>
      </c>
      <c r="N2059" s="62">
        <v>43.33315</v>
      </c>
    </row>
    <row r="2060" spans="1:14">
      <c r="A2060" s="62">
        <v>2021</v>
      </c>
      <c r="B2060" s="62">
        <v>8</v>
      </c>
      <c r="C2060" s="62" t="s">
        <v>7</v>
      </c>
      <c r="D2060" s="62" t="s">
        <v>2</v>
      </c>
      <c r="E2060" s="62">
        <v>76.8</v>
      </c>
      <c r="F2060" s="62">
        <v>20.565</v>
      </c>
      <c r="I2060" s="62">
        <v>2024</v>
      </c>
      <c r="J2060" s="62">
        <v>8</v>
      </c>
      <c r="K2060" s="62" t="s">
        <v>19</v>
      </c>
      <c r="L2060" s="62" t="s">
        <v>1</v>
      </c>
      <c r="M2060" s="62">
        <v>253.03</v>
      </c>
      <c r="N2060" s="62">
        <v>44.28025</v>
      </c>
    </row>
    <row r="2061" spans="1:14">
      <c r="A2061" s="62">
        <v>2021</v>
      </c>
      <c r="B2061" s="62">
        <v>9</v>
      </c>
      <c r="C2061" s="62" t="s">
        <v>7</v>
      </c>
      <c r="D2061" s="62" t="s">
        <v>2</v>
      </c>
      <c r="E2061" s="62">
        <v>30.72</v>
      </c>
      <c r="F2061" s="62">
        <v>8.225999999999999</v>
      </c>
      <c r="I2061" s="62">
        <v>2024</v>
      </c>
      <c r="J2061" s="62">
        <v>9</v>
      </c>
      <c r="K2061" s="62" t="s">
        <v>19</v>
      </c>
      <c r="L2061" s="62" t="s">
        <v>1</v>
      </c>
      <c r="M2061" s="62">
        <v>329.9148</v>
      </c>
      <c r="N2061" s="62">
        <v>57.73508999999999</v>
      </c>
    </row>
    <row r="2062" spans="1:14">
      <c r="A2062" s="62">
        <v>2021</v>
      </c>
      <c r="B2062" s="62">
        <v>10</v>
      </c>
      <c r="C2062" s="62" t="s">
        <v>7</v>
      </c>
      <c r="D2062" s="62" t="s">
        <v>2</v>
      </c>
      <c r="E2062" s="62">
        <v>12.752</v>
      </c>
      <c r="F2062" s="62">
        <v>8.105599999999999</v>
      </c>
      <c r="I2062" s="62">
        <v>2024</v>
      </c>
      <c r="J2062" s="62">
        <v>10</v>
      </c>
      <c r="K2062" s="62" t="s">
        <v>19</v>
      </c>
      <c r="L2062" s="62" t="s">
        <v>1</v>
      </c>
      <c r="M2062" s="62">
        <v>511.1285</v>
      </c>
      <c r="N2062" s="62">
        <v>89.44748749999999</v>
      </c>
    </row>
    <row r="2063" spans="1:14">
      <c r="A2063" s="62">
        <v>2022</v>
      </c>
      <c r="B2063" s="62">
        <v>3</v>
      </c>
      <c r="C2063" s="62" t="s">
        <v>7</v>
      </c>
      <c r="D2063" s="62" t="s">
        <v>2</v>
      </c>
      <c r="E2063" s="62">
        <v>16.5</v>
      </c>
      <c r="F2063" s="62">
        <v>2.8875</v>
      </c>
      <c r="I2063" s="62">
        <v>2024</v>
      </c>
      <c r="J2063" s="62">
        <v>11</v>
      </c>
      <c r="K2063" s="62" t="s">
        <v>19</v>
      </c>
      <c r="L2063" s="62" t="s">
        <v>1</v>
      </c>
      <c r="M2063" s="62">
        <v>336.0041</v>
      </c>
      <c r="N2063" s="62">
        <v>58.80071749999999</v>
      </c>
    </row>
    <row r="2064" spans="1:14">
      <c r="A2064" s="62">
        <v>2022</v>
      </c>
      <c r="B2064" s="62">
        <v>4</v>
      </c>
      <c r="C2064" s="62" t="s">
        <v>7</v>
      </c>
      <c r="D2064" s="62" t="s">
        <v>2</v>
      </c>
      <c r="E2064" s="62">
        <v>156.945</v>
      </c>
      <c r="F2064" s="62">
        <v>33.1326</v>
      </c>
      <c r="I2064" s="62">
        <v>2024</v>
      </c>
      <c r="J2064" s="62">
        <v>12</v>
      </c>
      <c r="K2064" s="62" t="s">
        <v>19</v>
      </c>
      <c r="L2064" s="62" t="s">
        <v>1</v>
      </c>
      <c r="M2064" s="62">
        <v>117.5388</v>
      </c>
      <c r="N2064" s="62">
        <v>20.56929</v>
      </c>
    </row>
    <row r="2065" spans="1:14">
      <c r="A2065" s="62">
        <v>2022</v>
      </c>
      <c r="B2065" s="62">
        <v>5</v>
      </c>
      <c r="C2065" s="62" t="s">
        <v>7</v>
      </c>
      <c r="D2065" s="62" t="s">
        <v>2</v>
      </c>
      <c r="E2065" s="62">
        <v>231.705</v>
      </c>
      <c r="F2065" s="62">
        <v>44.24125</v>
      </c>
      <c r="I2065" s="62">
        <v>2025</v>
      </c>
      <c r="J2065" s="62">
        <v>1</v>
      </c>
      <c r="K2065" s="62" t="s">
        <v>19</v>
      </c>
      <c r="L2065" s="62" t="s">
        <v>1</v>
      </c>
      <c r="M2065" s="62">
        <v>484.2649</v>
      </c>
      <c r="N2065" s="62">
        <v>84.74635749999999</v>
      </c>
    </row>
    <row r="2066" spans="1:14">
      <c r="A2066" s="62">
        <v>2022</v>
      </c>
      <c r="B2066" s="62">
        <v>6</v>
      </c>
      <c r="C2066" s="62" t="s">
        <v>7</v>
      </c>
      <c r="D2066" s="62" t="s">
        <v>2</v>
      </c>
      <c r="E2066" s="62">
        <v>12</v>
      </c>
      <c r="F2066" s="62">
        <v>2.4</v>
      </c>
      <c r="I2066" s="62">
        <v>2025</v>
      </c>
      <c r="J2066" s="62">
        <v>2</v>
      </c>
      <c r="K2066" s="62" t="s">
        <v>19</v>
      </c>
      <c r="L2066" s="62" t="s">
        <v>1</v>
      </c>
      <c r="M2066" s="62">
        <v>605.2723</v>
      </c>
      <c r="N2066" s="62">
        <v>105.9226525</v>
      </c>
    </row>
    <row r="2067" spans="1:14">
      <c r="A2067" s="62">
        <v>2022</v>
      </c>
      <c r="B2067" s="62">
        <v>7</v>
      </c>
      <c r="C2067" s="62" t="s">
        <v>7</v>
      </c>
      <c r="D2067" s="62" t="s">
        <v>2</v>
      </c>
      <c r="E2067" s="62">
        <v>35.3375</v>
      </c>
      <c r="F2067" s="62">
        <v>4.851</v>
      </c>
      <c r="I2067" s="62">
        <v>2025</v>
      </c>
      <c r="J2067" s="62">
        <v>3</v>
      </c>
      <c r="K2067" s="62" t="s">
        <v>19</v>
      </c>
      <c r="L2067" s="62" t="s">
        <v>1</v>
      </c>
      <c r="M2067" s="62">
        <v>503.4875</v>
      </c>
      <c r="N2067" s="62">
        <v>88.11031249999999</v>
      </c>
    </row>
    <row r="2068" spans="1:14">
      <c r="A2068" s="62">
        <v>2022</v>
      </c>
      <c r="B2068" s="62">
        <v>8</v>
      </c>
      <c r="C2068" s="62" t="s">
        <v>7</v>
      </c>
      <c r="D2068" s="62" t="s">
        <v>2</v>
      </c>
      <c r="E2068" s="62">
        <v>182.25</v>
      </c>
      <c r="F2068" s="62">
        <v>24.92</v>
      </c>
      <c r="I2068" s="62">
        <v>2025</v>
      </c>
      <c r="J2068" s="62">
        <v>4</v>
      </c>
      <c r="K2068" s="62" t="s">
        <v>19</v>
      </c>
      <c r="L2068" s="62" t="s">
        <v>1</v>
      </c>
      <c r="M2068" s="62">
        <v>614.4075</v>
      </c>
      <c r="N2068" s="62">
        <v>107.5213125</v>
      </c>
    </row>
    <row r="2069" spans="1:14">
      <c r="A2069" s="62">
        <v>2022</v>
      </c>
      <c r="B2069" s="62">
        <v>9</v>
      </c>
      <c r="C2069" s="62" t="s">
        <v>7</v>
      </c>
      <c r="D2069" s="62" t="s">
        <v>2</v>
      </c>
      <c r="E2069" s="62">
        <v>131.931</v>
      </c>
      <c r="F2069" s="62">
        <v>18.767475</v>
      </c>
      <c r="I2069" s="62">
        <v>2025</v>
      </c>
      <c r="J2069" s="62">
        <v>5</v>
      </c>
      <c r="K2069" s="62" t="s">
        <v>19</v>
      </c>
      <c r="L2069" s="62" t="s">
        <v>1</v>
      </c>
      <c r="M2069" s="62">
        <v>203.915</v>
      </c>
      <c r="N2069" s="62">
        <v>35.685125</v>
      </c>
    </row>
    <row r="2070" spans="1:14">
      <c r="A2070" s="62">
        <v>2022</v>
      </c>
      <c r="B2070" s="62">
        <v>10</v>
      </c>
      <c r="C2070" s="62" t="s">
        <v>7</v>
      </c>
      <c r="D2070" s="62" t="s">
        <v>2</v>
      </c>
      <c r="E2070" s="62">
        <v>85.1495</v>
      </c>
      <c r="F2070" s="62">
        <v>13.435775</v>
      </c>
      <c r="I2070" s="62">
        <v>2025</v>
      </c>
      <c r="J2070" s="62">
        <v>6</v>
      </c>
      <c r="K2070" s="62" t="s">
        <v>19</v>
      </c>
      <c r="L2070" s="62" t="s">
        <v>1</v>
      </c>
      <c r="M2070" s="62">
        <v>86.7825</v>
      </c>
      <c r="N2070" s="62">
        <v>15.1869375</v>
      </c>
    </row>
    <row r="2071" spans="1:14">
      <c r="A2071" s="62">
        <v>2022</v>
      </c>
      <c r="B2071" s="62">
        <v>11</v>
      </c>
      <c r="C2071" s="62" t="s">
        <v>7</v>
      </c>
      <c r="D2071" s="62" t="s">
        <v>2</v>
      </c>
      <c r="E2071" s="62">
        <v>77.59999999999999</v>
      </c>
      <c r="F2071" s="62">
        <v>13.58</v>
      </c>
      <c r="I2071" s="62">
        <v>2025</v>
      </c>
      <c r="J2071" s="62">
        <v>7</v>
      </c>
      <c r="K2071" s="62" t="s">
        <v>19</v>
      </c>
      <c r="L2071" s="62" t="s">
        <v>1</v>
      </c>
      <c r="M2071" s="62">
        <v>87.65000000000001</v>
      </c>
      <c r="N2071" s="62">
        <v>15.33875</v>
      </c>
    </row>
    <row r="2072" spans="1:14">
      <c r="A2072" s="62">
        <v>2022</v>
      </c>
      <c r="B2072" s="62">
        <v>12</v>
      </c>
      <c r="C2072" s="62" t="s">
        <v>7</v>
      </c>
      <c r="D2072" s="62" t="s">
        <v>2</v>
      </c>
      <c r="E2072" s="62">
        <v>24.832</v>
      </c>
      <c r="F2072" s="62">
        <v>4.3456</v>
      </c>
      <c r="I2072" s="62">
        <v>2025</v>
      </c>
      <c r="J2072" s="62">
        <v>8</v>
      </c>
      <c r="K2072" s="62" t="s">
        <v>19</v>
      </c>
      <c r="L2072" s="62" t="s">
        <v>1</v>
      </c>
      <c r="M2072" s="62">
        <v>113.8657</v>
      </c>
      <c r="N2072" s="62">
        <v>19.9264975</v>
      </c>
    </row>
    <row r="2073" spans="1:14">
      <c r="A2073" s="62">
        <v>2023</v>
      </c>
      <c r="B2073" s="62">
        <v>1</v>
      </c>
      <c r="C2073" s="62" t="s">
        <v>7</v>
      </c>
      <c r="D2073" s="62" t="s">
        <v>2</v>
      </c>
      <c r="E2073" s="62">
        <v>5.184</v>
      </c>
      <c r="F2073" s="62">
        <v>2.7456</v>
      </c>
      <c r="I2073" s="62">
        <v>2025</v>
      </c>
      <c r="J2073" s="62">
        <v>9</v>
      </c>
      <c r="K2073" s="62" t="s">
        <v>19</v>
      </c>
      <c r="L2073" s="62" t="s">
        <v>1</v>
      </c>
      <c r="M2073" s="62">
        <v>612.764</v>
      </c>
      <c r="N2073" s="62">
        <v>107.2337</v>
      </c>
    </row>
    <row r="2074" spans="1:14">
      <c r="A2074" s="62">
        <v>2023</v>
      </c>
      <c r="B2074" s="62">
        <v>2</v>
      </c>
      <c r="C2074" s="62" t="s">
        <v>7</v>
      </c>
      <c r="D2074" s="62" t="s">
        <v>2</v>
      </c>
      <c r="E2074" s="62">
        <v>13.932</v>
      </c>
      <c r="F2074" s="62">
        <v>7.3788</v>
      </c>
      <c r="I2074" s="62">
        <v>2025</v>
      </c>
      <c r="J2074" s="62">
        <v>10</v>
      </c>
      <c r="K2074" s="62" t="s">
        <v>19</v>
      </c>
      <c r="L2074" s="62" t="s">
        <v>1</v>
      </c>
      <c r="M2074" s="62">
        <v>716.5494</v>
      </c>
      <c r="N2074" s="62">
        <v>125.396145</v>
      </c>
    </row>
    <row r="2075" spans="1:14">
      <c r="A2075" s="62">
        <v>2023</v>
      </c>
      <c r="B2075" s="62">
        <v>3</v>
      </c>
      <c r="C2075" s="62" t="s">
        <v>7</v>
      </c>
      <c r="D2075" s="62" t="s">
        <v>2</v>
      </c>
      <c r="E2075" s="62">
        <v>37.5765</v>
      </c>
      <c r="F2075" s="62">
        <v>11.78</v>
      </c>
      <c r="I2075" s="62">
        <v>2025</v>
      </c>
      <c r="J2075" s="62">
        <v>11</v>
      </c>
      <c r="K2075" s="62" t="s">
        <v>19</v>
      </c>
      <c r="L2075" s="62" t="s">
        <v>1</v>
      </c>
      <c r="M2075" s="62">
        <v>422.8545</v>
      </c>
      <c r="N2075" s="62">
        <v>73.99953749999999</v>
      </c>
    </row>
    <row r="2076" spans="1:14">
      <c r="A2076" s="62">
        <v>2023</v>
      </c>
      <c r="B2076" s="62">
        <v>4</v>
      </c>
      <c r="C2076" s="62" t="s">
        <v>7</v>
      </c>
      <c r="D2076" s="62" t="s">
        <v>2</v>
      </c>
      <c r="E2076" s="62">
        <v>248.05</v>
      </c>
      <c r="F2076" s="62">
        <v>60.892</v>
      </c>
      <c r="I2076" s="62">
        <v>2025</v>
      </c>
      <c r="J2076" s="62">
        <v>12</v>
      </c>
      <c r="K2076" s="62" t="s">
        <v>19</v>
      </c>
      <c r="L2076" s="62" t="s">
        <v>1</v>
      </c>
      <c r="M2076" s="62">
        <v>115.15</v>
      </c>
      <c r="N2076" s="62">
        <v>20.15125</v>
      </c>
    </row>
    <row r="2077" spans="1:14">
      <c r="A2077" s="62">
        <v>2023</v>
      </c>
      <c r="B2077" s="62">
        <v>5</v>
      </c>
      <c r="C2077" s="62" t="s">
        <v>7</v>
      </c>
      <c r="D2077" s="62" t="s">
        <v>2</v>
      </c>
      <c r="E2077" s="62">
        <v>214.794</v>
      </c>
      <c r="F2077" s="62">
        <v>56.3459</v>
      </c>
      <c r="I2077" s="62">
        <v>2026</v>
      </c>
      <c r="J2077" s="62">
        <v>1</v>
      </c>
      <c r="K2077" s="62" t="s">
        <v>19</v>
      </c>
      <c r="L2077" s="62" t="s">
        <v>1</v>
      </c>
      <c r="M2077" s="62">
        <v>288.5038</v>
      </c>
      <c r="N2077" s="62">
        <v>50.488165</v>
      </c>
    </row>
    <row r="2078" spans="1:14">
      <c r="A2078" s="62">
        <v>2023</v>
      </c>
      <c r="B2078" s="62">
        <v>6</v>
      </c>
      <c r="C2078" s="62" t="s">
        <v>7</v>
      </c>
      <c r="D2078" s="62" t="s">
        <v>2</v>
      </c>
      <c r="E2078" s="62">
        <v>44.095</v>
      </c>
      <c r="F2078" s="62">
        <v>8.242749999999999</v>
      </c>
      <c r="I2078" s="62">
        <v>2026</v>
      </c>
      <c r="J2078" s="62">
        <v>2</v>
      </c>
      <c r="K2078" s="62" t="s">
        <v>19</v>
      </c>
      <c r="L2078" s="62" t="s">
        <v>1</v>
      </c>
      <c r="M2078" s="62">
        <v>690.5568</v>
      </c>
      <c r="N2078" s="62">
        <v>120.84744</v>
      </c>
    </row>
    <row r="2079" spans="1:14">
      <c r="A2079" s="62">
        <v>2023</v>
      </c>
      <c r="B2079" s="62">
        <v>7</v>
      </c>
      <c r="C2079" s="62" t="s">
        <v>7</v>
      </c>
      <c r="D2079" s="62" t="s">
        <v>2</v>
      </c>
      <c r="E2079" s="62">
        <v>14.592</v>
      </c>
      <c r="F2079" s="62">
        <v>3.90735</v>
      </c>
      <c r="I2079" s="62">
        <v>2026</v>
      </c>
      <c r="J2079" s="62">
        <v>3</v>
      </c>
      <c r="K2079" s="62" t="s">
        <v>19</v>
      </c>
      <c r="L2079" s="62" t="s">
        <v>1</v>
      </c>
      <c r="M2079" s="62">
        <v>502.3722</v>
      </c>
      <c r="N2079" s="62">
        <v>87.91513499999999</v>
      </c>
    </row>
    <row r="2080" spans="1:14">
      <c r="A2080" s="62">
        <v>2023</v>
      </c>
      <c r="B2080" s="62">
        <v>8</v>
      </c>
      <c r="C2080" s="62" t="s">
        <v>7</v>
      </c>
      <c r="D2080" s="62" t="s">
        <v>2</v>
      </c>
      <c r="E2080" s="62">
        <v>76.8</v>
      </c>
      <c r="F2080" s="62">
        <v>20.565</v>
      </c>
      <c r="I2080" s="62">
        <v>2026</v>
      </c>
      <c r="J2080" s="62">
        <v>4</v>
      </c>
      <c r="K2080" s="62" t="s">
        <v>19</v>
      </c>
      <c r="L2080" s="62" t="s">
        <v>1</v>
      </c>
      <c r="M2080" s="62">
        <v>559.521</v>
      </c>
      <c r="N2080" s="62">
        <v>97.916175</v>
      </c>
    </row>
    <row r="2081" spans="1:14">
      <c r="A2081" s="62">
        <v>2023</v>
      </c>
      <c r="B2081" s="62">
        <v>10</v>
      </c>
      <c r="C2081" s="62" t="s">
        <v>7</v>
      </c>
      <c r="D2081" s="62" t="s">
        <v>2</v>
      </c>
      <c r="E2081" s="62">
        <v>2.726</v>
      </c>
      <c r="F2081" s="62">
        <v>0.9120499999999999</v>
      </c>
      <c r="I2081" s="62">
        <v>2026</v>
      </c>
      <c r="J2081" s="62">
        <v>5</v>
      </c>
      <c r="K2081" s="62" t="s">
        <v>19</v>
      </c>
      <c r="L2081" s="62" t="s">
        <v>1</v>
      </c>
      <c r="M2081" s="62">
        <v>173.0624</v>
      </c>
      <c r="N2081" s="62">
        <v>30.28592</v>
      </c>
    </row>
    <row r="2082" spans="1:14">
      <c r="A2082" s="62">
        <v>2023</v>
      </c>
      <c r="B2082" s="62">
        <v>12</v>
      </c>
      <c r="C2082" s="62" t="s">
        <v>7</v>
      </c>
      <c r="D2082" s="62" t="s">
        <v>2</v>
      </c>
      <c r="E2082" s="62">
        <v>6.44</v>
      </c>
      <c r="F2082" s="62">
        <v>1.127</v>
      </c>
      <c r="I2082" s="62">
        <v>2026</v>
      </c>
      <c r="J2082" s="62">
        <v>6</v>
      </c>
      <c r="K2082" s="62" t="s">
        <v>19</v>
      </c>
      <c r="L2082" s="62" t="s">
        <v>1</v>
      </c>
      <c r="M2082" s="62">
        <v>148.9267</v>
      </c>
      <c r="N2082" s="62">
        <v>26.0621725</v>
      </c>
    </row>
    <row r="2083" spans="1:14">
      <c r="A2083" s="62">
        <v>2024</v>
      </c>
      <c r="B2083" s="62">
        <v>1</v>
      </c>
      <c r="C2083" s="62" t="s">
        <v>7</v>
      </c>
      <c r="D2083" s="62" t="s">
        <v>2</v>
      </c>
      <c r="E2083" s="62">
        <v>13.268</v>
      </c>
      <c r="F2083" s="62">
        <v>4.693099999999999</v>
      </c>
      <c r="I2083" s="62">
        <v>2026</v>
      </c>
      <c r="J2083" s="62">
        <v>7</v>
      </c>
      <c r="K2083" s="62" t="s">
        <v>19</v>
      </c>
      <c r="L2083" s="62" t="s">
        <v>1</v>
      </c>
      <c r="M2083" s="62">
        <v>52.38</v>
      </c>
      <c r="N2083" s="62">
        <v>9.166499999999999</v>
      </c>
    </row>
    <row r="2084" spans="1:14">
      <c r="A2084" s="62">
        <v>2024</v>
      </c>
      <c r="B2084" s="62">
        <v>2</v>
      </c>
      <c r="C2084" s="62" t="s">
        <v>7</v>
      </c>
      <c r="D2084" s="62" t="s">
        <v>2</v>
      </c>
      <c r="E2084" s="62">
        <v>106.614</v>
      </c>
      <c r="F2084" s="62">
        <v>34.80885</v>
      </c>
      <c r="I2084" s="62">
        <v>2026</v>
      </c>
      <c r="J2084" s="62">
        <v>8</v>
      </c>
      <c r="K2084" s="62" t="s">
        <v>19</v>
      </c>
      <c r="L2084" s="62" t="s">
        <v>1</v>
      </c>
      <c r="M2084" s="62">
        <v>14.58</v>
      </c>
      <c r="N2084" s="62">
        <v>2.5515</v>
      </c>
    </row>
    <row r="2085" spans="1:14">
      <c r="A2085" s="62">
        <v>2024</v>
      </c>
      <c r="B2085" s="62">
        <v>3</v>
      </c>
      <c r="C2085" s="62" t="s">
        <v>7</v>
      </c>
      <c r="D2085" s="62" t="s">
        <v>2</v>
      </c>
      <c r="E2085" s="62">
        <v>180.384</v>
      </c>
      <c r="F2085" s="62">
        <v>48.74075</v>
      </c>
      <c r="I2085" s="62">
        <v>2026</v>
      </c>
      <c r="J2085" s="62">
        <v>9</v>
      </c>
      <c r="K2085" s="62" t="s">
        <v>19</v>
      </c>
      <c r="L2085" s="62" t="s">
        <v>1</v>
      </c>
      <c r="M2085" s="62">
        <v>40.9939</v>
      </c>
      <c r="N2085" s="62">
        <v>7.173932499999999</v>
      </c>
    </row>
    <row r="2086" spans="1:14">
      <c r="A2086" s="62">
        <v>2024</v>
      </c>
      <c r="B2086" s="62">
        <v>4</v>
      </c>
      <c r="C2086" s="62" t="s">
        <v>7</v>
      </c>
      <c r="D2086" s="62" t="s">
        <v>2</v>
      </c>
      <c r="E2086" s="62">
        <v>117.705</v>
      </c>
      <c r="F2086" s="62">
        <v>20.631875</v>
      </c>
      <c r="I2086" s="62">
        <v>2026</v>
      </c>
      <c r="J2086" s="62">
        <v>10</v>
      </c>
      <c r="K2086" s="62" t="s">
        <v>19</v>
      </c>
      <c r="L2086" s="62" t="s">
        <v>1</v>
      </c>
      <c r="M2086" s="62">
        <v>82.20959999999999</v>
      </c>
      <c r="N2086" s="62">
        <v>14.38668</v>
      </c>
    </row>
    <row r="2087" spans="1:14">
      <c r="A2087" s="62">
        <v>2024</v>
      </c>
      <c r="B2087" s="62">
        <v>5</v>
      </c>
      <c r="C2087" s="62" t="s">
        <v>7</v>
      </c>
      <c r="D2087" s="62" t="s">
        <v>2</v>
      </c>
      <c r="E2087" s="62">
        <v>28.166</v>
      </c>
      <c r="F2087" s="62">
        <v>4.75205</v>
      </c>
      <c r="I2087" s="62">
        <v>2026</v>
      </c>
      <c r="J2087" s="62">
        <v>11</v>
      </c>
      <c r="K2087" s="62" t="s">
        <v>19</v>
      </c>
      <c r="L2087" s="62" t="s">
        <v>1</v>
      </c>
      <c r="M2087" s="62">
        <v>56</v>
      </c>
      <c r="N2087" s="62">
        <v>9.799999999999999</v>
      </c>
    </row>
    <row r="2088" spans="1:14">
      <c r="A2088" s="62">
        <v>2024</v>
      </c>
      <c r="B2088" s="62">
        <v>6</v>
      </c>
      <c r="C2088" s="62" t="s">
        <v>7</v>
      </c>
      <c r="D2088" s="62" t="s">
        <v>2</v>
      </c>
      <c r="E2088" s="62">
        <v>6.45</v>
      </c>
      <c r="F2088" s="62">
        <v>0</v>
      </c>
      <c r="I2088" s="62">
        <v>2027</v>
      </c>
      <c r="J2088" s="62">
        <v>1</v>
      </c>
      <c r="K2088" s="62" t="s">
        <v>19</v>
      </c>
      <c r="L2088" s="62" t="s">
        <v>1</v>
      </c>
      <c r="M2088" s="62">
        <v>69.38</v>
      </c>
      <c r="N2088" s="62">
        <v>12.1415</v>
      </c>
    </row>
    <row r="2089" spans="1:14">
      <c r="A2089" s="62">
        <v>2024</v>
      </c>
      <c r="B2089" s="62">
        <v>8</v>
      </c>
      <c r="C2089" s="62" t="s">
        <v>7</v>
      </c>
      <c r="D2089" s="62" t="s">
        <v>2</v>
      </c>
      <c r="E2089" s="62">
        <v>15.159</v>
      </c>
      <c r="F2089" s="62">
        <v>0</v>
      </c>
      <c r="I2089" s="62">
        <v>2027</v>
      </c>
      <c r="J2089" s="62">
        <v>2</v>
      </c>
      <c r="K2089" s="62" t="s">
        <v>19</v>
      </c>
      <c r="L2089" s="62" t="s">
        <v>1</v>
      </c>
      <c r="M2089" s="62">
        <v>198.0608</v>
      </c>
      <c r="N2089" s="62">
        <v>34.66063999999999</v>
      </c>
    </row>
    <row r="2090" spans="1:14">
      <c r="A2090" s="62">
        <v>2024</v>
      </c>
      <c r="B2090" s="62">
        <v>9</v>
      </c>
      <c r="C2090" s="62" t="s">
        <v>7</v>
      </c>
      <c r="D2090" s="62" t="s">
        <v>2</v>
      </c>
      <c r="E2090" s="62">
        <v>119.52</v>
      </c>
      <c r="F2090" s="62">
        <v>18.482</v>
      </c>
      <c r="I2090" s="62">
        <v>2027</v>
      </c>
      <c r="J2090" s="62">
        <v>3</v>
      </c>
      <c r="K2090" s="62" t="s">
        <v>19</v>
      </c>
      <c r="L2090" s="62" t="s">
        <v>1</v>
      </c>
      <c r="M2090" s="62">
        <v>204.82</v>
      </c>
      <c r="N2090" s="62">
        <v>35.8435</v>
      </c>
    </row>
    <row r="2091" spans="1:14">
      <c r="A2091" s="62">
        <v>2024</v>
      </c>
      <c r="B2091" s="62">
        <v>10</v>
      </c>
      <c r="C2091" s="62" t="s">
        <v>7</v>
      </c>
      <c r="D2091" s="62" t="s">
        <v>2</v>
      </c>
      <c r="E2091" s="62">
        <v>45.042</v>
      </c>
      <c r="F2091" s="62">
        <v>7.6247</v>
      </c>
      <c r="I2091" s="62">
        <v>2027</v>
      </c>
      <c r="J2091" s="62">
        <v>4</v>
      </c>
      <c r="K2091" s="62" t="s">
        <v>19</v>
      </c>
      <c r="L2091" s="62" t="s">
        <v>1</v>
      </c>
      <c r="M2091" s="62">
        <v>259.7091</v>
      </c>
      <c r="N2091" s="62">
        <v>45.44909249999999</v>
      </c>
    </row>
    <row r="2092" spans="1:14">
      <c r="A2092" s="62">
        <v>2025</v>
      </c>
      <c r="B2092" s="62">
        <v>2</v>
      </c>
      <c r="C2092" s="62" t="s">
        <v>7</v>
      </c>
      <c r="D2092" s="62" t="s">
        <v>2</v>
      </c>
      <c r="E2092" s="62">
        <v>7.872</v>
      </c>
      <c r="F2092" s="62">
        <v>1.5744</v>
      </c>
      <c r="I2092" s="62">
        <v>2027</v>
      </c>
      <c r="J2092" s="62">
        <v>5</v>
      </c>
      <c r="K2092" s="62" t="s">
        <v>19</v>
      </c>
      <c r="L2092" s="62" t="s">
        <v>1</v>
      </c>
      <c r="M2092" s="62">
        <v>139.54</v>
      </c>
      <c r="N2092" s="62">
        <v>24.4195</v>
      </c>
    </row>
    <row r="2093" spans="1:14">
      <c r="A2093" s="62">
        <v>2025</v>
      </c>
      <c r="B2093" s="62">
        <v>3</v>
      </c>
      <c r="C2093" s="62" t="s">
        <v>7</v>
      </c>
      <c r="D2093" s="62" t="s">
        <v>2</v>
      </c>
      <c r="E2093" s="62">
        <v>7.220000000000001</v>
      </c>
      <c r="F2093" s="62">
        <v>1.284</v>
      </c>
      <c r="I2093" s="62">
        <v>2027</v>
      </c>
      <c r="J2093" s="62">
        <v>9</v>
      </c>
      <c r="K2093" s="62" t="s">
        <v>19</v>
      </c>
      <c r="L2093" s="62" t="s">
        <v>1</v>
      </c>
      <c r="M2093" s="62">
        <v>149.7219</v>
      </c>
      <c r="N2093" s="62">
        <v>26.2013325</v>
      </c>
    </row>
    <row r="2094" spans="1:14">
      <c r="A2094" s="62">
        <v>2025</v>
      </c>
      <c r="B2094" s="62">
        <v>4</v>
      </c>
      <c r="C2094" s="62" t="s">
        <v>7</v>
      </c>
      <c r="D2094" s="62" t="s">
        <v>2</v>
      </c>
      <c r="E2094" s="62">
        <v>57.84</v>
      </c>
      <c r="F2094" s="62">
        <v>26.21325</v>
      </c>
      <c r="I2094" s="62">
        <v>2027</v>
      </c>
      <c r="J2094" s="62">
        <v>10</v>
      </c>
      <c r="K2094" s="62" t="s">
        <v>19</v>
      </c>
      <c r="L2094" s="62" t="s">
        <v>1</v>
      </c>
      <c r="M2094" s="62">
        <v>196.8759</v>
      </c>
      <c r="N2094" s="62">
        <v>34.4532825</v>
      </c>
    </row>
    <row r="2095" spans="1:14">
      <c r="A2095" s="62">
        <v>2025</v>
      </c>
      <c r="B2095" s="62">
        <v>5</v>
      </c>
      <c r="C2095" s="62" t="s">
        <v>7</v>
      </c>
      <c r="D2095" s="62" t="s">
        <v>2</v>
      </c>
      <c r="E2095" s="62">
        <v>62.415</v>
      </c>
      <c r="F2095" s="62">
        <v>27.55125</v>
      </c>
      <c r="I2095" s="62">
        <v>2027</v>
      </c>
      <c r="J2095" s="62">
        <v>11</v>
      </c>
      <c r="K2095" s="62" t="s">
        <v>19</v>
      </c>
      <c r="L2095" s="62" t="s">
        <v>1</v>
      </c>
      <c r="M2095" s="62">
        <v>15.345</v>
      </c>
      <c r="N2095" s="62">
        <v>2.685375</v>
      </c>
    </row>
    <row r="2096" spans="1:14">
      <c r="A2096" s="62">
        <v>2025</v>
      </c>
      <c r="B2096" s="62">
        <v>6</v>
      </c>
      <c r="C2096" s="62" t="s">
        <v>7</v>
      </c>
      <c r="D2096" s="62" t="s">
        <v>2</v>
      </c>
      <c r="E2096" s="62">
        <v>2.07</v>
      </c>
      <c r="F2096" s="62">
        <v>1.3455</v>
      </c>
      <c r="I2096" s="62">
        <v>2014</v>
      </c>
      <c r="J2096" s="62">
        <v>1</v>
      </c>
      <c r="K2096" s="62" t="s">
        <v>19</v>
      </c>
      <c r="L2096" s="62" t="s">
        <v>2</v>
      </c>
      <c r="M2096" s="62">
        <v>86.2611</v>
      </c>
      <c r="N2096" s="62">
        <v>15.0956925</v>
      </c>
    </row>
    <row r="2097" spans="1:14">
      <c r="A2097" s="62">
        <v>2025</v>
      </c>
      <c r="B2097" s="62">
        <v>7</v>
      </c>
      <c r="C2097" s="62" t="s">
        <v>7</v>
      </c>
      <c r="D2097" s="62" t="s">
        <v>2</v>
      </c>
      <c r="E2097" s="62">
        <v>1.17</v>
      </c>
      <c r="F2097" s="62">
        <v>0.7605</v>
      </c>
      <c r="I2097" s="62">
        <v>2014</v>
      </c>
      <c r="J2097" s="62">
        <v>2</v>
      </c>
      <c r="K2097" s="62" t="s">
        <v>19</v>
      </c>
      <c r="L2097" s="62" t="s">
        <v>2</v>
      </c>
      <c r="M2097" s="62">
        <v>314.8854</v>
      </c>
      <c r="N2097" s="62">
        <v>55.10494499999999</v>
      </c>
    </row>
    <row r="2098" spans="1:14">
      <c r="A2098" s="62">
        <v>2025</v>
      </c>
      <c r="B2098" s="62">
        <v>8</v>
      </c>
      <c r="C2098" s="62" t="s">
        <v>7</v>
      </c>
      <c r="D2098" s="62" t="s">
        <v>2</v>
      </c>
      <c r="E2098" s="62">
        <v>3.78</v>
      </c>
      <c r="F2098" s="62">
        <v>2.457</v>
      </c>
      <c r="I2098" s="62">
        <v>2014</v>
      </c>
      <c r="J2098" s="62">
        <v>3</v>
      </c>
      <c r="K2098" s="62" t="s">
        <v>19</v>
      </c>
      <c r="L2098" s="62" t="s">
        <v>2</v>
      </c>
      <c r="M2098" s="62">
        <v>326.622</v>
      </c>
      <c r="N2098" s="62">
        <v>57.15884999999999</v>
      </c>
    </row>
    <row r="2099" spans="1:14">
      <c r="A2099" s="62">
        <v>2025</v>
      </c>
      <c r="B2099" s="62">
        <v>9</v>
      </c>
      <c r="C2099" s="62" t="s">
        <v>7</v>
      </c>
      <c r="D2099" s="62" t="s">
        <v>2</v>
      </c>
      <c r="E2099" s="62">
        <v>3.105</v>
      </c>
      <c r="F2099" s="62">
        <v>1.17</v>
      </c>
      <c r="I2099" s="62">
        <v>2014</v>
      </c>
      <c r="J2099" s="62">
        <v>4</v>
      </c>
      <c r="K2099" s="62" t="s">
        <v>19</v>
      </c>
      <c r="L2099" s="62" t="s">
        <v>2</v>
      </c>
      <c r="M2099" s="62">
        <v>216.037</v>
      </c>
      <c r="N2099" s="62">
        <v>37.806475</v>
      </c>
    </row>
    <row r="2100" spans="1:14">
      <c r="A2100" s="62">
        <v>2025</v>
      </c>
      <c r="B2100" s="62">
        <v>10</v>
      </c>
      <c r="C2100" s="62" t="s">
        <v>7</v>
      </c>
      <c r="D2100" s="62" t="s">
        <v>2</v>
      </c>
      <c r="E2100" s="62">
        <v>34.79</v>
      </c>
      <c r="F2100" s="62">
        <v>14.79075</v>
      </c>
      <c r="I2100" s="62">
        <v>2014</v>
      </c>
      <c r="J2100" s="62">
        <v>5</v>
      </c>
      <c r="K2100" s="62" t="s">
        <v>19</v>
      </c>
      <c r="L2100" s="62" t="s">
        <v>2</v>
      </c>
      <c r="M2100" s="62">
        <v>328.5</v>
      </c>
      <c r="N2100" s="62">
        <v>57.4875</v>
      </c>
    </row>
    <row r="2101" spans="1:14">
      <c r="A2101" s="62">
        <v>2025</v>
      </c>
      <c r="B2101" s="62">
        <v>11</v>
      </c>
      <c r="C2101" s="62" t="s">
        <v>7</v>
      </c>
      <c r="D2101" s="62" t="s">
        <v>2</v>
      </c>
      <c r="E2101" s="62">
        <v>10.35</v>
      </c>
      <c r="F2101" s="62">
        <v>4.527</v>
      </c>
      <c r="I2101" s="62">
        <v>2014</v>
      </c>
      <c r="J2101" s="62">
        <v>6</v>
      </c>
      <c r="K2101" s="62" t="s">
        <v>19</v>
      </c>
      <c r="L2101" s="62" t="s">
        <v>2</v>
      </c>
      <c r="M2101" s="62">
        <v>211.24</v>
      </c>
      <c r="N2101" s="62">
        <v>36.967</v>
      </c>
    </row>
    <row r="2102" spans="1:14">
      <c r="A2102" s="62">
        <v>2026</v>
      </c>
      <c r="B2102" s="62">
        <v>2</v>
      </c>
      <c r="C2102" s="62" t="s">
        <v>7</v>
      </c>
      <c r="D2102" s="62" t="s">
        <v>2</v>
      </c>
      <c r="E2102" s="62">
        <v>7.79</v>
      </c>
      <c r="F2102" s="62">
        <v>0</v>
      </c>
      <c r="I2102" s="62">
        <v>2014</v>
      </c>
      <c r="J2102" s="62">
        <v>7</v>
      </c>
      <c r="K2102" s="62" t="s">
        <v>19</v>
      </c>
      <c r="L2102" s="62" t="s">
        <v>2</v>
      </c>
      <c r="M2102" s="62">
        <v>9.279999999999999</v>
      </c>
      <c r="N2102" s="62">
        <v>1.624</v>
      </c>
    </row>
    <row r="2103" spans="1:14">
      <c r="A2103" s="62">
        <v>2026</v>
      </c>
      <c r="B2103" s="62">
        <v>3</v>
      </c>
      <c r="C2103" s="62" t="s">
        <v>7</v>
      </c>
      <c r="D2103" s="62" t="s">
        <v>2</v>
      </c>
      <c r="E2103" s="62">
        <v>173.293</v>
      </c>
      <c r="F2103" s="62">
        <v>25.76115</v>
      </c>
      <c r="I2103" s="62">
        <v>2014</v>
      </c>
      <c r="J2103" s="62">
        <v>9</v>
      </c>
      <c r="K2103" s="62" t="s">
        <v>19</v>
      </c>
      <c r="L2103" s="62" t="s">
        <v>2</v>
      </c>
      <c r="M2103" s="62">
        <v>26.522</v>
      </c>
      <c r="N2103" s="62">
        <v>4.641349999999999</v>
      </c>
    </row>
    <row r="2104" spans="1:14">
      <c r="A2104" s="62">
        <v>2026</v>
      </c>
      <c r="B2104" s="62">
        <v>4</v>
      </c>
      <c r="C2104" s="62" t="s">
        <v>7</v>
      </c>
      <c r="D2104" s="62" t="s">
        <v>2</v>
      </c>
      <c r="E2104" s="62">
        <v>263.53</v>
      </c>
      <c r="F2104" s="62">
        <v>54.60274999999999</v>
      </c>
      <c r="I2104" s="62">
        <v>2014</v>
      </c>
      <c r="J2104" s="62">
        <v>10</v>
      </c>
      <c r="K2104" s="62" t="s">
        <v>19</v>
      </c>
      <c r="L2104" s="62" t="s">
        <v>2</v>
      </c>
      <c r="M2104" s="62">
        <v>34.422</v>
      </c>
      <c r="N2104" s="62">
        <v>6.02385</v>
      </c>
    </row>
    <row r="2105" spans="1:14">
      <c r="A2105" s="62">
        <v>2026</v>
      </c>
      <c r="B2105" s="62">
        <v>5</v>
      </c>
      <c r="C2105" s="62" t="s">
        <v>7</v>
      </c>
      <c r="D2105" s="62" t="s">
        <v>2</v>
      </c>
      <c r="E2105" s="62">
        <v>52.988</v>
      </c>
      <c r="F2105" s="62">
        <v>7.2642</v>
      </c>
      <c r="I2105" s="62">
        <v>2014</v>
      </c>
      <c r="J2105" s="62">
        <v>11</v>
      </c>
      <c r="K2105" s="62" t="s">
        <v>19</v>
      </c>
      <c r="L2105" s="62" t="s">
        <v>2</v>
      </c>
      <c r="M2105" s="62">
        <v>39.9</v>
      </c>
      <c r="N2105" s="62">
        <v>6.9825</v>
      </c>
    </row>
    <row r="2106" spans="1:14">
      <c r="A2106" s="62">
        <v>2026</v>
      </c>
      <c r="B2106" s="62">
        <v>10</v>
      </c>
      <c r="C2106" s="62" t="s">
        <v>7</v>
      </c>
      <c r="D2106" s="62" t="s">
        <v>2</v>
      </c>
      <c r="E2106" s="62">
        <v>19.62</v>
      </c>
      <c r="F2106" s="62">
        <v>3.826125</v>
      </c>
      <c r="I2106" s="62">
        <v>2015</v>
      </c>
      <c r="J2106" s="62">
        <v>1</v>
      </c>
      <c r="K2106" s="62" t="s">
        <v>19</v>
      </c>
      <c r="L2106" s="62" t="s">
        <v>2</v>
      </c>
      <c r="M2106" s="62">
        <v>148.488</v>
      </c>
      <c r="N2106" s="62">
        <v>25.9854</v>
      </c>
    </row>
    <row r="2107" spans="1:14">
      <c r="A2107" s="62">
        <v>2027</v>
      </c>
      <c r="B2107" s="62">
        <v>2</v>
      </c>
      <c r="C2107" s="62" t="s">
        <v>7</v>
      </c>
      <c r="D2107" s="62" t="s">
        <v>2</v>
      </c>
      <c r="E2107" s="62">
        <v>139.68</v>
      </c>
      <c r="F2107" s="62">
        <v>37.0176</v>
      </c>
      <c r="I2107" s="62">
        <v>2015</v>
      </c>
      <c r="J2107" s="62">
        <v>2</v>
      </c>
      <c r="K2107" s="62" t="s">
        <v>19</v>
      </c>
      <c r="L2107" s="62" t="s">
        <v>2</v>
      </c>
      <c r="M2107" s="62">
        <v>339.738</v>
      </c>
      <c r="N2107" s="62">
        <v>59.45415</v>
      </c>
    </row>
    <row r="2108" spans="1:14">
      <c r="A2108" s="62">
        <v>2027</v>
      </c>
      <c r="B2108" s="62">
        <v>3</v>
      </c>
      <c r="C2108" s="62" t="s">
        <v>7</v>
      </c>
      <c r="D2108" s="62" t="s">
        <v>2</v>
      </c>
      <c r="E2108" s="62">
        <v>251.725</v>
      </c>
      <c r="F2108" s="62">
        <v>73.079825</v>
      </c>
      <c r="I2108" s="62">
        <v>2015</v>
      </c>
      <c r="J2108" s="62">
        <v>3</v>
      </c>
      <c r="K2108" s="62" t="s">
        <v>19</v>
      </c>
      <c r="L2108" s="62" t="s">
        <v>2</v>
      </c>
      <c r="M2108" s="62">
        <v>335.155</v>
      </c>
      <c r="N2108" s="62">
        <v>58.652125</v>
      </c>
    </row>
    <row r="2109" spans="1:14">
      <c r="A2109" s="62">
        <v>2027</v>
      </c>
      <c r="B2109" s="62">
        <v>4</v>
      </c>
      <c r="C2109" s="62" t="s">
        <v>7</v>
      </c>
      <c r="D2109" s="62" t="s">
        <v>2</v>
      </c>
      <c r="E2109" s="62">
        <v>257.098</v>
      </c>
      <c r="F2109" s="62">
        <v>56.081075</v>
      </c>
      <c r="I2109" s="62">
        <v>2015</v>
      </c>
      <c r="J2109" s="62">
        <v>4</v>
      </c>
      <c r="K2109" s="62" t="s">
        <v>19</v>
      </c>
      <c r="L2109" s="62" t="s">
        <v>2</v>
      </c>
      <c r="M2109" s="62">
        <v>148.615</v>
      </c>
      <c r="N2109" s="62">
        <v>26.007625</v>
      </c>
    </row>
    <row r="2110" spans="1:14">
      <c r="A2110" s="62">
        <v>2027</v>
      </c>
      <c r="B2110" s="62">
        <v>5</v>
      </c>
      <c r="C2110" s="62" t="s">
        <v>7</v>
      </c>
      <c r="D2110" s="62" t="s">
        <v>2</v>
      </c>
      <c r="E2110" s="62">
        <v>242.162</v>
      </c>
      <c r="F2110" s="62">
        <v>53.9074</v>
      </c>
      <c r="I2110" s="62">
        <v>2015</v>
      </c>
      <c r="J2110" s="62">
        <v>5</v>
      </c>
      <c r="K2110" s="62" t="s">
        <v>19</v>
      </c>
      <c r="L2110" s="62" t="s">
        <v>2</v>
      </c>
      <c r="M2110" s="62">
        <v>39.15</v>
      </c>
      <c r="N2110" s="62">
        <v>6.851249999999999</v>
      </c>
    </row>
    <row r="2111" spans="1:14">
      <c r="A2111" s="62">
        <v>2027</v>
      </c>
      <c r="B2111" s="62">
        <v>6</v>
      </c>
      <c r="C2111" s="62" t="s">
        <v>7</v>
      </c>
      <c r="D2111" s="62" t="s">
        <v>2</v>
      </c>
      <c r="E2111" s="62">
        <v>0.855</v>
      </c>
      <c r="F2111" s="62">
        <v>0.42075</v>
      </c>
      <c r="I2111" s="62">
        <v>2015</v>
      </c>
      <c r="J2111" s="62">
        <v>6</v>
      </c>
      <c r="K2111" s="62" t="s">
        <v>19</v>
      </c>
      <c r="L2111" s="62" t="s">
        <v>2</v>
      </c>
      <c r="M2111" s="62">
        <v>12.285</v>
      </c>
      <c r="N2111" s="62">
        <v>2.149875</v>
      </c>
    </row>
    <row r="2112" spans="1:14">
      <c r="A2112" s="62">
        <v>2027</v>
      </c>
      <c r="B2112" s="62">
        <v>9</v>
      </c>
      <c r="C2112" s="62" t="s">
        <v>7</v>
      </c>
      <c r="D2112" s="62" t="s">
        <v>2</v>
      </c>
      <c r="E2112" s="62">
        <v>42.994</v>
      </c>
      <c r="F2112" s="62">
        <v>6.594349999999999</v>
      </c>
      <c r="I2112" s="62">
        <v>2015</v>
      </c>
      <c r="J2112" s="62">
        <v>7</v>
      </c>
      <c r="K2112" s="62" t="s">
        <v>19</v>
      </c>
      <c r="L2112" s="62" t="s">
        <v>2</v>
      </c>
      <c r="M2112" s="62">
        <v>25.4</v>
      </c>
      <c r="N2112" s="62">
        <v>4.444999999999999</v>
      </c>
    </row>
    <row r="2113" spans="1:14">
      <c r="A2113" s="62">
        <v>2027</v>
      </c>
      <c r="B2113" s="62">
        <v>10</v>
      </c>
      <c r="C2113" s="62" t="s">
        <v>7</v>
      </c>
      <c r="D2113" s="62" t="s">
        <v>2</v>
      </c>
      <c r="E2113" s="62">
        <v>34.444</v>
      </c>
      <c r="F2113" s="62">
        <v>5.47385</v>
      </c>
      <c r="I2113" s="62">
        <v>2015</v>
      </c>
      <c r="J2113" s="62">
        <v>8</v>
      </c>
      <c r="K2113" s="62" t="s">
        <v>19</v>
      </c>
      <c r="L2113" s="62" t="s">
        <v>2</v>
      </c>
      <c r="M2113" s="62">
        <v>26.58</v>
      </c>
      <c r="N2113" s="62">
        <v>4.6515</v>
      </c>
    </row>
    <row r="2114" spans="1:14">
      <c r="A2114" s="62">
        <v>2027</v>
      </c>
      <c r="B2114" s="62">
        <v>11</v>
      </c>
      <c r="C2114" s="62" t="s">
        <v>7</v>
      </c>
      <c r="D2114" s="62" t="s">
        <v>2</v>
      </c>
      <c r="E2114" s="62">
        <v>4.753</v>
      </c>
      <c r="F2114" s="62">
        <v>0.23765</v>
      </c>
      <c r="I2114" s="62">
        <v>2015</v>
      </c>
      <c r="J2114" s="62">
        <v>9</v>
      </c>
      <c r="K2114" s="62" t="s">
        <v>19</v>
      </c>
      <c r="L2114" s="62" t="s">
        <v>2</v>
      </c>
      <c r="M2114" s="62">
        <v>45.15499999999999</v>
      </c>
      <c r="N2114" s="62">
        <v>7.902124999999999</v>
      </c>
    </row>
    <row r="2115" spans="1:14">
      <c r="A2115" s="62">
        <v>2014</v>
      </c>
      <c r="B2115" s="62">
        <v>1</v>
      </c>
      <c r="C2115" s="62" t="s">
        <v>7</v>
      </c>
      <c r="D2115" s="62" t="s">
        <v>3</v>
      </c>
      <c r="E2115" s="62">
        <v>36.214</v>
      </c>
      <c r="F2115" s="62">
        <v>3.05345</v>
      </c>
      <c r="I2115" s="62">
        <v>2015</v>
      </c>
      <c r="J2115" s="62">
        <v>10</v>
      </c>
      <c r="K2115" s="62" t="s">
        <v>19</v>
      </c>
      <c r="L2115" s="62" t="s">
        <v>2</v>
      </c>
      <c r="M2115" s="62">
        <v>130.2415</v>
      </c>
      <c r="N2115" s="62">
        <v>22.7922625</v>
      </c>
    </row>
    <row r="2116" spans="1:14">
      <c r="A2116" s="62">
        <v>2014</v>
      </c>
      <c r="B2116" s="62">
        <v>2</v>
      </c>
      <c r="C2116" s="62" t="s">
        <v>7</v>
      </c>
      <c r="D2116" s="62" t="s">
        <v>3</v>
      </c>
      <c r="E2116" s="62">
        <v>43.688</v>
      </c>
      <c r="F2116" s="62">
        <v>4.397399999999999</v>
      </c>
      <c r="I2116" s="62">
        <v>2015</v>
      </c>
      <c r="J2116" s="62">
        <v>11</v>
      </c>
      <c r="K2116" s="62" t="s">
        <v>19</v>
      </c>
      <c r="L2116" s="62" t="s">
        <v>2</v>
      </c>
      <c r="M2116" s="62">
        <v>73.41800000000001</v>
      </c>
      <c r="N2116" s="62">
        <v>12.84815</v>
      </c>
    </row>
    <row r="2117" spans="1:14">
      <c r="A2117" s="62">
        <v>2014</v>
      </c>
      <c r="B2117" s="62">
        <v>3</v>
      </c>
      <c r="C2117" s="62" t="s">
        <v>7</v>
      </c>
      <c r="D2117" s="62" t="s">
        <v>3</v>
      </c>
      <c r="E2117" s="62">
        <v>24.48</v>
      </c>
      <c r="F2117" s="62">
        <v>0.784</v>
      </c>
      <c r="I2117" s="62">
        <v>2015</v>
      </c>
      <c r="J2117" s="62">
        <v>12</v>
      </c>
      <c r="K2117" s="62" t="s">
        <v>19</v>
      </c>
      <c r="L2117" s="62" t="s">
        <v>2</v>
      </c>
      <c r="M2117" s="62">
        <v>24.7</v>
      </c>
      <c r="N2117" s="62">
        <v>4.3225</v>
      </c>
    </row>
    <row r="2118" spans="1:14">
      <c r="A2118" s="62">
        <v>2014</v>
      </c>
      <c r="B2118" s="62">
        <v>4</v>
      </c>
      <c r="C2118" s="62" t="s">
        <v>7</v>
      </c>
      <c r="D2118" s="62" t="s">
        <v>3</v>
      </c>
      <c r="E2118" s="62">
        <v>10</v>
      </c>
      <c r="F2118" s="62">
        <v>0</v>
      </c>
      <c r="I2118" s="62">
        <v>2016</v>
      </c>
      <c r="J2118" s="62">
        <v>1</v>
      </c>
      <c r="K2118" s="62" t="s">
        <v>19</v>
      </c>
      <c r="L2118" s="62" t="s">
        <v>2</v>
      </c>
      <c r="M2118" s="62">
        <v>98.57300000000001</v>
      </c>
      <c r="N2118" s="62">
        <v>17.250275</v>
      </c>
    </row>
    <row r="2119" spans="1:14">
      <c r="A2119" s="62">
        <v>2014</v>
      </c>
      <c r="B2119" s="62">
        <v>6</v>
      </c>
      <c r="C2119" s="62" t="s">
        <v>7</v>
      </c>
      <c r="D2119" s="62" t="s">
        <v>3</v>
      </c>
      <c r="E2119" s="62">
        <v>13.19</v>
      </c>
      <c r="F2119" s="62">
        <v>2.70725</v>
      </c>
      <c r="I2119" s="62">
        <v>2016</v>
      </c>
      <c r="J2119" s="62">
        <v>2</v>
      </c>
      <c r="K2119" s="62" t="s">
        <v>19</v>
      </c>
      <c r="L2119" s="62" t="s">
        <v>2</v>
      </c>
      <c r="M2119" s="62">
        <v>315.005</v>
      </c>
      <c r="N2119" s="62">
        <v>55.12587499999999</v>
      </c>
    </row>
    <row r="2120" spans="1:14">
      <c r="A2120" s="62">
        <v>2014</v>
      </c>
      <c r="B2120" s="62">
        <v>10</v>
      </c>
      <c r="C2120" s="62" t="s">
        <v>7</v>
      </c>
      <c r="D2120" s="62" t="s">
        <v>3</v>
      </c>
      <c r="E2120" s="62">
        <v>41.802</v>
      </c>
      <c r="F2120" s="62">
        <v>9.582850000000001</v>
      </c>
      <c r="I2120" s="62">
        <v>2016</v>
      </c>
      <c r="J2120" s="62">
        <v>3</v>
      </c>
      <c r="K2120" s="62" t="s">
        <v>19</v>
      </c>
      <c r="L2120" s="62" t="s">
        <v>2</v>
      </c>
      <c r="M2120" s="62">
        <v>353.2675</v>
      </c>
      <c r="N2120" s="62">
        <v>61.82181249999999</v>
      </c>
    </row>
    <row r="2121" spans="1:14">
      <c r="A2121" s="62">
        <v>2014</v>
      </c>
      <c r="B2121" s="62">
        <v>11</v>
      </c>
      <c r="C2121" s="62" t="s">
        <v>7</v>
      </c>
      <c r="D2121" s="62" t="s">
        <v>3</v>
      </c>
      <c r="E2121" s="62">
        <v>0.255</v>
      </c>
      <c r="F2121" s="62">
        <v>0.16575</v>
      </c>
      <c r="I2121" s="62">
        <v>2016</v>
      </c>
      <c r="J2121" s="62">
        <v>4</v>
      </c>
      <c r="K2121" s="62" t="s">
        <v>19</v>
      </c>
      <c r="L2121" s="62" t="s">
        <v>2</v>
      </c>
      <c r="M2121" s="62">
        <v>223.624</v>
      </c>
      <c r="N2121" s="62">
        <v>39.1342</v>
      </c>
    </row>
    <row r="2122" spans="1:14">
      <c r="A2122" s="62">
        <v>2015</v>
      </c>
      <c r="B2122" s="62">
        <v>1</v>
      </c>
      <c r="C2122" s="62" t="s">
        <v>7</v>
      </c>
      <c r="D2122" s="62" t="s">
        <v>3</v>
      </c>
      <c r="E2122" s="62">
        <v>0.08400000000000001</v>
      </c>
      <c r="F2122" s="62">
        <v>0.0147</v>
      </c>
      <c r="I2122" s="62">
        <v>2016</v>
      </c>
      <c r="J2122" s="62">
        <v>5</v>
      </c>
      <c r="K2122" s="62" t="s">
        <v>19</v>
      </c>
      <c r="L2122" s="62" t="s">
        <v>2</v>
      </c>
      <c r="M2122" s="62">
        <v>194.565</v>
      </c>
      <c r="N2122" s="62">
        <v>34.048875</v>
      </c>
    </row>
    <row r="2123" spans="1:14">
      <c r="A2123" s="62">
        <v>2015</v>
      </c>
      <c r="B2123" s="62">
        <v>6</v>
      </c>
      <c r="C2123" s="62" t="s">
        <v>7</v>
      </c>
      <c r="D2123" s="62" t="s">
        <v>3</v>
      </c>
      <c r="E2123" s="62">
        <v>1.4</v>
      </c>
      <c r="F2123" s="62">
        <v>0.28</v>
      </c>
      <c r="I2123" s="62">
        <v>2016</v>
      </c>
      <c r="J2123" s="62">
        <v>6</v>
      </c>
      <c r="K2123" s="62" t="s">
        <v>19</v>
      </c>
      <c r="L2123" s="62" t="s">
        <v>2</v>
      </c>
      <c r="M2123" s="62">
        <v>105.3</v>
      </c>
      <c r="N2123" s="62">
        <v>18.4275</v>
      </c>
    </row>
    <row r="2124" spans="1:14">
      <c r="A2124" s="62">
        <v>2015</v>
      </c>
      <c r="B2124" s="62">
        <v>9</v>
      </c>
      <c r="C2124" s="62" t="s">
        <v>7</v>
      </c>
      <c r="D2124" s="62" t="s">
        <v>3</v>
      </c>
      <c r="E2124" s="62">
        <v>4.34</v>
      </c>
      <c r="F2124" s="62">
        <v>0.7595</v>
      </c>
      <c r="I2124" s="62">
        <v>2016</v>
      </c>
      <c r="J2124" s="62">
        <v>7</v>
      </c>
      <c r="K2124" s="62" t="s">
        <v>19</v>
      </c>
      <c r="L2124" s="62" t="s">
        <v>2</v>
      </c>
      <c r="M2124" s="62">
        <v>36.408</v>
      </c>
      <c r="N2124" s="62">
        <v>6.371399999999999</v>
      </c>
    </row>
    <row r="2125" spans="1:14">
      <c r="A2125" s="62">
        <v>2015</v>
      </c>
      <c r="B2125" s="62">
        <v>10</v>
      </c>
      <c r="C2125" s="62" t="s">
        <v>7</v>
      </c>
      <c r="D2125" s="62" t="s">
        <v>3</v>
      </c>
      <c r="E2125" s="62">
        <v>4.96</v>
      </c>
      <c r="F2125" s="62">
        <v>0.248</v>
      </c>
      <c r="I2125" s="62">
        <v>2016</v>
      </c>
      <c r="J2125" s="62">
        <v>8</v>
      </c>
      <c r="K2125" s="62" t="s">
        <v>19</v>
      </c>
      <c r="L2125" s="62" t="s">
        <v>2</v>
      </c>
      <c r="M2125" s="62">
        <v>14</v>
      </c>
      <c r="N2125" s="62">
        <v>2.45</v>
      </c>
    </row>
    <row r="2126" spans="1:14">
      <c r="A2126" s="62">
        <v>2015</v>
      </c>
      <c r="B2126" s="62">
        <v>11</v>
      </c>
      <c r="C2126" s="62" t="s">
        <v>7</v>
      </c>
      <c r="D2126" s="62" t="s">
        <v>3</v>
      </c>
      <c r="E2126" s="62">
        <v>15.5</v>
      </c>
      <c r="F2126" s="62">
        <v>0.775</v>
      </c>
      <c r="I2126" s="62">
        <v>2016</v>
      </c>
      <c r="J2126" s="62">
        <v>9</v>
      </c>
      <c r="K2126" s="62" t="s">
        <v>19</v>
      </c>
      <c r="L2126" s="62" t="s">
        <v>2</v>
      </c>
      <c r="M2126" s="62">
        <v>38.0485</v>
      </c>
      <c r="N2126" s="62">
        <v>6.6584875</v>
      </c>
    </row>
    <row r="2127" spans="1:14">
      <c r="A2127" s="62">
        <v>2015</v>
      </c>
      <c r="B2127" s="62">
        <v>12</v>
      </c>
      <c r="C2127" s="62" t="s">
        <v>7</v>
      </c>
      <c r="D2127" s="62" t="s">
        <v>3</v>
      </c>
      <c r="E2127" s="62">
        <v>8.06</v>
      </c>
      <c r="F2127" s="62">
        <v>0.403</v>
      </c>
      <c r="I2127" s="62">
        <v>2016</v>
      </c>
      <c r="J2127" s="62">
        <v>10</v>
      </c>
      <c r="K2127" s="62" t="s">
        <v>19</v>
      </c>
      <c r="L2127" s="62" t="s">
        <v>2</v>
      </c>
      <c r="M2127" s="62">
        <v>128.05</v>
      </c>
      <c r="N2127" s="62">
        <v>22.40875</v>
      </c>
    </row>
    <row r="2128" spans="1:14">
      <c r="A2128" s="62">
        <v>2016</v>
      </c>
      <c r="B2128" s="62">
        <v>1</v>
      </c>
      <c r="C2128" s="62" t="s">
        <v>7</v>
      </c>
      <c r="D2128" s="62" t="s">
        <v>3</v>
      </c>
      <c r="E2128" s="62">
        <v>15.154</v>
      </c>
      <c r="F2128" s="62">
        <v>5.247199999999999</v>
      </c>
      <c r="I2128" s="62">
        <v>2016</v>
      </c>
      <c r="J2128" s="62">
        <v>11</v>
      </c>
      <c r="K2128" s="62" t="s">
        <v>19</v>
      </c>
      <c r="L2128" s="62" t="s">
        <v>2</v>
      </c>
      <c r="M2128" s="62">
        <v>86.75</v>
      </c>
      <c r="N2128" s="62">
        <v>15.18125</v>
      </c>
    </row>
    <row r="2129" spans="1:14">
      <c r="A2129" s="62">
        <v>2016</v>
      </c>
      <c r="B2129" s="62">
        <v>2</v>
      </c>
      <c r="C2129" s="62" t="s">
        <v>7</v>
      </c>
      <c r="D2129" s="62" t="s">
        <v>3</v>
      </c>
      <c r="E2129" s="62">
        <v>8.719999999999999</v>
      </c>
      <c r="F2129" s="62">
        <v>5.164</v>
      </c>
      <c r="I2129" s="62">
        <v>2016</v>
      </c>
      <c r="J2129" s="62">
        <v>12</v>
      </c>
      <c r="K2129" s="62" t="s">
        <v>19</v>
      </c>
      <c r="L2129" s="62" t="s">
        <v>2</v>
      </c>
      <c r="M2129" s="62">
        <v>52.25</v>
      </c>
      <c r="N2129" s="62">
        <v>9.143749999999999</v>
      </c>
    </row>
    <row r="2130" spans="1:14">
      <c r="A2130" s="62">
        <v>2016</v>
      </c>
      <c r="B2130" s="62">
        <v>10</v>
      </c>
      <c r="C2130" s="62" t="s">
        <v>7</v>
      </c>
      <c r="D2130" s="62" t="s">
        <v>3</v>
      </c>
      <c r="E2130" s="62">
        <v>29.35</v>
      </c>
      <c r="F2130" s="62">
        <v>6.587499999999999</v>
      </c>
      <c r="I2130" s="62">
        <v>2017</v>
      </c>
      <c r="J2130" s="62">
        <v>1</v>
      </c>
      <c r="K2130" s="62" t="s">
        <v>19</v>
      </c>
      <c r="L2130" s="62" t="s">
        <v>2</v>
      </c>
      <c r="M2130" s="62">
        <v>77.83500000000001</v>
      </c>
      <c r="N2130" s="62">
        <v>13.621125</v>
      </c>
    </row>
    <row r="2131" spans="1:14">
      <c r="A2131" s="62">
        <v>2016</v>
      </c>
      <c r="B2131" s="62">
        <v>12</v>
      </c>
      <c r="C2131" s="62" t="s">
        <v>7</v>
      </c>
      <c r="D2131" s="62" t="s">
        <v>3</v>
      </c>
      <c r="E2131" s="62">
        <v>10.075</v>
      </c>
      <c r="F2131" s="62">
        <v>0.50375</v>
      </c>
      <c r="I2131" s="62">
        <v>2017</v>
      </c>
      <c r="J2131" s="62">
        <v>2</v>
      </c>
      <c r="K2131" s="62" t="s">
        <v>19</v>
      </c>
      <c r="L2131" s="62" t="s">
        <v>2</v>
      </c>
      <c r="M2131" s="62">
        <v>329.06</v>
      </c>
      <c r="N2131" s="62">
        <v>57.5855</v>
      </c>
    </row>
    <row r="2132" spans="1:14">
      <c r="A2132" s="62">
        <v>2017</v>
      </c>
      <c r="B2132" s="62">
        <v>1</v>
      </c>
      <c r="C2132" s="62" t="s">
        <v>7</v>
      </c>
      <c r="D2132" s="62" t="s">
        <v>3</v>
      </c>
      <c r="E2132" s="62">
        <v>6.045</v>
      </c>
      <c r="F2132" s="62">
        <v>0.30225</v>
      </c>
      <c r="I2132" s="62">
        <v>2017</v>
      </c>
      <c r="J2132" s="62">
        <v>3</v>
      </c>
      <c r="K2132" s="62" t="s">
        <v>19</v>
      </c>
      <c r="L2132" s="62" t="s">
        <v>2</v>
      </c>
      <c r="M2132" s="62">
        <v>377.997</v>
      </c>
      <c r="N2132" s="62">
        <v>66.149475</v>
      </c>
    </row>
    <row r="2133" spans="1:14">
      <c r="A2133" s="62">
        <v>2017</v>
      </c>
      <c r="B2133" s="62">
        <v>2</v>
      </c>
      <c r="C2133" s="62" t="s">
        <v>7</v>
      </c>
      <c r="D2133" s="62" t="s">
        <v>3</v>
      </c>
      <c r="E2133" s="62">
        <v>137.106</v>
      </c>
      <c r="F2133" s="62">
        <v>32.95755</v>
      </c>
      <c r="I2133" s="62">
        <v>2017</v>
      </c>
      <c r="J2133" s="62">
        <v>4</v>
      </c>
      <c r="K2133" s="62" t="s">
        <v>19</v>
      </c>
      <c r="L2133" s="62" t="s">
        <v>2</v>
      </c>
      <c r="M2133" s="62">
        <v>155.125</v>
      </c>
      <c r="N2133" s="62">
        <v>27.146875</v>
      </c>
    </row>
    <row r="2134" spans="1:14">
      <c r="A2134" s="62">
        <v>2017</v>
      </c>
      <c r="B2134" s="62">
        <v>3</v>
      </c>
      <c r="C2134" s="62" t="s">
        <v>7</v>
      </c>
      <c r="D2134" s="62" t="s">
        <v>3</v>
      </c>
      <c r="E2134" s="62">
        <v>217.469</v>
      </c>
      <c r="F2134" s="62">
        <v>47.99115</v>
      </c>
      <c r="I2134" s="62">
        <v>2017</v>
      </c>
      <c r="J2134" s="62">
        <v>5</v>
      </c>
      <c r="K2134" s="62" t="s">
        <v>19</v>
      </c>
      <c r="L2134" s="62" t="s">
        <v>2</v>
      </c>
      <c r="M2134" s="62">
        <v>40.735</v>
      </c>
      <c r="N2134" s="62">
        <v>7.128625</v>
      </c>
    </row>
    <row r="2135" spans="1:14">
      <c r="A2135" s="62">
        <v>2017</v>
      </c>
      <c r="B2135" s="62">
        <v>4</v>
      </c>
      <c r="C2135" s="62" t="s">
        <v>7</v>
      </c>
      <c r="D2135" s="62" t="s">
        <v>3</v>
      </c>
      <c r="E2135" s="62">
        <v>5.85</v>
      </c>
      <c r="F2135" s="62">
        <v>1.10875</v>
      </c>
      <c r="I2135" s="62">
        <v>2017</v>
      </c>
      <c r="J2135" s="62">
        <v>6</v>
      </c>
      <c r="K2135" s="62" t="s">
        <v>19</v>
      </c>
      <c r="L2135" s="62" t="s">
        <v>2</v>
      </c>
      <c r="M2135" s="62">
        <v>9.25</v>
      </c>
      <c r="N2135" s="62">
        <v>1.61875</v>
      </c>
    </row>
    <row r="2136" spans="1:14">
      <c r="A2136" s="62">
        <v>2017</v>
      </c>
      <c r="B2136" s="62">
        <v>5</v>
      </c>
      <c r="C2136" s="62" t="s">
        <v>7</v>
      </c>
      <c r="D2136" s="62" t="s">
        <v>3</v>
      </c>
      <c r="E2136" s="62">
        <v>55</v>
      </c>
      <c r="F2136" s="62">
        <v>10.125</v>
      </c>
      <c r="I2136" s="62">
        <v>2017</v>
      </c>
      <c r="J2136" s="62">
        <v>7</v>
      </c>
      <c r="K2136" s="62" t="s">
        <v>19</v>
      </c>
      <c r="L2136" s="62" t="s">
        <v>2</v>
      </c>
      <c r="M2136" s="62">
        <v>4.68</v>
      </c>
      <c r="N2136" s="62">
        <v>0.819</v>
      </c>
    </row>
    <row r="2137" spans="1:14">
      <c r="A2137" s="62">
        <v>2017</v>
      </c>
      <c r="B2137" s="62">
        <v>6</v>
      </c>
      <c r="C2137" s="62" t="s">
        <v>7</v>
      </c>
      <c r="D2137" s="62" t="s">
        <v>3</v>
      </c>
      <c r="E2137" s="62">
        <v>30.1</v>
      </c>
      <c r="F2137" s="62">
        <v>7.52125</v>
      </c>
      <c r="I2137" s="62">
        <v>2017</v>
      </c>
      <c r="J2137" s="62">
        <v>8</v>
      </c>
      <c r="K2137" s="62" t="s">
        <v>19</v>
      </c>
      <c r="L2137" s="62" t="s">
        <v>2</v>
      </c>
      <c r="M2137" s="62">
        <v>24.128</v>
      </c>
      <c r="N2137" s="62">
        <v>4.222399999999999</v>
      </c>
    </row>
    <row r="2138" spans="1:14">
      <c r="A2138" s="62">
        <v>2017</v>
      </c>
      <c r="B2138" s="62">
        <v>8</v>
      </c>
      <c r="C2138" s="62" t="s">
        <v>7</v>
      </c>
      <c r="D2138" s="62" t="s">
        <v>3</v>
      </c>
      <c r="E2138" s="62">
        <v>33.59999999999999</v>
      </c>
      <c r="F2138" s="62">
        <v>5.879999999999999</v>
      </c>
      <c r="I2138" s="62">
        <v>2017</v>
      </c>
      <c r="J2138" s="62">
        <v>9</v>
      </c>
      <c r="K2138" s="62" t="s">
        <v>19</v>
      </c>
      <c r="L2138" s="62" t="s">
        <v>2</v>
      </c>
      <c r="M2138" s="62">
        <v>178.57</v>
      </c>
      <c r="N2138" s="62">
        <v>31.24975</v>
      </c>
    </row>
    <row r="2139" spans="1:14">
      <c r="A2139" s="62">
        <v>2018</v>
      </c>
      <c r="B2139" s="62">
        <v>3</v>
      </c>
      <c r="C2139" s="62" t="s">
        <v>7</v>
      </c>
      <c r="D2139" s="62" t="s">
        <v>3</v>
      </c>
      <c r="E2139" s="62">
        <v>18.3</v>
      </c>
      <c r="F2139" s="62">
        <v>3.2025</v>
      </c>
      <c r="I2139" s="62">
        <v>2017</v>
      </c>
      <c r="J2139" s="62">
        <v>10</v>
      </c>
      <c r="K2139" s="62" t="s">
        <v>19</v>
      </c>
      <c r="L2139" s="62" t="s">
        <v>2</v>
      </c>
      <c r="M2139" s="62">
        <v>335.32</v>
      </c>
      <c r="N2139" s="62">
        <v>58.681</v>
      </c>
    </row>
    <row r="2140" spans="1:14">
      <c r="A2140" s="62">
        <v>2018</v>
      </c>
      <c r="B2140" s="62">
        <v>4</v>
      </c>
      <c r="C2140" s="62" t="s">
        <v>7</v>
      </c>
      <c r="D2140" s="62" t="s">
        <v>3</v>
      </c>
      <c r="E2140" s="62">
        <v>94.40600000000001</v>
      </c>
      <c r="F2140" s="62">
        <v>21.51855</v>
      </c>
      <c r="I2140" s="62">
        <v>2017</v>
      </c>
      <c r="J2140" s="62">
        <v>11</v>
      </c>
      <c r="K2140" s="62" t="s">
        <v>19</v>
      </c>
      <c r="L2140" s="62" t="s">
        <v>2</v>
      </c>
      <c r="M2140" s="62">
        <v>192.22</v>
      </c>
      <c r="N2140" s="62">
        <v>33.63849999999999</v>
      </c>
    </row>
    <row r="2141" spans="1:14">
      <c r="A2141" s="62">
        <v>2018</v>
      </c>
      <c r="B2141" s="62">
        <v>5</v>
      </c>
      <c r="C2141" s="62" t="s">
        <v>7</v>
      </c>
      <c r="D2141" s="62" t="s">
        <v>3</v>
      </c>
      <c r="E2141" s="62">
        <v>74.33</v>
      </c>
      <c r="F2141" s="62">
        <v>16.9936</v>
      </c>
      <c r="I2141" s="62">
        <v>2017</v>
      </c>
      <c r="J2141" s="62">
        <v>12</v>
      </c>
      <c r="K2141" s="62" t="s">
        <v>19</v>
      </c>
      <c r="L2141" s="62" t="s">
        <v>2</v>
      </c>
      <c r="M2141" s="62">
        <v>92.38</v>
      </c>
      <c r="N2141" s="62">
        <v>16.1665</v>
      </c>
    </row>
    <row r="2142" spans="1:14">
      <c r="A2142" s="62">
        <v>2018</v>
      </c>
      <c r="B2142" s="62">
        <v>6</v>
      </c>
      <c r="C2142" s="62" t="s">
        <v>7</v>
      </c>
      <c r="D2142" s="62" t="s">
        <v>3</v>
      </c>
      <c r="E2142" s="62">
        <v>65.59999999999999</v>
      </c>
      <c r="F2142" s="62">
        <v>14.68</v>
      </c>
      <c r="I2142" s="62">
        <v>2018</v>
      </c>
      <c r="J2142" s="62">
        <v>1</v>
      </c>
      <c r="K2142" s="62" t="s">
        <v>19</v>
      </c>
      <c r="L2142" s="62" t="s">
        <v>2</v>
      </c>
      <c r="M2142" s="62">
        <v>142.566</v>
      </c>
      <c r="N2142" s="62">
        <v>24.94905</v>
      </c>
    </row>
    <row r="2143" spans="1:14">
      <c r="A2143" s="62">
        <v>2018</v>
      </c>
      <c r="B2143" s="62">
        <v>7</v>
      </c>
      <c r="C2143" s="62" t="s">
        <v>7</v>
      </c>
      <c r="D2143" s="62" t="s">
        <v>3</v>
      </c>
      <c r="E2143" s="62">
        <v>68.23999999999999</v>
      </c>
      <c r="F2143" s="62">
        <v>16.396</v>
      </c>
      <c r="I2143" s="62">
        <v>2018</v>
      </c>
      <c r="J2143" s="62">
        <v>2</v>
      </c>
      <c r="K2143" s="62" t="s">
        <v>19</v>
      </c>
      <c r="L2143" s="62" t="s">
        <v>2</v>
      </c>
      <c r="M2143" s="62">
        <v>181.4</v>
      </c>
      <c r="N2143" s="62">
        <v>31.745</v>
      </c>
    </row>
    <row r="2144" spans="1:14">
      <c r="A2144" s="62">
        <v>2018</v>
      </c>
      <c r="B2144" s="62">
        <v>8</v>
      </c>
      <c r="C2144" s="62" t="s">
        <v>7</v>
      </c>
      <c r="D2144" s="62" t="s">
        <v>3</v>
      </c>
      <c r="E2144" s="62">
        <v>76.688</v>
      </c>
      <c r="F2144" s="62">
        <v>21.8872</v>
      </c>
      <c r="I2144" s="62">
        <v>2018</v>
      </c>
      <c r="J2144" s="62">
        <v>3</v>
      </c>
      <c r="K2144" s="62" t="s">
        <v>19</v>
      </c>
      <c r="L2144" s="62" t="s">
        <v>2</v>
      </c>
      <c r="M2144" s="62">
        <v>280.0035</v>
      </c>
      <c r="N2144" s="62">
        <v>49.0006125</v>
      </c>
    </row>
    <row r="2145" spans="1:14">
      <c r="A2145" s="62">
        <v>2019</v>
      </c>
      <c r="B2145" s="62">
        <v>1</v>
      </c>
      <c r="C2145" s="62" t="s">
        <v>7</v>
      </c>
      <c r="D2145" s="62" t="s">
        <v>3</v>
      </c>
      <c r="E2145" s="62">
        <v>2.56</v>
      </c>
      <c r="F2145" s="62">
        <v>2.176</v>
      </c>
      <c r="I2145" s="62">
        <v>2018</v>
      </c>
      <c r="J2145" s="62">
        <v>4</v>
      </c>
      <c r="K2145" s="62" t="s">
        <v>19</v>
      </c>
      <c r="L2145" s="62" t="s">
        <v>2</v>
      </c>
      <c r="M2145" s="62">
        <v>193.7246</v>
      </c>
      <c r="N2145" s="62">
        <v>33.901805</v>
      </c>
    </row>
    <row r="2146" spans="1:14">
      <c r="A2146" s="62">
        <v>2019</v>
      </c>
      <c r="B2146" s="62">
        <v>2</v>
      </c>
      <c r="C2146" s="62" t="s">
        <v>7</v>
      </c>
      <c r="D2146" s="62" t="s">
        <v>3</v>
      </c>
      <c r="E2146" s="62">
        <v>1.872</v>
      </c>
      <c r="F2146" s="62">
        <v>0.3276</v>
      </c>
      <c r="I2146" s="62">
        <v>2018</v>
      </c>
      <c r="J2146" s="62">
        <v>5</v>
      </c>
      <c r="K2146" s="62" t="s">
        <v>19</v>
      </c>
      <c r="L2146" s="62" t="s">
        <v>2</v>
      </c>
      <c r="M2146" s="62">
        <v>161.2924</v>
      </c>
      <c r="N2146" s="62">
        <v>28.22617</v>
      </c>
    </row>
    <row r="2147" spans="1:14">
      <c r="A2147" s="62">
        <v>2019</v>
      </c>
      <c r="B2147" s="62">
        <v>3</v>
      </c>
      <c r="C2147" s="62" t="s">
        <v>7</v>
      </c>
      <c r="D2147" s="62" t="s">
        <v>3</v>
      </c>
      <c r="E2147" s="62">
        <v>2.0325</v>
      </c>
      <c r="F2147" s="62">
        <v>0.2751</v>
      </c>
      <c r="I2147" s="62">
        <v>2018</v>
      </c>
      <c r="J2147" s="62">
        <v>7</v>
      </c>
      <c r="K2147" s="62" t="s">
        <v>19</v>
      </c>
      <c r="L2147" s="62" t="s">
        <v>2</v>
      </c>
      <c r="M2147" s="62">
        <v>19.52</v>
      </c>
      <c r="N2147" s="62">
        <v>3.416</v>
      </c>
    </row>
    <row r="2148" spans="1:14">
      <c r="A2148" s="62">
        <v>2019</v>
      </c>
      <c r="B2148" s="62">
        <v>4</v>
      </c>
      <c r="C2148" s="62" t="s">
        <v>7</v>
      </c>
      <c r="D2148" s="62" t="s">
        <v>3</v>
      </c>
      <c r="E2148" s="62">
        <v>33.672</v>
      </c>
      <c r="F2148" s="62">
        <v>7.09055</v>
      </c>
      <c r="I2148" s="62">
        <v>2018</v>
      </c>
      <c r="J2148" s="62">
        <v>8</v>
      </c>
      <c r="K2148" s="62" t="s">
        <v>19</v>
      </c>
      <c r="L2148" s="62" t="s">
        <v>2</v>
      </c>
      <c r="M2148" s="62">
        <v>100.03</v>
      </c>
      <c r="N2148" s="62">
        <v>17.50525</v>
      </c>
    </row>
    <row r="2149" spans="1:14">
      <c r="A2149" s="62">
        <v>2020</v>
      </c>
      <c r="B2149" s="62">
        <v>3</v>
      </c>
      <c r="C2149" s="62" t="s">
        <v>7</v>
      </c>
      <c r="D2149" s="62" t="s">
        <v>3</v>
      </c>
      <c r="E2149" s="62">
        <v>47.6257</v>
      </c>
      <c r="F2149" s="62">
        <v>9.639215</v>
      </c>
      <c r="I2149" s="62">
        <v>2018</v>
      </c>
      <c r="J2149" s="62">
        <v>9</v>
      </c>
      <c r="K2149" s="62" t="s">
        <v>19</v>
      </c>
      <c r="L2149" s="62" t="s">
        <v>2</v>
      </c>
      <c r="M2149" s="62">
        <v>201.7667</v>
      </c>
      <c r="N2149" s="62">
        <v>35.3091725</v>
      </c>
    </row>
    <row r="2150" spans="1:14">
      <c r="A2150" s="62">
        <v>2020</v>
      </c>
      <c r="B2150" s="62">
        <v>4</v>
      </c>
      <c r="C2150" s="62" t="s">
        <v>7</v>
      </c>
      <c r="D2150" s="62" t="s">
        <v>3</v>
      </c>
      <c r="E2150" s="62">
        <v>344.6832</v>
      </c>
      <c r="F2150" s="62">
        <v>72.95569500000001</v>
      </c>
      <c r="I2150" s="62">
        <v>2018</v>
      </c>
      <c r="J2150" s="62">
        <v>10</v>
      </c>
      <c r="K2150" s="62" t="s">
        <v>19</v>
      </c>
      <c r="L2150" s="62" t="s">
        <v>2</v>
      </c>
      <c r="M2150" s="62">
        <v>435.95</v>
      </c>
      <c r="N2150" s="62">
        <v>76.29124999999999</v>
      </c>
    </row>
    <row r="2151" spans="1:14">
      <c r="A2151" s="62">
        <v>2020</v>
      </c>
      <c r="B2151" s="62">
        <v>5</v>
      </c>
      <c r="C2151" s="62" t="s">
        <v>7</v>
      </c>
      <c r="D2151" s="62" t="s">
        <v>3</v>
      </c>
      <c r="E2151" s="62">
        <v>393.05</v>
      </c>
      <c r="F2151" s="62">
        <v>84.367</v>
      </c>
      <c r="I2151" s="62">
        <v>2018</v>
      </c>
      <c r="J2151" s="62">
        <v>11</v>
      </c>
      <c r="K2151" s="62" t="s">
        <v>19</v>
      </c>
      <c r="L2151" s="62" t="s">
        <v>2</v>
      </c>
      <c r="M2151" s="62">
        <v>175.696</v>
      </c>
      <c r="N2151" s="62">
        <v>30.7468</v>
      </c>
    </row>
    <row r="2152" spans="1:14">
      <c r="A2152" s="62">
        <v>2020</v>
      </c>
      <c r="B2152" s="62">
        <v>6</v>
      </c>
      <c r="C2152" s="62" t="s">
        <v>7</v>
      </c>
      <c r="D2152" s="62" t="s">
        <v>3</v>
      </c>
      <c r="E2152" s="62">
        <v>309.2614</v>
      </c>
      <c r="F2152" s="62">
        <v>68.47064</v>
      </c>
      <c r="I2152" s="62">
        <v>2018</v>
      </c>
      <c r="J2152" s="62">
        <v>12</v>
      </c>
      <c r="K2152" s="62" t="s">
        <v>19</v>
      </c>
      <c r="L2152" s="62" t="s">
        <v>2</v>
      </c>
      <c r="M2152" s="62">
        <v>29</v>
      </c>
      <c r="N2152" s="62">
        <v>5.074999999999999</v>
      </c>
    </row>
    <row r="2153" spans="1:14">
      <c r="A2153" s="62">
        <v>2020</v>
      </c>
      <c r="B2153" s="62">
        <v>7</v>
      </c>
      <c r="C2153" s="62" t="s">
        <v>7</v>
      </c>
      <c r="D2153" s="62" t="s">
        <v>3</v>
      </c>
      <c r="E2153" s="62">
        <v>306.67</v>
      </c>
      <c r="F2153" s="62">
        <v>67.979</v>
      </c>
      <c r="I2153" s="62">
        <v>2019</v>
      </c>
      <c r="J2153" s="62">
        <v>1</v>
      </c>
      <c r="K2153" s="62" t="s">
        <v>19</v>
      </c>
      <c r="L2153" s="62" t="s">
        <v>2</v>
      </c>
      <c r="M2153" s="62">
        <v>103.678</v>
      </c>
      <c r="N2153" s="62">
        <v>18.14365</v>
      </c>
    </row>
    <row r="2154" spans="1:14">
      <c r="A2154" s="62">
        <v>2020</v>
      </c>
      <c r="B2154" s="62">
        <v>8</v>
      </c>
      <c r="C2154" s="62" t="s">
        <v>7</v>
      </c>
      <c r="D2154" s="62" t="s">
        <v>3</v>
      </c>
      <c r="E2154" s="62">
        <v>283.3792</v>
      </c>
      <c r="F2154" s="62">
        <v>63.01508</v>
      </c>
      <c r="I2154" s="62">
        <v>2019</v>
      </c>
      <c r="J2154" s="62">
        <v>2</v>
      </c>
      <c r="K2154" s="62" t="s">
        <v>19</v>
      </c>
      <c r="L2154" s="62" t="s">
        <v>2</v>
      </c>
      <c r="M2154" s="62">
        <v>172.47</v>
      </c>
      <c r="N2154" s="62">
        <v>30.18225</v>
      </c>
    </row>
    <row r="2155" spans="1:14">
      <c r="A2155" s="62">
        <v>2020</v>
      </c>
      <c r="B2155" s="62">
        <v>9</v>
      </c>
      <c r="C2155" s="62" t="s">
        <v>7</v>
      </c>
      <c r="D2155" s="62" t="s">
        <v>3</v>
      </c>
      <c r="E2155" s="62">
        <v>264.5</v>
      </c>
      <c r="F2155" s="62">
        <v>59.0923</v>
      </c>
      <c r="I2155" s="62">
        <v>2019</v>
      </c>
      <c r="J2155" s="62">
        <v>3</v>
      </c>
      <c r="K2155" s="62" t="s">
        <v>19</v>
      </c>
      <c r="L2155" s="62" t="s">
        <v>2</v>
      </c>
      <c r="M2155" s="62">
        <v>158.3109</v>
      </c>
      <c r="N2155" s="62">
        <v>27.7044075</v>
      </c>
    </row>
    <row r="2156" spans="1:14">
      <c r="A2156" s="62">
        <v>2020</v>
      </c>
      <c r="B2156" s="62">
        <v>10</v>
      </c>
      <c r="C2156" s="62" t="s">
        <v>7</v>
      </c>
      <c r="D2156" s="62" t="s">
        <v>3</v>
      </c>
      <c r="E2156" s="62">
        <v>265.439</v>
      </c>
      <c r="F2156" s="62">
        <v>58.81094</v>
      </c>
      <c r="I2156" s="62">
        <v>2019</v>
      </c>
      <c r="J2156" s="62">
        <v>4</v>
      </c>
      <c r="K2156" s="62" t="s">
        <v>19</v>
      </c>
      <c r="L2156" s="62" t="s">
        <v>2</v>
      </c>
      <c r="M2156" s="62">
        <v>137.5121</v>
      </c>
      <c r="N2156" s="62">
        <v>24.0646175</v>
      </c>
    </row>
    <row r="2157" spans="1:14">
      <c r="A2157" s="62">
        <v>2020</v>
      </c>
      <c r="B2157" s="62">
        <v>11</v>
      </c>
      <c r="C2157" s="62" t="s">
        <v>7</v>
      </c>
      <c r="D2157" s="62" t="s">
        <v>3</v>
      </c>
      <c r="E2157" s="62">
        <v>259.5341</v>
      </c>
      <c r="F2157" s="62">
        <v>57.096665</v>
      </c>
      <c r="I2157" s="62">
        <v>2019</v>
      </c>
      <c r="J2157" s="62">
        <v>5</v>
      </c>
      <c r="K2157" s="62" t="s">
        <v>19</v>
      </c>
      <c r="L2157" s="62" t="s">
        <v>2</v>
      </c>
      <c r="M2157" s="62">
        <v>99.455</v>
      </c>
      <c r="N2157" s="62">
        <v>17.404625</v>
      </c>
    </row>
    <row r="2158" spans="1:14">
      <c r="A2158" s="62">
        <v>2020</v>
      </c>
      <c r="B2158" s="62">
        <v>12</v>
      </c>
      <c r="C2158" s="62" t="s">
        <v>7</v>
      </c>
      <c r="D2158" s="62" t="s">
        <v>3</v>
      </c>
      <c r="E2158" s="62">
        <v>261.59</v>
      </c>
      <c r="F2158" s="62">
        <v>58.433</v>
      </c>
      <c r="I2158" s="62">
        <v>2019</v>
      </c>
      <c r="J2158" s="62">
        <v>6</v>
      </c>
      <c r="K2158" s="62" t="s">
        <v>19</v>
      </c>
      <c r="L2158" s="62" t="s">
        <v>2</v>
      </c>
      <c r="M2158" s="62">
        <v>47.547</v>
      </c>
      <c r="N2158" s="62">
        <v>8.320724999999999</v>
      </c>
    </row>
    <row r="2159" spans="1:14">
      <c r="A2159" s="62">
        <v>2021</v>
      </c>
      <c r="B2159" s="62">
        <v>1</v>
      </c>
      <c r="C2159" s="62" t="s">
        <v>7</v>
      </c>
      <c r="D2159" s="62" t="s">
        <v>3</v>
      </c>
      <c r="E2159" s="62">
        <v>274.298</v>
      </c>
      <c r="F2159" s="62">
        <v>60.0836</v>
      </c>
      <c r="I2159" s="62">
        <v>2019</v>
      </c>
      <c r="J2159" s="62">
        <v>7</v>
      </c>
      <c r="K2159" s="62" t="s">
        <v>19</v>
      </c>
      <c r="L2159" s="62" t="s">
        <v>2</v>
      </c>
      <c r="M2159" s="62">
        <v>112.77</v>
      </c>
      <c r="N2159" s="62">
        <v>19.73475</v>
      </c>
    </row>
    <row r="2160" spans="1:14">
      <c r="A2160" s="62">
        <v>2021</v>
      </c>
      <c r="B2160" s="62">
        <v>2</v>
      </c>
      <c r="C2160" s="62" t="s">
        <v>7</v>
      </c>
      <c r="D2160" s="62" t="s">
        <v>3</v>
      </c>
      <c r="E2160" s="62">
        <v>243.6811</v>
      </c>
      <c r="F2160" s="62">
        <v>53.205875</v>
      </c>
      <c r="I2160" s="62">
        <v>2019</v>
      </c>
      <c r="J2160" s="62">
        <v>8</v>
      </c>
      <c r="K2160" s="62" t="s">
        <v>19</v>
      </c>
      <c r="L2160" s="62" t="s">
        <v>2</v>
      </c>
      <c r="M2160" s="62">
        <v>163</v>
      </c>
      <c r="N2160" s="62">
        <v>28.525</v>
      </c>
    </row>
    <row r="2161" spans="1:14">
      <c r="A2161" s="62">
        <v>2021</v>
      </c>
      <c r="B2161" s="62">
        <v>3</v>
      </c>
      <c r="C2161" s="62" t="s">
        <v>7</v>
      </c>
      <c r="D2161" s="62" t="s">
        <v>3</v>
      </c>
      <c r="E2161" s="62">
        <v>241.4614</v>
      </c>
      <c r="F2161" s="62">
        <v>50.99766</v>
      </c>
      <c r="I2161" s="62">
        <v>2019</v>
      </c>
      <c r="J2161" s="62">
        <v>9</v>
      </c>
      <c r="K2161" s="62" t="s">
        <v>19</v>
      </c>
      <c r="L2161" s="62" t="s">
        <v>2</v>
      </c>
      <c r="M2161" s="62">
        <v>273.5015</v>
      </c>
      <c r="N2161" s="62">
        <v>47.8627625</v>
      </c>
    </row>
    <row r="2162" spans="1:14">
      <c r="A2162" s="62">
        <v>2021</v>
      </c>
      <c r="B2162" s="62">
        <v>4</v>
      </c>
      <c r="C2162" s="62" t="s">
        <v>7</v>
      </c>
      <c r="D2162" s="62" t="s">
        <v>3</v>
      </c>
      <c r="E2162" s="62">
        <v>235.7626</v>
      </c>
      <c r="F2162" s="62">
        <v>49.80437</v>
      </c>
      <c r="I2162" s="62">
        <v>2019</v>
      </c>
      <c r="J2162" s="62">
        <v>10</v>
      </c>
      <c r="K2162" s="62" t="s">
        <v>19</v>
      </c>
      <c r="L2162" s="62" t="s">
        <v>2</v>
      </c>
      <c r="M2162" s="62">
        <v>390.844</v>
      </c>
      <c r="N2162" s="62">
        <v>68.3977</v>
      </c>
    </row>
    <row r="2163" spans="1:14">
      <c r="A2163" s="62">
        <v>2021</v>
      </c>
      <c r="B2163" s="62">
        <v>5</v>
      </c>
      <c r="C2163" s="62" t="s">
        <v>7</v>
      </c>
      <c r="D2163" s="62" t="s">
        <v>3</v>
      </c>
      <c r="E2163" s="62">
        <v>264.2618</v>
      </c>
      <c r="F2163" s="62">
        <v>57.799395</v>
      </c>
      <c r="I2163" s="62">
        <v>2019</v>
      </c>
      <c r="J2163" s="62">
        <v>11</v>
      </c>
      <c r="K2163" s="62" t="s">
        <v>19</v>
      </c>
      <c r="L2163" s="62" t="s">
        <v>2</v>
      </c>
      <c r="M2163" s="62">
        <v>307.25</v>
      </c>
      <c r="N2163" s="62">
        <v>53.76875</v>
      </c>
    </row>
    <row r="2164" spans="1:14">
      <c r="A2164" s="62">
        <v>2021</v>
      </c>
      <c r="B2164" s="62">
        <v>6</v>
      </c>
      <c r="C2164" s="62" t="s">
        <v>7</v>
      </c>
      <c r="D2164" s="62" t="s">
        <v>3</v>
      </c>
      <c r="E2164" s="62">
        <v>265.5931</v>
      </c>
      <c r="F2164" s="62">
        <v>60.987575</v>
      </c>
      <c r="I2164" s="62">
        <v>2019</v>
      </c>
      <c r="J2164" s="62">
        <v>12</v>
      </c>
      <c r="K2164" s="62" t="s">
        <v>19</v>
      </c>
      <c r="L2164" s="62" t="s">
        <v>2</v>
      </c>
      <c r="M2164" s="62">
        <v>201.688</v>
      </c>
      <c r="N2164" s="62">
        <v>35.2954</v>
      </c>
    </row>
    <row r="2165" spans="1:14">
      <c r="A2165" s="62">
        <v>2021</v>
      </c>
      <c r="B2165" s="62">
        <v>7</v>
      </c>
      <c r="C2165" s="62" t="s">
        <v>7</v>
      </c>
      <c r="D2165" s="62" t="s">
        <v>3</v>
      </c>
      <c r="E2165" s="62">
        <v>52.3218</v>
      </c>
      <c r="F2165" s="62">
        <v>8.385539999999999</v>
      </c>
      <c r="I2165" s="62">
        <v>2020</v>
      </c>
      <c r="J2165" s="62">
        <v>1</v>
      </c>
      <c r="K2165" s="62" t="s">
        <v>19</v>
      </c>
      <c r="L2165" s="62" t="s">
        <v>2</v>
      </c>
      <c r="M2165" s="62">
        <v>233.9795</v>
      </c>
      <c r="N2165" s="62">
        <v>40.94641249999999</v>
      </c>
    </row>
    <row r="2166" spans="1:14">
      <c r="A2166" s="62">
        <v>2021</v>
      </c>
      <c r="B2166" s="62">
        <v>8</v>
      </c>
      <c r="C2166" s="62" t="s">
        <v>7</v>
      </c>
      <c r="D2166" s="62" t="s">
        <v>3</v>
      </c>
      <c r="E2166" s="62">
        <v>9.645</v>
      </c>
      <c r="F2166" s="62">
        <v>2.72025</v>
      </c>
      <c r="I2166" s="62">
        <v>2020</v>
      </c>
      <c r="J2166" s="62">
        <v>2</v>
      </c>
      <c r="K2166" s="62" t="s">
        <v>19</v>
      </c>
      <c r="L2166" s="62" t="s">
        <v>2</v>
      </c>
      <c r="M2166" s="62">
        <v>237.605</v>
      </c>
      <c r="N2166" s="62">
        <v>41.58087499999999</v>
      </c>
    </row>
    <row r="2167" spans="1:14">
      <c r="A2167" s="62">
        <v>2021</v>
      </c>
      <c r="B2167" s="62">
        <v>9</v>
      </c>
      <c r="C2167" s="62" t="s">
        <v>7</v>
      </c>
      <c r="D2167" s="62" t="s">
        <v>3</v>
      </c>
      <c r="E2167" s="62">
        <v>2.79</v>
      </c>
      <c r="F2167" s="62">
        <v>1.8135</v>
      </c>
      <c r="I2167" s="62">
        <v>2020</v>
      </c>
      <c r="J2167" s="62">
        <v>3</v>
      </c>
      <c r="K2167" s="62" t="s">
        <v>19</v>
      </c>
      <c r="L2167" s="62" t="s">
        <v>2</v>
      </c>
      <c r="M2167" s="62">
        <v>299.945</v>
      </c>
      <c r="N2167" s="62">
        <v>52.49037499999999</v>
      </c>
    </row>
    <row r="2168" spans="1:14">
      <c r="A2168" s="62">
        <v>2021</v>
      </c>
      <c r="B2168" s="62">
        <v>10</v>
      </c>
      <c r="C2168" s="62" t="s">
        <v>7</v>
      </c>
      <c r="D2168" s="62" t="s">
        <v>3</v>
      </c>
      <c r="E2168" s="62">
        <v>3.933</v>
      </c>
      <c r="F2168" s="62">
        <v>2.55645</v>
      </c>
      <c r="I2168" s="62">
        <v>2020</v>
      </c>
      <c r="J2168" s="62">
        <v>4</v>
      </c>
      <c r="K2168" s="62" t="s">
        <v>19</v>
      </c>
      <c r="L2168" s="62" t="s">
        <v>2</v>
      </c>
      <c r="M2168" s="62">
        <v>240.655</v>
      </c>
      <c r="N2168" s="62">
        <v>42.114625</v>
      </c>
    </row>
    <row r="2169" spans="1:14">
      <c r="A2169" s="62">
        <v>2021</v>
      </c>
      <c r="B2169" s="62">
        <v>11</v>
      </c>
      <c r="C2169" s="62" t="s">
        <v>7</v>
      </c>
      <c r="D2169" s="62" t="s">
        <v>3</v>
      </c>
      <c r="E2169" s="62">
        <v>8.952</v>
      </c>
      <c r="F2169" s="62">
        <v>4.54935</v>
      </c>
      <c r="I2169" s="62">
        <v>2020</v>
      </c>
      <c r="J2169" s="62">
        <v>5</v>
      </c>
      <c r="K2169" s="62" t="s">
        <v>19</v>
      </c>
      <c r="L2169" s="62" t="s">
        <v>2</v>
      </c>
      <c r="M2169" s="62">
        <v>313.24</v>
      </c>
      <c r="N2169" s="62">
        <v>54.81699999999999</v>
      </c>
    </row>
    <row r="2170" spans="1:14">
      <c r="A2170" s="62">
        <v>2021</v>
      </c>
      <c r="B2170" s="62">
        <v>12</v>
      </c>
      <c r="C2170" s="62" t="s">
        <v>7</v>
      </c>
      <c r="D2170" s="62" t="s">
        <v>3</v>
      </c>
      <c r="E2170" s="62">
        <v>24.8058</v>
      </c>
      <c r="F2170" s="62">
        <v>1.57039</v>
      </c>
      <c r="I2170" s="62">
        <v>2020</v>
      </c>
      <c r="J2170" s="62">
        <v>6</v>
      </c>
      <c r="K2170" s="62" t="s">
        <v>19</v>
      </c>
      <c r="L2170" s="62" t="s">
        <v>2</v>
      </c>
      <c r="M2170" s="62">
        <v>265</v>
      </c>
      <c r="N2170" s="62">
        <v>46.37499999999999</v>
      </c>
    </row>
    <row r="2171" spans="1:14">
      <c r="A2171" s="62">
        <v>2022</v>
      </c>
      <c r="B2171" s="62">
        <v>1</v>
      </c>
      <c r="C2171" s="62" t="s">
        <v>7</v>
      </c>
      <c r="D2171" s="62" t="s">
        <v>3</v>
      </c>
      <c r="E2171" s="62">
        <v>4.769</v>
      </c>
      <c r="F2171" s="62">
        <v>1.10585</v>
      </c>
      <c r="I2171" s="62">
        <v>2020</v>
      </c>
      <c r="J2171" s="62">
        <v>7</v>
      </c>
      <c r="K2171" s="62" t="s">
        <v>19</v>
      </c>
      <c r="L2171" s="62" t="s">
        <v>2</v>
      </c>
      <c r="M2171" s="62">
        <v>244.1</v>
      </c>
      <c r="N2171" s="62">
        <v>42.71749999999999</v>
      </c>
    </row>
    <row r="2172" spans="1:14">
      <c r="A2172" s="62">
        <v>2022</v>
      </c>
      <c r="B2172" s="62">
        <v>2</v>
      </c>
      <c r="C2172" s="62" t="s">
        <v>7</v>
      </c>
      <c r="D2172" s="62" t="s">
        <v>3</v>
      </c>
      <c r="E2172" s="62">
        <v>11.366</v>
      </c>
      <c r="F2172" s="62">
        <v>4.29195</v>
      </c>
      <c r="I2172" s="62">
        <v>2020</v>
      </c>
      <c r="J2172" s="62">
        <v>8</v>
      </c>
      <c r="K2172" s="62" t="s">
        <v>19</v>
      </c>
      <c r="L2172" s="62" t="s">
        <v>2</v>
      </c>
      <c r="M2172" s="62">
        <v>110.862</v>
      </c>
      <c r="N2172" s="62">
        <v>19.40085</v>
      </c>
    </row>
    <row r="2173" spans="1:14">
      <c r="A2173" s="62">
        <v>2022</v>
      </c>
      <c r="B2173" s="62">
        <v>3</v>
      </c>
      <c r="C2173" s="62" t="s">
        <v>7</v>
      </c>
      <c r="D2173" s="62" t="s">
        <v>3</v>
      </c>
      <c r="E2173" s="62">
        <v>139.312</v>
      </c>
      <c r="F2173" s="62">
        <v>30.878</v>
      </c>
      <c r="I2173" s="62">
        <v>2020</v>
      </c>
      <c r="J2173" s="62">
        <v>9</v>
      </c>
      <c r="K2173" s="62" t="s">
        <v>19</v>
      </c>
      <c r="L2173" s="62" t="s">
        <v>2</v>
      </c>
      <c r="M2173" s="62">
        <v>188.89</v>
      </c>
      <c r="N2173" s="62">
        <v>33.05575</v>
      </c>
    </row>
    <row r="2174" spans="1:14">
      <c r="A2174" s="62">
        <v>2022</v>
      </c>
      <c r="B2174" s="62">
        <v>4</v>
      </c>
      <c r="C2174" s="62" t="s">
        <v>7</v>
      </c>
      <c r="D2174" s="62" t="s">
        <v>3</v>
      </c>
      <c r="E2174" s="62">
        <v>148.523</v>
      </c>
      <c r="F2174" s="62">
        <v>30.8165</v>
      </c>
      <c r="I2174" s="62">
        <v>2020</v>
      </c>
      <c r="J2174" s="62">
        <v>10</v>
      </c>
      <c r="K2174" s="62" t="s">
        <v>19</v>
      </c>
      <c r="L2174" s="62" t="s">
        <v>2</v>
      </c>
      <c r="M2174" s="62">
        <v>163.55</v>
      </c>
      <c r="N2174" s="62">
        <v>28.62125</v>
      </c>
    </row>
    <row r="2175" spans="1:14">
      <c r="A2175" s="62">
        <v>2022</v>
      </c>
      <c r="B2175" s="62">
        <v>5</v>
      </c>
      <c r="C2175" s="62" t="s">
        <v>7</v>
      </c>
      <c r="D2175" s="62" t="s">
        <v>3</v>
      </c>
      <c r="E2175" s="62">
        <v>204.2568</v>
      </c>
      <c r="F2175" s="62">
        <v>46.84524</v>
      </c>
      <c r="I2175" s="62">
        <v>2020</v>
      </c>
      <c r="J2175" s="62">
        <v>11</v>
      </c>
      <c r="K2175" s="62" t="s">
        <v>19</v>
      </c>
      <c r="L2175" s="62" t="s">
        <v>2</v>
      </c>
      <c r="M2175" s="62">
        <v>129</v>
      </c>
      <c r="N2175" s="62">
        <v>22.575</v>
      </c>
    </row>
    <row r="2176" spans="1:14">
      <c r="A2176" s="62">
        <v>2022</v>
      </c>
      <c r="B2176" s="62">
        <v>6</v>
      </c>
      <c r="C2176" s="62" t="s">
        <v>7</v>
      </c>
      <c r="D2176" s="62" t="s">
        <v>3</v>
      </c>
      <c r="E2176" s="62">
        <v>17.626</v>
      </c>
      <c r="F2176" s="62">
        <v>5.355650000000001</v>
      </c>
      <c r="I2176" s="62">
        <v>2020</v>
      </c>
      <c r="J2176" s="62">
        <v>12</v>
      </c>
      <c r="K2176" s="62" t="s">
        <v>19</v>
      </c>
      <c r="L2176" s="62" t="s">
        <v>2</v>
      </c>
      <c r="M2176" s="62">
        <v>196.575</v>
      </c>
      <c r="N2176" s="62">
        <v>34.400625</v>
      </c>
    </row>
    <row r="2177" spans="1:14">
      <c r="A2177" s="62">
        <v>2022</v>
      </c>
      <c r="B2177" s="62">
        <v>7</v>
      </c>
      <c r="C2177" s="62" t="s">
        <v>7</v>
      </c>
      <c r="D2177" s="62" t="s">
        <v>3</v>
      </c>
      <c r="E2177" s="62">
        <v>3.45</v>
      </c>
      <c r="F2177" s="62">
        <v>0.60375</v>
      </c>
      <c r="I2177" s="62">
        <v>2021</v>
      </c>
      <c r="J2177" s="62">
        <v>1</v>
      </c>
      <c r="K2177" s="62" t="s">
        <v>19</v>
      </c>
      <c r="L2177" s="62" t="s">
        <v>2</v>
      </c>
      <c r="M2177" s="62">
        <v>188.96</v>
      </c>
      <c r="N2177" s="62">
        <v>33.068</v>
      </c>
    </row>
    <row r="2178" spans="1:14">
      <c r="A2178" s="62">
        <v>2022</v>
      </c>
      <c r="B2178" s="62">
        <v>8</v>
      </c>
      <c r="C2178" s="62" t="s">
        <v>7</v>
      </c>
      <c r="D2178" s="62" t="s">
        <v>3</v>
      </c>
      <c r="E2178" s="62">
        <v>6.926</v>
      </c>
      <c r="F2178" s="62">
        <v>1.05625</v>
      </c>
      <c r="I2178" s="62">
        <v>2021</v>
      </c>
      <c r="J2178" s="62">
        <v>2</v>
      </c>
      <c r="K2178" s="62" t="s">
        <v>19</v>
      </c>
      <c r="L2178" s="62" t="s">
        <v>2</v>
      </c>
      <c r="M2178" s="62">
        <v>302.0042</v>
      </c>
      <c r="N2178" s="62">
        <v>52.85073499999999</v>
      </c>
    </row>
    <row r="2179" spans="1:14">
      <c r="A2179" s="62">
        <v>2022</v>
      </c>
      <c r="B2179" s="62">
        <v>9</v>
      </c>
      <c r="C2179" s="62" t="s">
        <v>7</v>
      </c>
      <c r="D2179" s="62" t="s">
        <v>3</v>
      </c>
      <c r="E2179" s="62">
        <v>4.6</v>
      </c>
      <c r="F2179" s="62">
        <v>1.66175</v>
      </c>
      <c r="I2179" s="62">
        <v>2021</v>
      </c>
      <c r="J2179" s="62">
        <v>3</v>
      </c>
      <c r="K2179" s="62" t="s">
        <v>19</v>
      </c>
      <c r="L2179" s="62" t="s">
        <v>2</v>
      </c>
      <c r="M2179" s="62">
        <v>204.2795</v>
      </c>
      <c r="N2179" s="62">
        <v>35.7489125</v>
      </c>
    </row>
    <row r="2180" spans="1:14">
      <c r="A2180" s="62">
        <v>2022</v>
      </c>
      <c r="B2180" s="62">
        <v>10</v>
      </c>
      <c r="C2180" s="62" t="s">
        <v>7</v>
      </c>
      <c r="D2180" s="62" t="s">
        <v>3</v>
      </c>
      <c r="E2180" s="62">
        <v>10.0538</v>
      </c>
      <c r="F2180" s="62">
        <v>3.17929</v>
      </c>
      <c r="I2180" s="62">
        <v>2021</v>
      </c>
      <c r="J2180" s="62">
        <v>4</v>
      </c>
      <c r="K2180" s="62" t="s">
        <v>19</v>
      </c>
      <c r="L2180" s="62" t="s">
        <v>2</v>
      </c>
      <c r="M2180" s="62">
        <v>303.543</v>
      </c>
      <c r="N2180" s="62">
        <v>53.120025</v>
      </c>
    </row>
    <row r="2181" spans="1:14">
      <c r="A2181" s="62">
        <v>2022</v>
      </c>
      <c r="B2181" s="62">
        <v>11</v>
      </c>
      <c r="C2181" s="62" t="s">
        <v>7</v>
      </c>
      <c r="D2181" s="62" t="s">
        <v>3</v>
      </c>
      <c r="E2181" s="62">
        <v>16.3154</v>
      </c>
      <c r="F2181" s="62">
        <v>2.492495</v>
      </c>
      <c r="I2181" s="62">
        <v>2021</v>
      </c>
      <c r="J2181" s="62">
        <v>5</v>
      </c>
      <c r="K2181" s="62" t="s">
        <v>19</v>
      </c>
      <c r="L2181" s="62" t="s">
        <v>2</v>
      </c>
      <c r="M2181" s="62">
        <v>283.96</v>
      </c>
      <c r="N2181" s="62">
        <v>49.693</v>
      </c>
    </row>
    <row r="2182" spans="1:14">
      <c r="A2182" s="62">
        <v>2022</v>
      </c>
      <c r="B2182" s="62">
        <v>12</v>
      </c>
      <c r="C2182" s="62" t="s">
        <v>7</v>
      </c>
      <c r="D2182" s="62" t="s">
        <v>3</v>
      </c>
      <c r="E2182" s="62">
        <v>126.7557</v>
      </c>
      <c r="F2182" s="62">
        <v>26.0600225</v>
      </c>
      <c r="I2182" s="62">
        <v>2021</v>
      </c>
      <c r="J2182" s="62">
        <v>6</v>
      </c>
      <c r="K2182" s="62" t="s">
        <v>19</v>
      </c>
      <c r="L2182" s="62" t="s">
        <v>2</v>
      </c>
      <c r="M2182" s="62">
        <v>163.24</v>
      </c>
      <c r="N2182" s="62">
        <v>28.567</v>
      </c>
    </row>
    <row r="2183" spans="1:14">
      <c r="A2183" s="62">
        <v>2023</v>
      </c>
      <c r="B2183" s="62">
        <v>1</v>
      </c>
      <c r="C2183" s="62" t="s">
        <v>7</v>
      </c>
      <c r="D2183" s="62" t="s">
        <v>3</v>
      </c>
      <c r="E2183" s="62">
        <v>488.164</v>
      </c>
      <c r="F2183" s="62">
        <v>111.647975</v>
      </c>
      <c r="I2183" s="62">
        <v>2021</v>
      </c>
      <c r="J2183" s="62">
        <v>7</v>
      </c>
      <c r="K2183" s="62" t="s">
        <v>19</v>
      </c>
      <c r="L2183" s="62" t="s">
        <v>2</v>
      </c>
      <c r="M2183" s="62">
        <v>152.359</v>
      </c>
      <c r="N2183" s="62">
        <v>26.662825</v>
      </c>
    </row>
    <row r="2184" spans="1:14">
      <c r="A2184" s="62">
        <v>2023</v>
      </c>
      <c r="B2184" s="62">
        <v>2</v>
      </c>
      <c r="C2184" s="62" t="s">
        <v>7</v>
      </c>
      <c r="D2184" s="62" t="s">
        <v>3</v>
      </c>
      <c r="E2184" s="62">
        <v>394.211</v>
      </c>
      <c r="F2184" s="62">
        <v>87.317325</v>
      </c>
      <c r="I2184" s="62">
        <v>2021</v>
      </c>
      <c r="J2184" s="62">
        <v>8</v>
      </c>
      <c r="K2184" s="62" t="s">
        <v>19</v>
      </c>
      <c r="L2184" s="62" t="s">
        <v>2</v>
      </c>
      <c r="M2184" s="62">
        <v>170</v>
      </c>
      <c r="N2184" s="62">
        <v>29.75</v>
      </c>
    </row>
    <row r="2185" spans="1:14">
      <c r="A2185" s="62">
        <v>2023</v>
      </c>
      <c r="B2185" s="62">
        <v>3</v>
      </c>
      <c r="C2185" s="62" t="s">
        <v>7</v>
      </c>
      <c r="D2185" s="62" t="s">
        <v>3</v>
      </c>
      <c r="E2185" s="62">
        <v>319.7966</v>
      </c>
      <c r="F2185" s="62">
        <v>70.174155</v>
      </c>
      <c r="I2185" s="62">
        <v>2021</v>
      </c>
      <c r="J2185" s="62">
        <v>9</v>
      </c>
      <c r="K2185" s="62" t="s">
        <v>19</v>
      </c>
      <c r="L2185" s="62" t="s">
        <v>2</v>
      </c>
      <c r="M2185" s="62">
        <v>293.64</v>
      </c>
      <c r="N2185" s="62">
        <v>51.387</v>
      </c>
    </row>
    <row r="2186" spans="1:14">
      <c r="A2186" s="62">
        <v>2023</v>
      </c>
      <c r="B2186" s="62">
        <v>4</v>
      </c>
      <c r="C2186" s="62" t="s">
        <v>7</v>
      </c>
      <c r="D2186" s="62" t="s">
        <v>3</v>
      </c>
      <c r="E2186" s="62">
        <v>96.0376</v>
      </c>
      <c r="F2186" s="62">
        <v>18.993905</v>
      </c>
      <c r="I2186" s="62">
        <v>2021</v>
      </c>
      <c r="J2186" s="62">
        <v>10</v>
      </c>
      <c r="K2186" s="62" t="s">
        <v>19</v>
      </c>
      <c r="L2186" s="62" t="s">
        <v>2</v>
      </c>
      <c r="M2186" s="62">
        <v>433.9945</v>
      </c>
      <c r="N2186" s="62">
        <v>75.94903749999999</v>
      </c>
    </row>
    <row r="2187" spans="1:14">
      <c r="A2187" s="62">
        <v>2023</v>
      </c>
      <c r="B2187" s="62">
        <v>5</v>
      </c>
      <c r="C2187" s="62" t="s">
        <v>7</v>
      </c>
      <c r="D2187" s="62" t="s">
        <v>3</v>
      </c>
      <c r="E2187" s="62">
        <v>13.495</v>
      </c>
      <c r="F2187" s="62">
        <v>6.104125</v>
      </c>
      <c r="I2187" s="62">
        <v>2021</v>
      </c>
      <c r="J2187" s="62">
        <v>11</v>
      </c>
      <c r="K2187" s="62" t="s">
        <v>19</v>
      </c>
      <c r="L2187" s="62" t="s">
        <v>2</v>
      </c>
      <c r="M2187" s="62">
        <v>209.517</v>
      </c>
      <c r="N2187" s="62">
        <v>36.665475</v>
      </c>
    </row>
    <row r="2188" spans="1:14">
      <c r="A2188" s="62">
        <v>2023</v>
      </c>
      <c r="B2188" s="62">
        <v>6</v>
      </c>
      <c r="C2188" s="62" t="s">
        <v>7</v>
      </c>
      <c r="D2188" s="62" t="s">
        <v>3</v>
      </c>
      <c r="E2188" s="62">
        <v>9.2225</v>
      </c>
      <c r="F2188" s="62">
        <v>5.472125</v>
      </c>
      <c r="I2188" s="62">
        <v>2021</v>
      </c>
      <c r="J2188" s="62">
        <v>12</v>
      </c>
      <c r="K2188" s="62" t="s">
        <v>19</v>
      </c>
      <c r="L2188" s="62" t="s">
        <v>2</v>
      </c>
      <c r="M2188" s="62">
        <v>115</v>
      </c>
      <c r="N2188" s="62">
        <v>20.125</v>
      </c>
    </row>
    <row r="2189" spans="1:14">
      <c r="A2189" s="62">
        <v>2023</v>
      </c>
      <c r="B2189" s="62">
        <v>7</v>
      </c>
      <c r="C2189" s="62" t="s">
        <v>7</v>
      </c>
      <c r="D2189" s="62" t="s">
        <v>3</v>
      </c>
      <c r="E2189" s="62">
        <v>26.059</v>
      </c>
      <c r="F2189" s="62">
        <v>3.6925</v>
      </c>
      <c r="I2189" s="62">
        <v>2022</v>
      </c>
      <c r="J2189" s="62">
        <v>1</v>
      </c>
      <c r="K2189" s="62" t="s">
        <v>19</v>
      </c>
      <c r="L2189" s="62" t="s">
        <v>2</v>
      </c>
      <c r="M2189" s="62">
        <v>155.3</v>
      </c>
      <c r="N2189" s="62">
        <v>27.1775</v>
      </c>
    </row>
    <row r="2190" spans="1:14">
      <c r="A2190" s="62">
        <v>2023</v>
      </c>
      <c r="B2190" s="62">
        <v>11</v>
      </c>
      <c r="C2190" s="62" t="s">
        <v>7</v>
      </c>
      <c r="D2190" s="62" t="s">
        <v>3</v>
      </c>
      <c r="E2190" s="62">
        <v>18.951</v>
      </c>
      <c r="F2190" s="62">
        <v>3.19675</v>
      </c>
      <c r="I2190" s="62">
        <v>2022</v>
      </c>
      <c r="J2190" s="62">
        <v>2</v>
      </c>
      <c r="K2190" s="62" t="s">
        <v>19</v>
      </c>
      <c r="L2190" s="62" t="s">
        <v>2</v>
      </c>
      <c r="M2190" s="62">
        <v>232.35</v>
      </c>
      <c r="N2190" s="62">
        <v>40.66125</v>
      </c>
    </row>
    <row r="2191" spans="1:14">
      <c r="A2191" s="62">
        <v>2023</v>
      </c>
      <c r="B2191" s="62">
        <v>12</v>
      </c>
      <c r="C2191" s="62" t="s">
        <v>7</v>
      </c>
      <c r="D2191" s="62" t="s">
        <v>3</v>
      </c>
      <c r="E2191" s="62">
        <v>104.7757</v>
      </c>
      <c r="F2191" s="62">
        <v>21.3212225</v>
      </c>
      <c r="I2191" s="62">
        <v>2022</v>
      </c>
      <c r="J2191" s="62">
        <v>3</v>
      </c>
      <c r="K2191" s="62" t="s">
        <v>19</v>
      </c>
      <c r="L2191" s="62" t="s">
        <v>2</v>
      </c>
      <c r="M2191" s="62">
        <v>145.41</v>
      </c>
      <c r="N2191" s="62">
        <v>25.44675</v>
      </c>
    </row>
    <row r="2192" spans="1:14">
      <c r="A2192" s="62">
        <v>2024</v>
      </c>
      <c r="B2192" s="62">
        <v>1</v>
      </c>
      <c r="C2192" s="62" t="s">
        <v>7</v>
      </c>
      <c r="D2192" s="62" t="s">
        <v>3</v>
      </c>
      <c r="E2192" s="62">
        <v>58.4524</v>
      </c>
      <c r="F2192" s="62">
        <v>10.22917</v>
      </c>
      <c r="I2192" s="62">
        <v>2022</v>
      </c>
      <c r="J2192" s="62">
        <v>4</v>
      </c>
      <c r="K2192" s="62" t="s">
        <v>19</v>
      </c>
      <c r="L2192" s="62" t="s">
        <v>2</v>
      </c>
      <c r="M2192" s="62">
        <v>189.45</v>
      </c>
      <c r="N2192" s="62">
        <v>33.15375</v>
      </c>
    </row>
    <row r="2193" spans="1:14">
      <c r="A2193" s="62">
        <v>2024</v>
      </c>
      <c r="B2193" s="62">
        <v>2</v>
      </c>
      <c r="C2193" s="62" t="s">
        <v>7</v>
      </c>
      <c r="D2193" s="62" t="s">
        <v>3</v>
      </c>
      <c r="E2193" s="62">
        <v>119.466</v>
      </c>
      <c r="F2193" s="62">
        <v>15.9872</v>
      </c>
      <c r="I2193" s="62">
        <v>2022</v>
      </c>
      <c r="J2193" s="62">
        <v>5</v>
      </c>
      <c r="K2193" s="62" t="s">
        <v>19</v>
      </c>
      <c r="L2193" s="62" t="s">
        <v>2</v>
      </c>
      <c r="M2193" s="62">
        <v>259.9</v>
      </c>
      <c r="N2193" s="62">
        <v>45.4825</v>
      </c>
    </row>
    <row r="2194" spans="1:14">
      <c r="A2194" s="62">
        <v>2024</v>
      </c>
      <c r="B2194" s="62">
        <v>3</v>
      </c>
      <c r="C2194" s="62" t="s">
        <v>7</v>
      </c>
      <c r="D2194" s="62" t="s">
        <v>3</v>
      </c>
      <c r="E2194" s="62">
        <v>64.0038</v>
      </c>
      <c r="F2194" s="62">
        <v>9.895565</v>
      </c>
      <c r="I2194" s="62">
        <v>2022</v>
      </c>
      <c r="J2194" s="62">
        <v>6</v>
      </c>
      <c r="K2194" s="62" t="s">
        <v>19</v>
      </c>
      <c r="L2194" s="62" t="s">
        <v>2</v>
      </c>
      <c r="M2194" s="62">
        <v>191.22</v>
      </c>
      <c r="N2194" s="62">
        <v>33.4635</v>
      </c>
    </row>
    <row r="2195" spans="1:14">
      <c r="A2195" s="62">
        <v>2024</v>
      </c>
      <c r="B2195" s="62">
        <v>4</v>
      </c>
      <c r="C2195" s="62" t="s">
        <v>7</v>
      </c>
      <c r="D2195" s="62" t="s">
        <v>3</v>
      </c>
      <c r="E2195" s="62">
        <v>21.064</v>
      </c>
      <c r="F2195" s="62">
        <v>6.85675</v>
      </c>
      <c r="I2195" s="62">
        <v>2022</v>
      </c>
      <c r="J2195" s="62">
        <v>7</v>
      </c>
      <c r="K2195" s="62" t="s">
        <v>19</v>
      </c>
      <c r="L2195" s="62" t="s">
        <v>2</v>
      </c>
      <c r="M2195" s="62">
        <v>241.45</v>
      </c>
      <c r="N2195" s="62">
        <v>42.25375</v>
      </c>
    </row>
    <row r="2196" spans="1:14">
      <c r="A2196" s="62">
        <v>2024</v>
      </c>
      <c r="B2196" s="62">
        <v>5</v>
      </c>
      <c r="C2196" s="62" t="s">
        <v>7</v>
      </c>
      <c r="D2196" s="62" t="s">
        <v>3</v>
      </c>
      <c r="E2196" s="62">
        <v>3.293</v>
      </c>
      <c r="F2196" s="62">
        <v>0.76725</v>
      </c>
      <c r="I2196" s="62">
        <v>2022</v>
      </c>
      <c r="J2196" s="62">
        <v>8</v>
      </c>
      <c r="K2196" s="62" t="s">
        <v>19</v>
      </c>
      <c r="L2196" s="62" t="s">
        <v>2</v>
      </c>
      <c r="M2196" s="62">
        <v>317.064</v>
      </c>
      <c r="N2196" s="62">
        <v>55.4862</v>
      </c>
    </row>
    <row r="2197" spans="1:14">
      <c r="A2197" s="62">
        <v>2024</v>
      </c>
      <c r="B2197" s="62">
        <v>6</v>
      </c>
      <c r="C2197" s="62" t="s">
        <v>7</v>
      </c>
      <c r="D2197" s="62" t="s">
        <v>3</v>
      </c>
      <c r="E2197" s="62">
        <v>11.328</v>
      </c>
      <c r="F2197" s="62">
        <v>0</v>
      </c>
      <c r="I2197" s="62">
        <v>2022</v>
      </c>
      <c r="J2197" s="62">
        <v>9</v>
      </c>
      <c r="K2197" s="62" t="s">
        <v>19</v>
      </c>
      <c r="L2197" s="62" t="s">
        <v>2</v>
      </c>
      <c r="M2197" s="62">
        <v>251.6526</v>
      </c>
      <c r="N2197" s="62">
        <v>44.039205</v>
      </c>
    </row>
    <row r="2198" spans="1:14">
      <c r="A2198" s="62">
        <v>2024</v>
      </c>
      <c r="B2198" s="62">
        <v>7</v>
      </c>
      <c r="C2198" s="62" t="s">
        <v>7</v>
      </c>
      <c r="D2198" s="62" t="s">
        <v>3</v>
      </c>
      <c r="E2198" s="62">
        <v>23.131</v>
      </c>
      <c r="F2198" s="62">
        <v>5.67465</v>
      </c>
      <c r="I2198" s="62">
        <v>2022</v>
      </c>
      <c r="J2198" s="62">
        <v>10</v>
      </c>
      <c r="K2198" s="62" t="s">
        <v>19</v>
      </c>
      <c r="L2198" s="62" t="s">
        <v>2</v>
      </c>
      <c r="M2198" s="62">
        <v>426.7205</v>
      </c>
      <c r="N2198" s="62">
        <v>74.67608749999999</v>
      </c>
    </row>
    <row r="2199" spans="1:14">
      <c r="A2199" s="62">
        <v>2024</v>
      </c>
      <c r="B2199" s="62">
        <v>8</v>
      </c>
      <c r="C2199" s="62" t="s">
        <v>7</v>
      </c>
      <c r="D2199" s="62" t="s">
        <v>3</v>
      </c>
      <c r="E2199" s="62">
        <v>23.3254</v>
      </c>
      <c r="F2199" s="62">
        <v>12.91836</v>
      </c>
      <c r="I2199" s="62">
        <v>2022</v>
      </c>
      <c r="J2199" s="62">
        <v>11</v>
      </c>
      <c r="K2199" s="62" t="s">
        <v>19</v>
      </c>
      <c r="L2199" s="62" t="s">
        <v>2</v>
      </c>
      <c r="M2199" s="62">
        <v>186.9</v>
      </c>
      <c r="N2199" s="62">
        <v>32.7075</v>
      </c>
    </row>
    <row r="2200" spans="1:14">
      <c r="A2200" s="62">
        <v>2024</v>
      </c>
      <c r="B2200" s="62">
        <v>9</v>
      </c>
      <c r="C2200" s="62" t="s">
        <v>7</v>
      </c>
      <c r="D2200" s="62" t="s">
        <v>3</v>
      </c>
      <c r="E2200" s="62">
        <v>12.361</v>
      </c>
      <c r="F2200" s="62">
        <v>1.591275</v>
      </c>
      <c r="I2200" s="62">
        <v>2022</v>
      </c>
      <c r="J2200" s="62">
        <v>12</v>
      </c>
      <c r="K2200" s="62" t="s">
        <v>19</v>
      </c>
      <c r="L2200" s="62" t="s">
        <v>2</v>
      </c>
      <c r="M2200" s="62">
        <v>225.783</v>
      </c>
      <c r="N2200" s="62">
        <v>39.512025</v>
      </c>
    </row>
    <row r="2201" spans="1:14">
      <c r="A2201" s="62">
        <v>2024</v>
      </c>
      <c r="B2201" s="62">
        <v>10</v>
      </c>
      <c r="C2201" s="62" t="s">
        <v>7</v>
      </c>
      <c r="D2201" s="62" t="s">
        <v>3</v>
      </c>
      <c r="E2201" s="62">
        <v>13.913</v>
      </c>
      <c r="F2201" s="62">
        <v>4.69365</v>
      </c>
      <c r="I2201" s="62">
        <v>2023</v>
      </c>
      <c r="J2201" s="62">
        <v>1</v>
      </c>
      <c r="K2201" s="62" t="s">
        <v>19</v>
      </c>
      <c r="L2201" s="62" t="s">
        <v>2</v>
      </c>
      <c r="M2201" s="62">
        <v>319.7645</v>
      </c>
      <c r="N2201" s="62">
        <v>55.9587875</v>
      </c>
    </row>
    <row r="2202" spans="1:14">
      <c r="A2202" s="62">
        <v>2024</v>
      </c>
      <c r="B2202" s="62">
        <v>11</v>
      </c>
      <c r="C2202" s="62" t="s">
        <v>7</v>
      </c>
      <c r="D2202" s="62" t="s">
        <v>3</v>
      </c>
      <c r="E2202" s="62">
        <v>6.975</v>
      </c>
      <c r="F2202" s="62">
        <v>1.37025</v>
      </c>
      <c r="I2202" s="62">
        <v>2023</v>
      </c>
      <c r="J2202" s="62">
        <v>2</v>
      </c>
      <c r="K2202" s="62" t="s">
        <v>19</v>
      </c>
      <c r="L2202" s="62" t="s">
        <v>2</v>
      </c>
      <c r="M2202" s="62">
        <v>416.452</v>
      </c>
      <c r="N2202" s="62">
        <v>72.87909999999999</v>
      </c>
    </row>
    <row r="2203" spans="1:14">
      <c r="A2203" s="62">
        <v>2024</v>
      </c>
      <c r="B2203" s="62">
        <v>12</v>
      </c>
      <c r="C2203" s="62" t="s">
        <v>7</v>
      </c>
      <c r="D2203" s="62" t="s">
        <v>3</v>
      </c>
      <c r="E2203" s="62">
        <v>44.4628</v>
      </c>
      <c r="F2203" s="62">
        <v>14.64334</v>
      </c>
      <c r="I2203" s="62">
        <v>2023</v>
      </c>
      <c r="J2203" s="62">
        <v>3</v>
      </c>
      <c r="K2203" s="62" t="s">
        <v>19</v>
      </c>
      <c r="L2203" s="62" t="s">
        <v>2</v>
      </c>
      <c r="M2203" s="62">
        <v>365.44</v>
      </c>
      <c r="N2203" s="62">
        <v>63.952</v>
      </c>
    </row>
    <row r="2204" spans="1:14">
      <c r="A2204" s="62">
        <v>2025</v>
      </c>
      <c r="B2204" s="62">
        <v>1</v>
      </c>
      <c r="C2204" s="62" t="s">
        <v>7</v>
      </c>
      <c r="D2204" s="62" t="s">
        <v>3</v>
      </c>
      <c r="E2204" s="62">
        <v>63.17959999999999</v>
      </c>
      <c r="F2204" s="62">
        <v>9.350429999999999</v>
      </c>
      <c r="I2204" s="62">
        <v>2023</v>
      </c>
      <c r="J2204" s="62">
        <v>4</v>
      </c>
      <c r="K2204" s="62" t="s">
        <v>19</v>
      </c>
      <c r="L2204" s="62" t="s">
        <v>2</v>
      </c>
      <c r="M2204" s="62">
        <v>317.355</v>
      </c>
      <c r="N2204" s="62">
        <v>55.537125</v>
      </c>
    </row>
    <row r="2205" spans="1:14">
      <c r="A2205" s="62">
        <v>2025</v>
      </c>
      <c r="B2205" s="62">
        <v>2</v>
      </c>
      <c r="C2205" s="62" t="s">
        <v>7</v>
      </c>
      <c r="D2205" s="62" t="s">
        <v>3</v>
      </c>
      <c r="E2205" s="62">
        <v>29.0716</v>
      </c>
      <c r="F2205" s="62">
        <v>6.76798</v>
      </c>
      <c r="I2205" s="62">
        <v>2023</v>
      </c>
      <c r="J2205" s="62">
        <v>5</v>
      </c>
      <c r="K2205" s="62" t="s">
        <v>19</v>
      </c>
      <c r="L2205" s="62" t="s">
        <v>2</v>
      </c>
      <c r="M2205" s="62">
        <v>238.12</v>
      </c>
      <c r="N2205" s="62">
        <v>41.671</v>
      </c>
    </row>
    <row r="2206" spans="1:14">
      <c r="A2206" s="62">
        <v>2025</v>
      </c>
      <c r="B2206" s="62">
        <v>3</v>
      </c>
      <c r="C2206" s="62" t="s">
        <v>7</v>
      </c>
      <c r="D2206" s="62" t="s">
        <v>3</v>
      </c>
      <c r="E2206" s="62">
        <v>64.9425</v>
      </c>
      <c r="F2206" s="62">
        <v>12.9618125</v>
      </c>
      <c r="I2206" s="62">
        <v>2023</v>
      </c>
      <c r="J2206" s="62">
        <v>6</v>
      </c>
      <c r="K2206" s="62" t="s">
        <v>19</v>
      </c>
      <c r="L2206" s="62" t="s">
        <v>2</v>
      </c>
      <c r="M2206" s="62">
        <v>75.25</v>
      </c>
      <c r="N2206" s="62">
        <v>13.16875</v>
      </c>
    </row>
    <row r="2207" spans="1:14">
      <c r="A2207" s="62">
        <v>2025</v>
      </c>
      <c r="B2207" s="62">
        <v>4</v>
      </c>
      <c r="C2207" s="62" t="s">
        <v>7</v>
      </c>
      <c r="D2207" s="62" t="s">
        <v>3</v>
      </c>
      <c r="E2207" s="62">
        <v>69.866</v>
      </c>
      <c r="F2207" s="62">
        <v>13.54075</v>
      </c>
      <c r="I2207" s="62">
        <v>2023</v>
      </c>
      <c r="J2207" s="62">
        <v>7</v>
      </c>
      <c r="K2207" s="62" t="s">
        <v>19</v>
      </c>
      <c r="L2207" s="62" t="s">
        <v>2</v>
      </c>
      <c r="M2207" s="62">
        <v>21.802</v>
      </c>
      <c r="N2207" s="62">
        <v>3.81535</v>
      </c>
    </row>
    <row r="2208" spans="1:14">
      <c r="A2208" s="62">
        <v>2025</v>
      </c>
      <c r="B2208" s="62">
        <v>5</v>
      </c>
      <c r="C2208" s="62" t="s">
        <v>7</v>
      </c>
      <c r="D2208" s="62" t="s">
        <v>3</v>
      </c>
      <c r="E2208" s="62">
        <v>12.735</v>
      </c>
      <c r="F2208" s="62">
        <v>2.000925</v>
      </c>
      <c r="I2208" s="62">
        <v>2023</v>
      </c>
      <c r="J2208" s="62">
        <v>8</v>
      </c>
      <c r="K2208" s="62" t="s">
        <v>19</v>
      </c>
      <c r="L2208" s="62" t="s">
        <v>2</v>
      </c>
      <c r="M2208" s="62">
        <v>46.8</v>
      </c>
      <c r="N2208" s="62">
        <v>8.19</v>
      </c>
    </row>
    <row r="2209" spans="1:14">
      <c r="A2209" s="62">
        <v>2025</v>
      </c>
      <c r="B2209" s="62">
        <v>6</v>
      </c>
      <c r="C2209" s="62" t="s">
        <v>7</v>
      </c>
      <c r="D2209" s="62" t="s">
        <v>3</v>
      </c>
      <c r="E2209" s="62">
        <v>6.153</v>
      </c>
      <c r="F2209" s="62">
        <v>2.2334</v>
      </c>
      <c r="I2209" s="62">
        <v>2023</v>
      </c>
      <c r="J2209" s="62">
        <v>9</v>
      </c>
      <c r="K2209" s="62" t="s">
        <v>19</v>
      </c>
      <c r="L2209" s="62" t="s">
        <v>2</v>
      </c>
      <c r="M2209" s="62">
        <v>135.5682</v>
      </c>
      <c r="N2209" s="62">
        <v>23.724435</v>
      </c>
    </row>
    <row r="2210" spans="1:14">
      <c r="A2210" s="62">
        <v>2025</v>
      </c>
      <c r="B2210" s="62">
        <v>7</v>
      </c>
      <c r="C2210" s="62" t="s">
        <v>7</v>
      </c>
      <c r="D2210" s="62" t="s">
        <v>3</v>
      </c>
      <c r="E2210" s="62">
        <v>90.94200000000001</v>
      </c>
      <c r="F2210" s="62">
        <v>23.384225</v>
      </c>
      <c r="I2210" s="62">
        <v>2023</v>
      </c>
      <c r="J2210" s="62">
        <v>10</v>
      </c>
      <c r="K2210" s="62" t="s">
        <v>19</v>
      </c>
      <c r="L2210" s="62" t="s">
        <v>2</v>
      </c>
      <c r="M2210" s="62">
        <v>434.924</v>
      </c>
      <c r="N2210" s="62">
        <v>76.1117</v>
      </c>
    </row>
    <row r="2211" spans="1:14">
      <c r="A2211" s="62">
        <v>2025</v>
      </c>
      <c r="B2211" s="62">
        <v>8</v>
      </c>
      <c r="C2211" s="62" t="s">
        <v>7</v>
      </c>
      <c r="D2211" s="62" t="s">
        <v>3</v>
      </c>
      <c r="E2211" s="62">
        <v>1</v>
      </c>
      <c r="F2211" s="62">
        <v>0.2</v>
      </c>
      <c r="I2211" s="62">
        <v>2023</v>
      </c>
      <c r="J2211" s="62">
        <v>11</v>
      </c>
      <c r="K2211" s="62" t="s">
        <v>19</v>
      </c>
      <c r="L2211" s="62" t="s">
        <v>2</v>
      </c>
      <c r="M2211" s="62">
        <v>111.469</v>
      </c>
      <c r="N2211" s="62">
        <v>19.507075</v>
      </c>
    </row>
    <row r="2212" spans="1:14">
      <c r="A2212" s="62">
        <v>2025</v>
      </c>
      <c r="B2212" s="62">
        <v>9</v>
      </c>
      <c r="C2212" s="62" t="s">
        <v>7</v>
      </c>
      <c r="D2212" s="62" t="s">
        <v>3</v>
      </c>
      <c r="E2212" s="62">
        <v>3.26</v>
      </c>
      <c r="F2212" s="62">
        <v>0.54</v>
      </c>
      <c r="I2212" s="62">
        <v>2023</v>
      </c>
      <c r="J2212" s="62">
        <v>12</v>
      </c>
      <c r="K2212" s="62" t="s">
        <v>19</v>
      </c>
      <c r="L2212" s="62" t="s">
        <v>2</v>
      </c>
      <c r="M2212" s="62">
        <v>4.68</v>
      </c>
      <c r="N2212" s="62">
        <v>0.819</v>
      </c>
    </row>
    <row r="2213" spans="1:14">
      <c r="A2213" s="62">
        <v>2025</v>
      </c>
      <c r="B2213" s="62">
        <v>10</v>
      </c>
      <c r="C2213" s="62" t="s">
        <v>7</v>
      </c>
      <c r="D2213" s="62" t="s">
        <v>3</v>
      </c>
      <c r="E2213" s="62">
        <v>19.405</v>
      </c>
      <c r="F2213" s="62">
        <v>5.87075</v>
      </c>
      <c r="I2213" s="62">
        <v>2024</v>
      </c>
      <c r="J2213" s="62">
        <v>1</v>
      </c>
      <c r="K2213" s="62" t="s">
        <v>19</v>
      </c>
      <c r="L2213" s="62" t="s">
        <v>2</v>
      </c>
      <c r="M2213" s="62">
        <v>365.138</v>
      </c>
      <c r="N2213" s="62">
        <v>63.89915</v>
      </c>
    </row>
    <row r="2214" spans="1:14">
      <c r="A2214" s="62">
        <v>2025</v>
      </c>
      <c r="B2214" s="62">
        <v>11</v>
      </c>
      <c r="C2214" s="62" t="s">
        <v>7</v>
      </c>
      <c r="D2214" s="62" t="s">
        <v>3</v>
      </c>
      <c r="E2214" s="62">
        <v>6.545</v>
      </c>
      <c r="F2214" s="62">
        <v>0.60375</v>
      </c>
      <c r="I2214" s="62">
        <v>2024</v>
      </c>
      <c r="J2214" s="62">
        <v>2</v>
      </c>
      <c r="K2214" s="62" t="s">
        <v>19</v>
      </c>
      <c r="L2214" s="62" t="s">
        <v>2</v>
      </c>
      <c r="M2214" s="62">
        <v>477.23</v>
      </c>
      <c r="N2214" s="62">
        <v>83.51524999999999</v>
      </c>
    </row>
    <row r="2215" spans="1:14">
      <c r="A2215" s="62">
        <v>2025</v>
      </c>
      <c r="B2215" s="62">
        <v>12</v>
      </c>
      <c r="C2215" s="62" t="s">
        <v>7</v>
      </c>
      <c r="D2215" s="62" t="s">
        <v>3</v>
      </c>
      <c r="E2215" s="62">
        <v>14.089</v>
      </c>
      <c r="F2215" s="62">
        <v>3.58195</v>
      </c>
      <c r="I2215" s="62">
        <v>2024</v>
      </c>
      <c r="J2215" s="62">
        <v>3</v>
      </c>
      <c r="K2215" s="62" t="s">
        <v>19</v>
      </c>
      <c r="L2215" s="62" t="s">
        <v>2</v>
      </c>
      <c r="M2215" s="62">
        <v>156.246</v>
      </c>
      <c r="N2215" s="62">
        <v>27.34305</v>
      </c>
    </row>
    <row r="2216" spans="1:14">
      <c r="A2216" s="62">
        <v>2026</v>
      </c>
      <c r="B2216" s="62">
        <v>2</v>
      </c>
      <c r="C2216" s="62" t="s">
        <v>7</v>
      </c>
      <c r="D2216" s="62" t="s">
        <v>3</v>
      </c>
      <c r="E2216" s="62">
        <v>27.512</v>
      </c>
      <c r="F2216" s="62">
        <v>7.358625</v>
      </c>
      <c r="I2216" s="62">
        <v>2024</v>
      </c>
      <c r="J2216" s="62">
        <v>4</v>
      </c>
      <c r="K2216" s="62" t="s">
        <v>19</v>
      </c>
      <c r="L2216" s="62" t="s">
        <v>2</v>
      </c>
      <c r="M2216" s="62">
        <v>201.242</v>
      </c>
      <c r="N2216" s="62">
        <v>35.21735</v>
      </c>
    </row>
    <row r="2217" spans="1:14">
      <c r="A2217" s="62">
        <v>2026</v>
      </c>
      <c r="B2217" s="62">
        <v>3</v>
      </c>
      <c r="C2217" s="62" t="s">
        <v>7</v>
      </c>
      <c r="D2217" s="62" t="s">
        <v>3</v>
      </c>
      <c r="E2217" s="62">
        <v>20.374</v>
      </c>
      <c r="F2217" s="62">
        <v>3.54775</v>
      </c>
      <c r="I2217" s="62">
        <v>2024</v>
      </c>
      <c r="J2217" s="62">
        <v>5</v>
      </c>
      <c r="K2217" s="62" t="s">
        <v>19</v>
      </c>
      <c r="L2217" s="62" t="s">
        <v>2</v>
      </c>
      <c r="M2217" s="62">
        <v>70.95</v>
      </c>
      <c r="N2217" s="62">
        <v>12.41625</v>
      </c>
    </row>
    <row r="2218" spans="1:14">
      <c r="A2218" s="62">
        <v>2026</v>
      </c>
      <c r="B2218" s="62">
        <v>4</v>
      </c>
      <c r="C2218" s="62" t="s">
        <v>7</v>
      </c>
      <c r="D2218" s="62" t="s">
        <v>3</v>
      </c>
      <c r="E2218" s="62">
        <v>34.52500000000001</v>
      </c>
      <c r="F2218" s="62">
        <v>17.4477</v>
      </c>
      <c r="I2218" s="62">
        <v>2024</v>
      </c>
      <c r="J2218" s="62">
        <v>6</v>
      </c>
      <c r="K2218" s="62" t="s">
        <v>19</v>
      </c>
      <c r="L2218" s="62" t="s">
        <v>2</v>
      </c>
      <c r="M2218" s="62">
        <v>12.4215</v>
      </c>
      <c r="N2218" s="62">
        <v>2.1737625</v>
      </c>
    </row>
    <row r="2219" spans="1:14">
      <c r="A2219" s="62">
        <v>2026</v>
      </c>
      <c r="B2219" s="62">
        <v>5</v>
      </c>
      <c r="C2219" s="62" t="s">
        <v>7</v>
      </c>
      <c r="D2219" s="62" t="s">
        <v>3</v>
      </c>
      <c r="E2219" s="62">
        <v>75.6664</v>
      </c>
      <c r="F2219" s="62">
        <v>26.448195</v>
      </c>
      <c r="I2219" s="62">
        <v>2024</v>
      </c>
      <c r="J2219" s="62">
        <v>7</v>
      </c>
      <c r="K2219" s="62" t="s">
        <v>19</v>
      </c>
      <c r="L2219" s="62" t="s">
        <v>2</v>
      </c>
      <c r="M2219" s="62">
        <v>13.5</v>
      </c>
      <c r="N2219" s="62">
        <v>2.3625</v>
      </c>
    </row>
    <row r="2220" spans="1:14">
      <c r="A2220" s="62">
        <v>2026</v>
      </c>
      <c r="B2220" s="62">
        <v>6</v>
      </c>
      <c r="C2220" s="62" t="s">
        <v>7</v>
      </c>
      <c r="D2220" s="62" t="s">
        <v>3</v>
      </c>
      <c r="E2220" s="62">
        <v>10.17</v>
      </c>
      <c r="F2220" s="62">
        <v>2.925</v>
      </c>
      <c r="I2220" s="62">
        <v>2024</v>
      </c>
      <c r="J2220" s="62">
        <v>8</v>
      </c>
      <c r="K2220" s="62" t="s">
        <v>19</v>
      </c>
      <c r="L2220" s="62" t="s">
        <v>2</v>
      </c>
      <c r="M2220" s="62">
        <v>29.1</v>
      </c>
      <c r="N2220" s="62">
        <v>5.0925</v>
      </c>
    </row>
    <row r="2221" spans="1:14">
      <c r="A2221" s="62">
        <v>2026</v>
      </c>
      <c r="B2221" s="62">
        <v>7</v>
      </c>
      <c r="C2221" s="62" t="s">
        <v>7</v>
      </c>
      <c r="D2221" s="62" t="s">
        <v>3</v>
      </c>
      <c r="E2221" s="62">
        <v>4.83</v>
      </c>
      <c r="F2221" s="62">
        <v>0</v>
      </c>
      <c r="I2221" s="62">
        <v>2024</v>
      </c>
      <c r="J2221" s="62">
        <v>9</v>
      </c>
      <c r="K2221" s="62" t="s">
        <v>19</v>
      </c>
      <c r="L2221" s="62" t="s">
        <v>2</v>
      </c>
      <c r="M2221" s="62">
        <v>90.7539</v>
      </c>
      <c r="N2221" s="62">
        <v>15.8819325</v>
      </c>
    </row>
    <row r="2222" spans="1:14">
      <c r="A2222" s="62">
        <v>2014</v>
      </c>
      <c r="B2222" s="62">
        <v>1</v>
      </c>
      <c r="C2222" s="62" t="s">
        <v>8</v>
      </c>
      <c r="D2222" s="62" t="s">
        <v>1</v>
      </c>
      <c r="E2222" s="62">
        <v>245.727</v>
      </c>
      <c r="F2222" s="62">
        <v>56.54725</v>
      </c>
      <c r="I2222" s="62">
        <v>2024</v>
      </c>
      <c r="J2222" s="62">
        <v>10</v>
      </c>
      <c r="K2222" s="62" t="s">
        <v>19</v>
      </c>
      <c r="L2222" s="62" t="s">
        <v>2</v>
      </c>
      <c r="M2222" s="62">
        <v>103.7685</v>
      </c>
      <c r="N2222" s="62">
        <v>18.1594875</v>
      </c>
    </row>
    <row r="2223" spans="1:14">
      <c r="A2223" s="62">
        <v>2014</v>
      </c>
      <c r="B2223" s="62">
        <v>2</v>
      </c>
      <c r="C2223" s="62" t="s">
        <v>8</v>
      </c>
      <c r="D2223" s="62" t="s">
        <v>1</v>
      </c>
      <c r="E2223" s="62">
        <v>706.312</v>
      </c>
      <c r="F2223" s="62">
        <v>148.532</v>
      </c>
      <c r="I2223" s="62">
        <v>2024</v>
      </c>
      <c r="J2223" s="62">
        <v>11</v>
      </c>
      <c r="K2223" s="62" t="s">
        <v>19</v>
      </c>
      <c r="L2223" s="62" t="s">
        <v>2</v>
      </c>
      <c r="M2223" s="62">
        <v>59.9031</v>
      </c>
      <c r="N2223" s="62">
        <v>10.4830425</v>
      </c>
    </row>
    <row r="2224" spans="1:14">
      <c r="A2224" s="62">
        <v>2014</v>
      </c>
      <c r="B2224" s="62">
        <v>3</v>
      </c>
      <c r="C2224" s="62" t="s">
        <v>8</v>
      </c>
      <c r="D2224" s="62" t="s">
        <v>1</v>
      </c>
      <c r="E2224" s="62">
        <v>529.45</v>
      </c>
      <c r="F2224" s="62">
        <v>134.1315</v>
      </c>
      <c r="I2224" s="62">
        <v>2024</v>
      </c>
      <c r="J2224" s="62">
        <v>12</v>
      </c>
      <c r="K2224" s="62" t="s">
        <v>19</v>
      </c>
      <c r="L2224" s="62" t="s">
        <v>2</v>
      </c>
      <c r="M2224" s="62">
        <v>0.72</v>
      </c>
      <c r="N2224" s="62">
        <v>0.126</v>
      </c>
    </row>
    <row r="2225" spans="1:14">
      <c r="A2225" s="62">
        <v>2014</v>
      </c>
      <c r="B2225" s="62">
        <v>4</v>
      </c>
      <c r="C2225" s="62" t="s">
        <v>8</v>
      </c>
      <c r="D2225" s="62" t="s">
        <v>1</v>
      </c>
      <c r="E2225" s="62">
        <v>504.385</v>
      </c>
      <c r="F2225" s="62">
        <v>93.86425</v>
      </c>
      <c r="I2225" s="62">
        <v>2025</v>
      </c>
      <c r="J2225" s="62">
        <v>1</v>
      </c>
      <c r="K2225" s="62" t="s">
        <v>19</v>
      </c>
      <c r="L2225" s="62" t="s">
        <v>2</v>
      </c>
      <c r="M2225" s="62">
        <v>331.8493</v>
      </c>
      <c r="N2225" s="62">
        <v>58.07362749999999</v>
      </c>
    </row>
    <row r="2226" spans="1:14">
      <c r="A2226" s="62">
        <v>2014</v>
      </c>
      <c r="B2226" s="62">
        <v>5</v>
      </c>
      <c r="C2226" s="62" t="s">
        <v>8</v>
      </c>
      <c r="D2226" s="62" t="s">
        <v>1</v>
      </c>
      <c r="E2226" s="62">
        <v>548.26</v>
      </c>
      <c r="F2226" s="62">
        <v>98.44374999999999</v>
      </c>
      <c r="I2226" s="62">
        <v>2025</v>
      </c>
      <c r="J2226" s="62">
        <v>2</v>
      </c>
      <c r="K2226" s="62" t="s">
        <v>19</v>
      </c>
      <c r="L2226" s="62" t="s">
        <v>2</v>
      </c>
      <c r="M2226" s="62">
        <v>431.0357</v>
      </c>
      <c r="N2226" s="62">
        <v>75.4312475</v>
      </c>
    </row>
    <row r="2227" spans="1:14">
      <c r="A2227" s="62">
        <v>2014</v>
      </c>
      <c r="B2227" s="62">
        <v>6</v>
      </c>
      <c r="C2227" s="62" t="s">
        <v>8</v>
      </c>
      <c r="D2227" s="62" t="s">
        <v>1</v>
      </c>
      <c r="E2227" s="62">
        <v>483.245</v>
      </c>
      <c r="F2227" s="62">
        <v>102.49575</v>
      </c>
      <c r="I2227" s="62">
        <v>2025</v>
      </c>
      <c r="J2227" s="62">
        <v>3</v>
      </c>
      <c r="K2227" s="62" t="s">
        <v>19</v>
      </c>
      <c r="L2227" s="62" t="s">
        <v>2</v>
      </c>
      <c r="M2227" s="62">
        <v>264.615</v>
      </c>
      <c r="N2227" s="62">
        <v>46.30762499999999</v>
      </c>
    </row>
    <row r="2228" spans="1:14">
      <c r="A2228" s="62">
        <v>2014</v>
      </c>
      <c r="B2228" s="62">
        <v>7</v>
      </c>
      <c r="C2228" s="62" t="s">
        <v>8</v>
      </c>
      <c r="D2228" s="62" t="s">
        <v>1</v>
      </c>
      <c r="E2228" s="62">
        <v>83.14</v>
      </c>
      <c r="F2228" s="62">
        <v>33.82575</v>
      </c>
      <c r="I2228" s="62">
        <v>2025</v>
      </c>
      <c r="J2228" s="62">
        <v>4</v>
      </c>
      <c r="K2228" s="62" t="s">
        <v>19</v>
      </c>
      <c r="L2228" s="62" t="s">
        <v>2</v>
      </c>
      <c r="M2228" s="62">
        <v>315.925</v>
      </c>
      <c r="N2228" s="62">
        <v>55.286875</v>
      </c>
    </row>
    <row r="2229" spans="1:14">
      <c r="A2229" s="62">
        <v>2014</v>
      </c>
      <c r="B2229" s="62">
        <v>8</v>
      </c>
      <c r="C2229" s="62" t="s">
        <v>8</v>
      </c>
      <c r="D2229" s="62" t="s">
        <v>1</v>
      </c>
      <c r="E2229" s="62">
        <v>65.26000000000001</v>
      </c>
      <c r="F2229" s="62">
        <v>15.6465</v>
      </c>
      <c r="I2229" s="62">
        <v>2025</v>
      </c>
      <c r="J2229" s="62">
        <v>5</v>
      </c>
      <c r="K2229" s="62" t="s">
        <v>19</v>
      </c>
      <c r="L2229" s="62" t="s">
        <v>2</v>
      </c>
      <c r="M2229" s="62">
        <v>76.96000000000001</v>
      </c>
      <c r="N2229" s="62">
        <v>13.468</v>
      </c>
    </row>
    <row r="2230" spans="1:14">
      <c r="A2230" s="62">
        <v>2014</v>
      </c>
      <c r="B2230" s="62">
        <v>9</v>
      </c>
      <c r="C2230" s="62" t="s">
        <v>8</v>
      </c>
      <c r="D2230" s="62" t="s">
        <v>1</v>
      </c>
      <c r="E2230" s="62">
        <v>144.902</v>
      </c>
      <c r="F2230" s="62">
        <v>26.881</v>
      </c>
      <c r="I2230" s="62">
        <v>2025</v>
      </c>
      <c r="J2230" s="62">
        <v>6</v>
      </c>
      <c r="K2230" s="62" t="s">
        <v>19</v>
      </c>
      <c r="L2230" s="62" t="s">
        <v>2</v>
      </c>
      <c r="M2230" s="62">
        <v>40.355</v>
      </c>
      <c r="N2230" s="62">
        <v>7.062124999999999</v>
      </c>
    </row>
    <row r="2231" spans="1:14">
      <c r="A2231" s="62">
        <v>2014</v>
      </c>
      <c r="B2231" s="62">
        <v>10</v>
      </c>
      <c r="C2231" s="62" t="s">
        <v>8</v>
      </c>
      <c r="D2231" s="62" t="s">
        <v>1</v>
      </c>
      <c r="E2231" s="62">
        <v>184.188</v>
      </c>
      <c r="F2231" s="62">
        <v>26.5384</v>
      </c>
      <c r="I2231" s="62">
        <v>2025</v>
      </c>
      <c r="J2231" s="62">
        <v>7</v>
      </c>
      <c r="K2231" s="62" t="s">
        <v>19</v>
      </c>
      <c r="L2231" s="62" t="s">
        <v>2</v>
      </c>
      <c r="M2231" s="62">
        <v>25.92</v>
      </c>
      <c r="N2231" s="62">
        <v>4.536</v>
      </c>
    </row>
    <row r="2232" spans="1:14">
      <c r="A2232" s="62">
        <v>2014</v>
      </c>
      <c r="B2232" s="62">
        <v>11</v>
      </c>
      <c r="C2232" s="62" t="s">
        <v>8</v>
      </c>
      <c r="D2232" s="62" t="s">
        <v>1</v>
      </c>
      <c r="E2232" s="62">
        <v>167.247</v>
      </c>
      <c r="F2232" s="62">
        <v>26.65545</v>
      </c>
      <c r="I2232" s="62">
        <v>2025</v>
      </c>
      <c r="J2232" s="62">
        <v>8</v>
      </c>
      <c r="K2232" s="62" t="s">
        <v>19</v>
      </c>
      <c r="L2232" s="62" t="s">
        <v>2</v>
      </c>
      <c r="M2232" s="62">
        <v>32</v>
      </c>
      <c r="N2232" s="62">
        <v>5.6</v>
      </c>
    </row>
    <row r="2233" spans="1:14">
      <c r="A2233" s="62">
        <v>2014</v>
      </c>
      <c r="B2233" s="62">
        <v>12</v>
      </c>
      <c r="C2233" s="62" t="s">
        <v>8</v>
      </c>
      <c r="D2233" s="62" t="s">
        <v>1</v>
      </c>
      <c r="E2233" s="62">
        <v>45.81</v>
      </c>
      <c r="F2233" s="62">
        <v>2.695</v>
      </c>
      <c r="I2233" s="62">
        <v>2025</v>
      </c>
      <c r="J2233" s="62">
        <v>9</v>
      </c>
      <c r="K2233" s="62" t="s">
        <v>19</v>
      </c>
      <c r="L2233" s="62" t="s">
        <v>2</v>
      </c>
      <c r="M2233" s="62">
        <v>237.21</v>
      </c>
      <c r="N2233" s="62">
        <v>41.51175</v>
      </c>
    </row>
    <row r="2234" spans="1:14">
      <c r="A2234" s="62">
        <v>2015</v>
      </c>
      <c r="B2234" s="62">
        <v>1</v>
      </c>
      <c r="C2234" s="62" t="s">
        <v>8</v>
      </c>
      <c r="D2234" s="62" t="s">
        <v>1</v>
      </c>
      <c r="E2234" s="62">
        <v>273.05</v>
      </c>
      <c r="F2234" s="62">
        <v>75.652</v>
      </c>
      <c r="I2234" s="62">
        <v>2025</v>
      </c>
      <c r="J2234" s="62">
        <v>10</v>
      </c>
      <c r="K2234" s="62" t="s">
        <v>19</v>
      </c>
      <c r="L2234" s="62" t="s">
        <v>2</v>
      </c>
      <c r="M2234" s="62">
        <v>395.096</v>
      </c>
      <c r="N2234" s="62">
        <v>69.14179999999999</v>
      </c>
    </row>
    <row r="2235" spans="1:14">
      <c r="A2235" s="62">
        <v>2015</v>
      </c>
      <c r="B2235" s="62">
        <v>2</v>
      </c>
      <c r="C2235" s="62" t="s">
        <v>8</v>
      </c>
      <c r="D2235" s="62" t="s">
        <v>1</v>
      </c>
      <c r="E2235" s="62">
        <v>724.902</v>
      </c>
      <c r="F2235" s="62">
        <v>173.60335</v>
      </c>
      <c r="I2235" s="62">
        <v>2025</v>
      </c>
      <c r="J2235" s="62">
        <v>11</v>
      </c>
      <c r="K2235" s="62" t="s">
        <v>19</v>
      </c>
      <c r="L2235" s="62" t="s">
        <v>2</v>
      </c>
      <c r="M2235" s="62">
        <v>251.12</v>
      </c>
      <c r="N2235" s="62">
        <v>43.946</v>
      </c>
    </row>
    <row r="2236" spans="1:14">
      <c r="A2236" s="62">
        <v>2015</v>
      </c>
      <c r="B2236" s="62">
        <v>3</v>
      </c>
      <c r="C2236" s="62" t="s">
        <v>8</v>
      </c>
      <c r="D2236" s="62" t="s">
        <v>1</v>
      </c>
      <c r="E2236" s="62">
        <v>790.836</v>
      </c>
      <c r="F2236" s="62">
        <v>210.0046</v>
      </c>
      <c r="I2236" s="62">
        <v>2025</v>
      </c>
      <c r="J2236" s="62">
        <v>12</v>
      </c>
      <c r="K2236" s="62" t="s">
        <v>19</v>
      </c>
      <c r="L2236" s="62" t="s">
        <v>2</v>
      </c>
      <c r="M2236" s="62">
        <v>8</v>
      </c>
      <c r="N2236" s="62">
        <v>1.4</v>
      </c>
    </row>
    <row r="2237" spans="1:14">
      <c r="A2237" s="62">
        <v>2015</v>
      </c>
      <c r="B2237" s="62">
        <v>4</v>
      </c>
      <c r="C2237" s="62" t="s">
        <v>8</v>
      </c>
      <c r="D2237" s="62" t="s">
        <v>1</v>
      </c>
      <c r="E2237" s="62">
        <v>1021.1</v>
      </c>
      <c r="F2237" s="62">
        <v>257.1875</v>
      </c>
      <c r="I2237" s="62">
        <v>2026</v>
      </c>
      <c r="J2237" s="62">
        <v>1</v>
      </c>
      <c r="K2237" s="62" t="s">
        <v>19</v>
      </c>
      <c r="L2237" s="62" t="s">
        <v>2</v>
      </c>
      <c r="M2237" s="62">
        <v>125.2938</v>
      </c>
      <c r="N2237" s="62">
        <v>21.926415</v>
      </c>
    </row>
    <row r="2238" spans="1:14">
      <c r="A2238" s="62">
        <v>2015</v>
      </c>
      <c r="B2238" s="62">
        <v>5</v>
      </c>
      <c r="C2238" s="62" t="s">
        <v>8</v>
      </c>
      <c r="D2238" s="62" t="s">
        <v>1</v>
      </c>
      <c r="E2238" s="62">
        <v>829.103</v>
      </c>
      <c r="F2238" s="62">
        <v>187.9802125</v>
      </c>
      <c r="I2238" s="62">
        <v>2026</v>
      </c>
      <c r="J2238" s="62">
        <v>2</v>
      </c>
      <c r="K2238" s="62" t="s">
        <v>19</v>
      </c>
      <c r="L2238" s="62" t="s">
        <v>2</v>
      </c>
      <c r="M2238" s="62">
        <v>259.4768</v>
      </c>
      <c r="N2238" s="62">
        <v>45.40844</v>
      </c>
    </row>
    <row r="2239" spans="1:14">
      <c r="A2239" s="62">
        <v>2015</v>
      </c>
      <c r="B2239" s="62">
        <v>6</v>
      </c>
      <c r="C2239" s="62" t="s">
        <v>8</v>
      </c>
      <c r="D2239" s="62" t="s">
        <v>1</v>
      </c>
      <c r="E2239" s="62">
        <v>649.794</v>
      </c>
      <c r="F2239" s="62">
        <v>169.663125</v>
      </c>
      <c r="I2239" s="62">
        <v>2026</v>
      </c>
      <c r="J2239" s="62">
        <v>3</v>
      </c>
      <c r="K2239" s="62" t="s">
        <v>19</v>
      </c>
      <c r="L2239" s="62" t="s">
        <v>2</v>
      </c>
      <c r="M2239" s="62">
        <v>264.29</v>
      </c>
      <c r="N2239" s="62">
        <v>46.25075</v>
      </c>
    </row>
    <row r="2240" spans="1:14">
      <c r="A2240" s="62">
        <v>2015</v>
      </c>
      <c r="B2240" s="62">
        <v>7</v>
      </c>
      <c r="C2240" s="62" t="s">
        <v>8</v>
      </c>
      <c r="D2240" s="62" t="s">
        <v>1</v>
      </c>
      <c r="E2240" s="62">
        <v>482.274</v>
      </c>
      <c r="F2240" s="62">
        <v>121.38675</v>
      </c>
      <c r="I2240" s="62">
        <v>2026</v>
      </c>
      <c r="J2240" s="62">
        <v>4</v>
      </c>
      <c r="K2240" s="62" t="s">
        <v>19</v>
      </c>
      <c r="L2240" s="62" t="s">
        <v>2</v>
      </c>
      <c r="M2240" s="62">
        <v>211.68</v>
      </c>
      <c r="N2240" s="62">
        <v>37.044</v>
      </c>
    </row>
    <row r="2241" spans="1:14">
      <c r="A2241" s="62">
        <v>2015</v>
      </c>
      <c r="B2241" s="62">
        <v>8</v>
      </c>
      <c r="C2241" s="62" t="s">
        <v>8</v>
      </c>
      <c r="D2241" s="62" t="s">
        <v>1</v>
      </c>
      <c r="E2241" s="62">
        <v>420.442</v>
      </c>
      <c r="F2241" s="62">
        <v>101.43535</v>
      </c>
      <c r="I2241" s="62">
        <v>2026</v>
      </c>
      <c r="J2241" s="62">
        <v>5</v>
      </c>
      <c r="K2241" s="62" t="s">
        <v>19</v>
      </c>
      <c r="L2241" s="62" t="s">
        <v>2</v>
      </c>
      <c r="M2241" s="62">
        <v>48.25</v>
      </c>
      <c r="N2241" s="62">
        <v>8.443750000000001</v>
      </c>
    </row>
    <row r="2242" spans="1:14">
      <c r="A2242" s="62">
        <v>2015</v>
      </c>
      <c r="B2242" s="62">
        <v>9</v>
      </c>
      <c r="C2242" s="62" t="s">
        <v>8</v>
      </c>
      <c r="D2242" s="62" t="s">
        <v>1</v>
      </c>
      <c r="E2242" s="62">
        <v>408.803</v>
      </c>
      <c r="F2242" s="62">
        <v>81.31864999999999</v>
      </c>
      <c r="I2242" s="62">
        <v>2026</v>
      </c>
      <c r="J2242" s="62">
        <v>6</v>
      </c>
      <c r="K2242" s="62" t="s">
        <v>19</v>
      </c>
      <c r="L2242" s="62" t="s">
        <v>2</v>
      </c>
      <c r="M2242" s="62">
        <v>30.8</v>
      </c>
      <c r="N2242" s="62">
        <v>5.39</v>
      </c>
    </row>
    <row r="2243" spans="1:14">
      <c r="A2243" s="62">
        <v>2015</v>
      </c>
      <c r="B2243" s="62">
        <v>10</v>
      </c>
      <c r="C2243" s="62" t="s">
        <v>8</v>
      </c>
      <c r="D2243" s="62" t="s">
        <v>1</v>
      </c>
      <c r="E2243" s="62">
        <v>653.885</v>
      </c>
      <c r="F2243" s="62">
        <v>190.90075</v>
      </c>
      <c r="I2243" s="62">
        <v>2026</v>
      </c>
      <c r="J2243" s="62">
        <v>7</v>
      </c>
      <c r="K2243" s="62" t="s">
        <v>19</v>
      </c>
      <c r="L2243" s="62" t="s">
        <v>2</v>
      </c>
      <c r="M2243" s="62">
        <v>37.5</v>
      </c>
      <c r="N2243" s="62">
        <v>6.5625</v>
      </c>
    </row>
    <row r="2244" spans="1:14">
      <c r="A2244" s="62">
        <v>2015</v>
      </c>
      <c r="B2244" s="62">
        <v>11</v>
      </c>
      <c r="C2244" s="62" t="s">
        <v>8</v>
      </c>
      <c r="D2244" s="62" t="s">
        <v>1</v>
      </c>
      <c r="E2244" s="62">
        <v>781.17</v>
      </c>
      <c r="F2244" s="62">
        <v>223.85425</v>
      </c>
      <c r="I2244" s="62">
        <v>2026</v>
      </c>
      <c r="J2244" s="62">
        <v>8</v>
      </c>
      <c r="K2244" s="62" t="s">
        <v>19</v>
      </c>
      <c r="L2244" s="62" t="s">
        <v>2</v>
      </c>
      <c r="M2244" s="62">
        <v>14.58</v>
      </c>
      <c r="N2244" s="62">
        <v>2.5515</v>
      </c>
    </row>
    <row r="2245" spans="1:14">
      <c r="A2245" s="62">
        <v>2015</v>
      </c>
      <c r="B2245" s="62">
        <v>12</v>
      </c>
      <c r="C2245" s="62" t="s">
        <v>8</v>
      </c>
      <c r="D2245" s="62" t="s">
        <v>1</v>
      </c>
      <c r="E2245" s="62">
        <v>799.11</v>
      </c>
      <c r="F2245" s="62">
        <v>264.666</v>
      </c>
      <c r="I2245" s="62">
        <v>2026</v>
      </c>
      <c r="J2245" s="62">
        <v>9</v>
      </c>
      <c r="K2245" s="62" t="s">
        <v>19</v>
      </c>
      <c r="L2245" s="62" t="s">
        <v>2</v>
      </c>
      <c r="M2245" s="62">
        <v>40.9939</v>
      </c>
      <c r="N2245" s="62">
        <v>7.173932499999999</v>
      </c>
    </row>
    <row r="2246" spans="1:14">
      <c r="A2246" s="62">
        <v>2016</v>
      </c>
      <c r="B2246" s="62">
        <v>1</v>
      </c>
      <c r="C2246" s="62" t="s">
        <v>8</v>
      </c>
      <c r="D2246" s="62" t="s">
        <v>1</v>
      </c>
      <c r="E2246" s="62">
        <v>478.245</v>
      </c>
      <c r="F2246" s="62">
        <v>127.44365</v>
      </c>
      <c r="I2246" s="62">
        <v>2026</v>
      </c>
      <c r="J2246" s="62">
        <v>10</v>
      </c>
      <c r="K2246" s="62" t="s">
        <v>19</v>
      </c>
      <c r="L2246" s="62" t="s">
        <v>2</v>
      </c>
      <c r="M2246" s="62">
        <v>82.20959999999999</v>
      </c>
      <c r="N2246" s="62">
        <v>14.38668</v>
      </c>
    </row>
    <row r="2247" spans="1:14">
      <c r="A2247" s="62">
        <v>2016</v>
      </c>
      <c r="B2247" s="62">
        <v>2</v>
      </c>
      <c r="C2247" s="62" t="s">
        <v>8</v>
      </c>
      <c r="D2247" s="62" t="s">
        <v>1</v>
      </c>
      <c r="E2247" s="62">
        <v>754.65</v>
      </c>
      <c r="F2247" s="62">
        <v>212.74725</v>
      </c>
      <c r="I2247" s="62">
        <v>2026</v>
      </c>
      <c r="J2247" s="62">
        <v>11</v>
      </c>
      <c r="K2247" s="62" t="s">
        <v>19</v>
      </c>
      <c r="L2247" s="62" t="s">
        <v>2</v>
      </c>
      <c r="M2247" s="62">
        <v>56</v>
      </c>
      <c r="N2247" s="62">
        <v>9.799999999999999</v>
      </c>
    </row>
    <row r="2248" spans="1:14">
      <c r="A2248" s="62">
        <v>2016</v>
      </c>
      <c r="B2248" s="62">
        <v>3</v>
      </c>
      <c r="C2248" s="62" t="s">
        <v>8</v>
      </c>
      <c r="D2248" s="62" t="s">
        <v>1</v>
      </c>
      <c r="E2248" s="62">
        <v>512.46</v>
      </c>
      <c r="F2248" s="62">
        <v>140.85</v>
      </c>
      <c r="I2248" s="62">
        <v>2027</v>
      </c>
      <c r="J2248" s="62">
        <v>1</v>
      </c>
      <c r="K2248" s="62" t="s">
        <v>19</v>
      </c>
      <c r="L2248" s="62" t="s">
        <v>2</v>
      </c>
      <c r="M2248" s="62">
        <v>69.38</v>
      </c>
      <c r="N2248" s="62">
        <v>12.1415</v>
      </c>
    </row>
    <row r="2249" spans="1:14">
      <c r="A2249" s="62">
        <v>2016</v>
      </c>
      <c r="B2249" s="62">
        <v>4</v>
      </c>
      <c r="C2249" s="62" t="s">
        <v>8</v>
      </c>
      <c r="D2249" s="62" t="s">
        <v>1</v>
      </c>
      <c r="E2249" s="62">
        <v>486.006</v>
      </c>
      <c r="F2249" s="62">
        <v>151.204625</v>
      </c>
      <c r="I2249" s="62">
        <v>2027</v>
      </c>
      <c r="J2249" s="62">
        <v>2</v>
      </c>
      <c r="K2249" s="62" t="s">
        <v>19</v>
      </c>
      <c r="L2249" s="62" t="s">
        <v>2</v>
      </c>
      <c r="M2249" s="62">
        <v>198.0608</v>
      </c>
      <c r="N2249" s="62">
        <v>34.66063999999999</v>
      </c>
    </row>
    <row r="2250" spans="1:14">
      <c r="A2250" s="62">
        <v>2016</v>
      </c>
      <c r="B2250" s="62">
        <v>5</v>
      </c>
      <c r="C2250" s="62" t="s">
        <v>8</v>
      </c>
      <c r="D2250" s="62" t="s">
        <v>1</v>
      </c>
      <c r="E2250" s="62">
        <v>593.747</v>
      </c>
      <c r="F2250" s="62">
        <v>150.245175</v>
      </c>
      <c r="I2250" s="62">
        <v>2027</v>
      </c>
      <c r="J2250" s="62">
        <v>3</v>
      </c>
      <c r="K2250" s="62" t="s">
        <v>19</v>
      </c>
      <c r="L2250" s="62" t="s">
        <v>2</v>
      </c>
      <c r="M2250" s="62">
        <v>204.82</v>
      </c>
      <c r="N2250" s="62">
        <v>35.8435</v>
      </c>
    </row>
    <row r="2251" spans="1:14">
      <c r="A2251" s="62">
        <v>2016</v>
      </c>
      <c r="B2251" s="62">
        <v>6</v>
      </c>
      <c r="C2251" s="62" t="s">
        <v>8</v>
      </c>
      <c r="D2251" s="62" t="s">
        <v>1</v>
      </c>
      <c r="E2251" s="62">
        <v>240.099</v>
      </c>
      <c r="F2251" s="62">
        <v>56.7995</v>
      </c>
      <c r="I2251" s="62">
        <v>2027</v>
      </c>
      <c r="J2251" s="62">
        <v>4</v>
      </c>
      <c r="K2251" s="62" t="s">
        <v>19</v>
      </c>
      <c r="L2251" s="62" t="s">
        <v>2</v>
      </c>
      <c r="M2251" s="62">
        <v>259.7091</v>
      </c>
      <c r="N2251" s="62">
        <v>45.44909249999999</v>
      </c>
    </row>
    <row r="2252" spans="1:14">
      <c r="A2252" s="62">
        <v>2016</v>
      </c>
      <c r="B2252" s="62">
        <v>7</v>
      </c>
      <c r="C2252" s="62" t="s">
        <v>8</v>
      </c>
      <c r="D2252" s="62" t="s">
        <v>1</v>
      </c>
      <c r="E2252" s="62">
        <v>200.643</v>
      </c>
      <c r="F2252" s="62">
        <v>57.22815</v>
      </c>
      <c r="I2252" s="62">
        <v>2027</v>
      </c>
      <c r="J2252" s="62">
        <v>5</v>
      </c>
      <c r="K2252" s="62" t="s">
        <v>19</v>
      </c>
      <c r="L2252" s="62" t="s">
        <v>2</v>
      </c>
      <c r="M2252" s="62">
        <v>139.54</v>
      </c>
      <c r="N2252" s="62">
        <v>24.4195</v>
      </c>
    </row>
    <row r="2253" spans="1:14">
      <c r="A2253" s="62">
        <v>2016</v>
      </c>
      <c r="B2253" s="62">
        <v>8</v>
      </c>
      <c r="C2253" s="62" t="s">
        <v>8</v>
      </c>
      <c r="D2253" s="62" t="s">
        <v>1</v>
      </c>
      <c r="E2253" s="62">
        <v>66.625</v>
      </c>
      <c r="F2253" s="62">
        <v>19.50625</v>
      </c>
      <c r="I2253" s="62">
        <v>2027</v>
      </c>
      <c r="J2253" s="62">
        <v>9</v>
      </c>
      <c r="K2253" s="62" t="s">
        <v>19</v>
      </c>
      <c r="L2253" s="62" t="s">
        <v>2</v>
      </c>
      <c r="M2253" s="62">
        <v>149.7219</v>
      </c>
      <c r="N2253" s="62">
        <v>26.2013325</v>
      </c>
    </row>
    <row r="2254" spans="1:14">
      <c r="A2254" s="62">
        <v>2016</v>
      </c>
      <c r="B2254" s="62">
        <v>9</v>
      </c>
      <c r="C2254" s="62" t="s">
        <v>8</v>
      </c>
      <c r="D2254" s="62" t="s">
        <v>1</v>
      </c>
      <c r="E2254" s="62">
        <v>174.25</v>
      </c>
      <c r="F2254" s="62">
        <v>52.7855</v>
      </c>
      <c r="I2254" s="62">
        <v>2027</v>
      </c>
      <c r="J2254" s="62">
        <v>10</v>
      </c>
      <c r="K2254" s="62" t="s">
        <v>19</v>
      </c>
      <c r="L2254" s="62" t="s">
        <v>2</v>
      </c>
      <c r="M2254" s="62">
        <v>196.8759</v>
      </c>
      <c r="N2254" s="62">
        <v>34.4532825</v>
      </c>
    </row>
    <row r="2255" spans="1:14">
      <c r="A2255" s="62">
        <v>2016</v>
      </c>
      <c r="B2255" s="62">
        <v>10</v>
      </c>
      <c r="C2255" s="62" t="s">
        <v>8</v>
      </c>
      <c r="D2255" s="62" t="s">
        <v>1</v>
      </c>
      <c r="E2255" s="62">
        <v>1056.54</v>
      </c>
      <c r="F2255" s="62">
        <v>180.35425</v>
      </c>
      <c r="I2255" s="62">
        <v>2027</v>
      </c>
      <c r="J2255" s="62">
        <v>11</v>
      </c>
      <c r="K2255" s="62" t="s">
        <v>19</v>
      </c>
      <c r="L2255" s="62" t="s">
        <v>2</v>
      </c>
      <c r="M2255" s="62">
        <v>15.345</v>
      </c>
      <c r="N2255" s="62">
        <v>2.685375</v>
      </c>
    </row>
    <row r="2256" spans="1:14">
      <c r="A2256" s="62">
        <v>2016</v>
      </c>
      <c r="B2256" s="62">
        <v>11</v>
      </c>
      <c r="C2256" s="62" t="s">
        <v>8</v>
      </c>
      <c r="D2256" s="62" t="s">
        <v>1</v>
      </c>
      <c r="E2256" s="62">
        <v>765.963</v>
      </c>
      <c r="F2256" s="62">
        <v>156.910275</v>
      </c>
      <c r="I2256" s="62">
        <v>2014</v>
      </c>
      <c r="J2256" s="62">
        <v>1</v>
      </c>
      <c r="K2256" s="62" t="s">
        <v>19</v>
      </c>
      <c r="L2256" s="62" t="s">
        <v>3</v>
      </c>
      <c r="M2256" s="62">
        <v>200.825</v>
      </c>
      <c r="N2256" s="62">
        <v>35.144375</v>
      </c>
    </row>
    <row r="2257" spans="1:14">
      <c r="A2257" s="62">
        <v>2016</v>
      </c>
      <c r="B2257" s="62">
        <v>12</v>
      </c>
      <c r="C2257" s="62" t="s">
        <v>8</v>
      </c>
      <c r="D2257" s="62" t="s">
        <v>1</v>
      </c>
      <c r="E2257" s="62">
        <v>395.0174</v>
      </c>
      <c r="F2257" s="62">
        <v>77.812575</v>
      </c>
      <c r="I2257" s="62">
        <v>2014</v>
      </c>
      <c r="J2257" s="62">
        <v>2</v>
      </c>
      <c r="K2257" s="62" t="s">
        <v>19</v>
      </c>
      <c r="L2257" s="62" t="s">
        <v>3</v>
      </c>
      <c r="M2257" s="62">
        <v>206.4432</v>
      </c>
      <c r="N2257" s="62">
        <v>36.12756</v>
      </c>
    </row>
    <row r="2258" spans="1:14">
      <c r="A2258" s="62">
        <v>2017</v>
      </c>
      <c r="B2258" s="62">
        <v>1</v>
      </c>
      <c r="C2258" s="62" t="s">
        <v>8</v>
      </c>
      <c r="D2258" s="62" t="s">
        <v>1</v>
      </c>
      <c r="E2258" s="62">
        <v>390.9452</v>
      </c>
      <c r="F2258" s="62">
        <v>83.11630000000001</v>
      </c>
      <c r="I2258" s="62">
        <v>2014</v>
      </c>
      <c r="J2258" s="62">
        <v>3</v>
      </c>
      <c r="K2258" s="62" t="s">
        <v>19</v>
      </c>
      <c r="L2258" s="62" t="s">
        <v>3</v>
      </c>
      <c r="M2258" s="62">
        <v>154.4422</v>
      </c>
      <c r="N2258" s="62">
        <v>27.027385</v>
      </c>
    </row>
    <row r="2259" spans="1:14">
      <c r="A2259" s="62">
        <v>2017</v>
      </c>
      <c r="B2259" s="62">
        <v>2</v>
      </c>
      <c r="C2259" s="62" t="s">
        <v>8</v>
      </c>
      <c r="D2259" s="62" t="s">
        <v>1</v>
      </c>
      <c r="E2259" s="62">
        <v>940.8546</v>
      </c>
      <c r="F2259" s="62">
        <v>223.36122</v>
      </c>
      <c r="I2259" s="62">
        <v>2014</v>
      </c>
      <c r="J2259" s="62">
        <v>4</v>
      </c>
      <c r="K2259" s="62" t="s">
        <v>19</v>
      </c>
      <c r="L2259" s="62" t="s">
        <v>3</v>
      </c>
      <c r="M2259" s="62">
        <v>5.56</v>
      </c>
      <c r="N2259" s="62">
        <v>0.9729999999999999</v>
      </c>
    </row>
    <row r="2260" spans="1:14">
      <c r="A2260" s="62">
        <v>2017</v>
      </c>
      <c r="B2260" s="62">
        <v>3</v>
      </c>
      <c r="C2260" s="62" t="s">
        <v>8</v>
      </c>
      <c r="D2260" s="62" t="s">
        <v>1</v>
      </c>
      <c r="E2260" s="62">
        <v>500.5634</v>
      </c>
      <c r="F2260" s="62">
        <v>111.97583</v>
      </c>
      <c r="I2260" s="62">
        <v>2014</v>
      </c>
      <c r="J2260" s="62">
        <v>5</v>
      </c>
      <c r="K2260" s="62" t="s">
        <v>19</v>
      </c>
      <c r="L2260" s="62" t="s">
        <v>3</v>
      </c>
      <c r="M2260" s="62">
        <v>19.425</v>
      </c>
      <c r="N2260" s="62">
        <v>3.399375</v>
      </c>
    </row>
    <row r="2261" spans="1:14">
      <c r="A2261" s="62">
        <v>2017</v>
      </c>
      <c r="B2261" s="62">
        <v>4</v>
      </c>
      <c r="C2261" s="62" t="s">
        <v>8</v>
      </c>
      <c r="D2261" s="62" t="s">
        <v>1</v>
      </c>
      <c r="E2261" s="62">
        <v>377.335</v>
      </c>
      <c r="F2261" s="62">
        <v>89.63674999999999</v>
      </c>
      <c r="I2261" s="62">
        <v>2014</v>
      </c>
      <c r="J2261" s="62">
        <v>6</v>
      </c>
      <c r="K2261" s="62" t="s">
        <v>19</v>
      </c>
      <c r="L2261" s="62" t="s">
        <v>3</v>
      </c>
      <c r="M2261" s="62">
        <v>100.405</v>
      </c>
      <c r="N2261" s="62">
        <v>17.570875</v>
      </c>
    </row>
    <row r="2262" spans="1:14">
      <c r="A2262" s="62">
        <v>2017</v>
      </c>
      <c r="B2262" s="62">
        <v>5</v>
      </c>
      <c r="C2262" s="62" t="s">
        <v>8</v>
      </c>
      <c r="D2262" s="62" t="s">
        <v>1</v>
      </c>
      <c r="E2262" s="62">
        <v>808.903</v>
      </c>
      <c r="F2262" s="62">
        <v>185.653</v>
      </c>
      <c r="I2262" s="62">
        <v>2014</v>
      </c>
      <c r="J2262" s="62">
        <v>7</v>
      </c>
      <c r="K2262" s="62" t="s">
        <v>19</v>
      </c>
      <c r="L2262" s="62" t="s">
        <v>3</v>
      </c>
      <c r="M2262" s="62">
        <v>7.07</v>
      </c>
      <c r="N2262" s="62">
        <v>1.23725</v>
      </c>
    </row>
    <row r="2263" spans="1:14">
      <c r="A2263" s="62">
        <v>2017</v>
      </c>
      <c r="B2263" s="62">
        <v>6</v>
      </c>
      <c r="C2263" s="62" t="s">
        <v>8</v>
      </c>
      <c r="D2263" s="62" t="s">
        <v>1</v>
      </c>
      <c r="E2263" s="62">
        <v>539.205</v>
      </c>
      <c r="F2263" s="62">
        <v>103.785</v>
      </c>
      <c r="I2263" s="62">
        <v>2014</v>
      </c>
      <c r="J2263" s="62">
        <v>8</v>
      </c>
      <c r="K2263" s="62" t="s">
        <v>19</v>
      </c>
      <c r="L2263" s="62" t="s">
        <v>3</v>
      </c>
      <c r="M2263" s="62">
        <v>30.335</v>
      </c>
      <c r="N2263" s="62">
        <v>5.308625</v>
      </c>
    </row>
    <row r="2264" spans="1:14">
      <c r="A2264" s="62">
        <v>2017</v>
      </c>
      <c r="B2264" s="62">
        <v>7</v>
      </c>
      <c r="C2264" s="62" t="s">
        <v>8</v>
      </c>
      <c r="D2264" s="62" t="s">
        <v>1</v>
      </c>
      <c r="E2264" s="62">
        <v>344.9404</v>
      </c>
      <c r="F2264" s="62">
        <v>85.4594</v>
      </c>
      <c r="I2264" s="62">
        <v>2014</v>
      </c>
      <c r="J2264" s="62">
        <v>9</v>
      </c>
      <c r="K2264" s="62" t="s">
        <v>19</v>
      </c>
      <c r="L2264" s="62" t="s">
        <v>3</v>
      </c>
      <c r="M2264" s="62">
        <v>105.032</v>
      </c>
      <c r="N2264" s="62">
        <v>18.3806</v>
      </c>
    </row>
    <row r="2265" spans="1:14">
      <c r="A2265" s="62">
        <v>2017</v>
      </c>
      <c r="B2265" s="62">
        <v>8</v>
      </c>
      <c r="C2265" s="62" t="s">
        <v>8</v>
      </c>
      <c r="D2265" s="62" t="s">
        <v>1</v>
      </c>
      <c r="E2265" s="62">
        <v>165.07</v>
      </c>
      <c r="F2265" s="62">
        <v>46.596</v>
      </c>
      <c r="I2265" s="62">
        <v>2014</v>
      </c>
      <c r="J2265" s="62">
        <v>10</v>
      </c>
      <c r="K2265" s="62" t="s">
        <v>19</v>
      </c>
      <c r="L2265" s="62" t="s">
        <v>3</v>
      </c>
      <c r="M2265" s="62">
        <v>80.01000000000001</v>
      </c>
      <c r="N2265" s="62">
        <v>14.00175</v>
      </c>
    </row>
    <row r="2266" spans="1:14">
      <c r="A2266" s="62">
        <v>2017</v>
      </c>
      <c r="B2266" s="62">
        <v>9</v>
      </c>
      <c r="C2266" s="62" t="s">
        <v>8</v>
      </c>
      <c r="D2266" s="62" t="s">
        <v>1</v>
      </c>
      <c r="E2266" s="62">
        <v>214.33</v>
      </c>
      <c r="F2266" s="62">
        <v>56.82675</v>
      </c>
      <c r="I2266" s="62">
        <v>2014</v>
      </c>
      <c r="J2266" s="62">
        <v>11</v>
      </c>
      <c r="K2266" s="62" t="s">
        <v>19</v>
      </c>
      <c r="L2266" s="62" t="s">
        <v>3</v>
      </c>
      <c r="M2266" s="62">
        <v>9.359999999999999</v>
      </c>
      <c r="N2266" s="62">
        <v>1.638</v>
      </c>
    </row>
    <row r="2267" spans="1:14">
      <c r="A2267" s="62">
        <v>2017</v>
      </c>
      <c r="B2267" s="62">
        <v>10</v>
      </c>
      <c r="C2267" s="62" t="s">
        <v>8</v>
      </c>
      <c r="D2267" s="62" t="s">
        <v>1</v>
      </c>
      <c r="E2267" s="62">
        <v>759.4366</v>
      </c>
      <c r="F2267" s="62">
        <v>107.5651</v>
      </c>
      <c r="I2267" s="62">
        <v>2014</v>
      </c>
      <c r="J2267" s="62">
        <v>12</v>
      </c>
      <c r="K2267" s="62" t="s">
        <v>19</v>
      </c>
      <c r="L2267" s="62" t="s">
        <v>3</v>
      </c>
      <c r="M2267" s="62">
        <v>21.95</v>
      </c>
      <c r="N2267" s="62">
        <v>3.84125</v>
      </c>
    </row>
    <row r="2268" spans="1:14">
      <c r="A2268" s="62">
        <v>2017</v>
      </c>
      <c r="B2268" s="62">
        <v>11</v>
      </c>
      <c r="C2268" s="62" t="s">
        <v>8</v>
      </c>
      <c r="D2268" s="62" t="s">
        <v>1</v>
      </c>
      <c r="E2268" s="62">
        <v>458.29</v>
      </c>
      <c r="F2268" s="62">
        <v>71.42925</v>
      </c>
      <c r="I2268" s="62">
        <v>2015</v>
      </c>
      <c r="J2268" s="62">
        <v>1</v>
      </c>
      <c r="K2268" s="62" t="s">
        <v>19</v>
      </c>
      <c r="L2268" s="62" t="s">
        <v>3</v>
      </c>
      <c r="M2268" s="62">
        <v>91.30080000000001</v>
      </c>
      <c r="N2268" s="62">
        <v>15.97764</v>
      </c>
    </row>
    <row r="2269" spans="1:14">
      <c r="A2269" s="62">
        <v>2017</v>
      </c>
      <c r="B2269" s="62">
        <v>12</v>
      </c>
      <c r="C2269" s="62" t="s">
        <v>8</v>
      </c>
      <c r="D2269" s="62" t="s">
        <v>1</v>
      </c>
      <c r="E2269" s="62">
        <v>116.21</v>
      </c>
      <c r="F2269" s="62">
        <v>28.0415</v>
      </c>
      <c r="I2269" s="62">
        <v>2015</v>
      </c>
      <c r="J2269" s="62">
        <v>2</v>
      </c>
      <c r="K2269" s="62" t="s">
        <v>19</v>
      </c>
      <c r="L2269" s="62" t="s">
        <v>3</v>
      </c>
      <c r="M2269" s="62">
        <v>8.446199999999999</v>
      </c>
      <c r="N2269" s="62">
        <v>1.478085</v>
      </c>
    </row>
    <row r="2270" spans="1:14">
      <c r="A2270" s="62">
        <v>2018</v>
      </c>
      <c r="B2270" s="62">
        <v>1</v>
      </c>
      <c r="C2270" s="62" t="s">
        <v>8</v>
      </c>
      <c r="D2270" s="62" t="s">
        <v>1</v>
      </c>
      <c r="E2270" s="62">
        <v>527.252</v>
      </c>
      <c r="F2270" s="62">
        <v>125.147475</v>
      </c>
      <c r="I2270" s="62">
        <v>2015</v>
      </c>
      <c r="J2270" s="62">
        <v>3</v>
      </c>
      <c r="K2270" s="62" t="s">
        <v>19</v>
      </c>
      <c r="L2270" s="62" t="s">
        <v>3</v>
      </c>
      <c r="M2270" s="62">
        <v>5.279999999999999</v>
      </c>
      <c r="N2270" s="62">
        <v>0.9239999999999999</v>
      </c>
    </row>
    <row r="2271" spans="1:14">
      <c r="A2271" s="62">
        <v>2018</v>
      </c>
      <c r="B2271" s="62">
        <v>2</v>
      </c>
      <c r="C2271" s="62" t="s">
        <v>8</v>
      </c>
      <c r="D2271" s="62" t="s">
        <v>1</v>
      </c>
      <c r="E2271" s="62">
        <v>525.645</v>
      </c>
      <c r="F2271" s="62">
        <v>99.75847499999999</v>
      </c>
      <c r="I2271" s="62">
        <v>2015</v>
      </c>
      <c r="J2271" s="62">
        <v>4</v>
      </c>
      <c r="K2271" s="62" t="s">
        <v>19</v>
      </c>
      <c r="L2271" s="62" t="s">
        <v>3</v>
      </c>
      <c r="M2271" s="62">
        <v>26.98</v>
      </c>
      <c r="N2271" s="62">
        <v>4.7215</v>
      </c>
    </row>
    <row r="2272" spans="1:14">
      <c r="A2272" s="62">
        <v>2018</v>
      </c>
      <c r="B2272" s="62">
        <v>3</v>
      </c>
      <c r="C2272" s="62" t="s">
        <v>8</v>
      </c>
      <c r="D2272" s="62" t="s">
        <v>1</v>
      </c>
      <c r="E2272" s="62">
        <v>202.639</v>
      </c>
      <c r="F2272" s="62">
        <v>53.29875</v>
      </c>
      <c r="I2272" s="62">
        <v>2015</v>
      </c>
      <c r="J2272" s="62">
        <v>5</v>
      </c>
      <c r="K2272" s="62" t="s">
        <v>19</v>
      </c>
      <c r="L2272" s="62" t="s">
        <v>3</v>
      </c>
      <c r="M2272" s="62">
        <v>48.77</v>
      </c>
      <c r="N2272" s="62">
        <v>8.534749999999999</v>
      </c>
    </row>
    <row r="2273" spans="1:14">
      <c r="A2273" s="62">
        <v>2018</v>
      </c>
      <c r="B2273" s="62">
        <v>4</v>
      </c>
      <c r="C2273" s="62" t="s">
        <v>8</v>
      </c>
      <c r="D2273" s="62" t="s">
        <v>1</v>
      </c>
      <c r="E2273" s="62">
        <v>613.135</v>
      </c>
      <c r="F2273" s="62">
        <v>136.0955</v>
      </c>
      <c r="I2273" s="62">
        <v>2015</v>
      </c>
      <c r="J2273" s="62">
        <v>6</v>
      </c>
      <c r="K2273" s="62" t="s">
        <v>19</v>
      </c>
      <c r="L2273" s="62" t="s">
        <v>3</v>
      </c>
      <c r="M2273" s="62">
        <v>24.24</v>
      </c>
      <c r="N2273" s="62">
        <v>4.241999999999999</v>
      </c>
    </row>
    <row r="2274" spans="1:14">
      <c r="A2274" s="62">
        <v>2018</v>
      </c>
      <c r="B2274" s="62">
        <v>5</v>
      </c>
      <c r="C2274" s="62" t="s">
        <v>8</v>
      </c>
      <c r="D2274" s="62" t="s">
        <v>1</v>
      </c>
      <c r="E2274" s="62">
        <v>731.9349999999999</v>
      </c>
      <c r="F2274" s="62">
        <v>185.64325</v>
      </c>
      <c r="I2274" s="62">
        <v>2015</v>
      </c>
      <c r="J2274" s="62">
        <v>7</v>
      </c>
      <c r="K2274" s="62" t="s">
        <v>19</v>
      </c>
      <c r="L2274" s="62" t="s">
        <v>3</v>
      </c>
      <c r="M2274" s="62">
        <v>25.655</v>
      </c>
      <c r="N2274" s="62">
        <v>4.489625</v>
      </c>
    </row>
    <row r="2275" spans="1:14">
      <c r="A2275" s="62">
        <v>2018</v>
      </c>
      <c r="B2275" s="62">
        <v>6</v>
      </c>
      <c r="C2275" s="62" t="s">
        <v>8</v>
      </c>
      <c r="D2275" s="62" t="s">
        <v>1</v>
      </c>
      <c r="E2275" s="62">
        <v>230.275</v>
      </c>
      <c r="F2275" s="62">
        <v>54.4835</v>
      </c>
      <c r="I2275" s="62">
        <v>2015</v>
      </c>
      <c r="J2275" s="62">
        <v>8</v>
      </c>
      <c r="K2275" s="62" t="s">
        <v>19</v>
      </c>
      <c r="L2275" s="62" t="s">
        <v>3</v>
      </c>
      <c r="M2275" s="62">
        <v>103.124</v>
      </c>
      <c r="N2275" s="62">
        <v>18.0467</v>
      </c>
    </row>
    <row r="2276" spans="1:14">
      <c r="A2276" s="62">
        <v>2018</v>
      </c>
      <c r="B2276" s="62">
        <v>7</v>
      </c>
      <c r="C2276" s="62" t="s">
        <v>8</v>
      </c>
      <c r="D2276" s="62" t="s">
        <v>1</v>
      </c>
      <c r="E2276" s="62">
        <v>150.568</v>
      </c>
      <c r="F2276" s="62">
        <v>38.39</v>
      </c>
      <c r="I2276" s="62">
        <v>2015</v>
      </c>
      <c r="J2276" s="62">
        <v>9</v>
      </c>
      <c r="K2276" s="62" t="s">
        <v>19</v>
      </c>
      <c r="L2276" s="62" t="s">
        <v>3</v>
      </c>
      <c r="M2276" s="62">
        <v>192.7865</v>
      </c>
      <c r="N2276" s="62">
        <v>33.7376375</v>
      </c>
    </row>
    <row r="2277" spans="1:14">
      <c r="A2277" s="62">
        <v>2018</v>
      </c>
      <c r="B2277" s="62">
        <v>8</v>
      </c>
      <c r="C2277" s="62" t="s">
        <v>8</v>
      </c>
      <c r="D2277" s="62" t="s">
        <v>1</v>
      </c>
      <c r="E2277" s="62">
        <v>125.788</v>
      </c>
      <c r="F2277" s="62">
        <v>61.2927</v>
      </c>
      <c r="I2277" s="62">
        <v>2015</v>
      </c>
      <c r="J2277" s="62">
        <v>10</v>
      </c>
      <c r="K2277" s="62" t="s">
        <v>19</v>
      </c>
      <c r="L2277" s="62" t="s">
        <v>3</v>
      </c>
      <c r="M2277" s="62">
        <v>135.845</v>
      </c>
      <c r="N2277" s="62">
        <v>23.772875</v>
      </c>
    </row>
    <row r="2278" spans="1:14">
      <c r="A2278" s="62">
        <v>2018</v>
      </c>
      <c r="B2278" s="62">
        <v>9</v>
      </c>
      <c r="C2278" s="62" t="s">
        <v>8</v>
      </c>
      <c r="D2278" s="62" t="s">
        <v>1</v>
      </c>
      <c r="E2278" s="62">
        <v>132.955</v>
      </c>
      <c r="F2278" s="62">
        <v>43.37725</v>
      </c>
      <c r="I2278" s="62">
        <v>2015</v>
      </c>
      <c r="J2278" s="62">
        <v>11</v>
      </c>
      <c r="K2278" s="62" t="s">
        <v>19</v>
      </c>
      <c r="L2278" s="62" t="s">
        <v>3</v>
      </c>
      <c r="M2278" s="62">
        <v>79.4774</v>
      </c>
      <c r="N2278" s="62">
        <v>13.908545</v>
      </c>
    </row>
    <row r="2279" spans="1:14">
      <c r="A2279" s="62">
        <v>2018</v>
      </c>
      <c r="B2279" s="62">
        <v>10</v>
      </c>
      <c r="C2279" s="62" t="s">
        <v>8</v>
      </c>
      <c r="D2279" s="62" t="s">
        <v>1</v>
      </c>
      <c r="E2279" s="62">
        <v>872.2535</v>
      </c>
      <c r="F2279" s="62">
        <v>193.319125</v>
      </c>
      <c r="I2279" s="62">
        <v>2015</v>
      </c>
      <c r="J2279" s="62">
        <v>12</v>
      </c>
      <c r="K2279" s="62" t="s">
        <v>19</v>
      </c>
      <c r="L2279" s="62" t="s">
        <v>3</v>
      </c>
      <c r="M2279" s="62">
        <v>118.59</v>
      </c>
      <c r="N2279" s="62">
        <v>20.75325</v>
      </c>
    </row>
    <row r="2280" spans="1:14">
      <c r="A2280" s="62">
        <v>2018</v>
      </c>
      <c r="B2280" s="62">
        <v>11</v>
      </c>
      <c r="C2280" s="62" t="s">
        <v>8</v>
      </c>
      <c r="D2280" s="62" t="s">
        <v>1</v>
      </c>
      <c r="E2280" s="62">
        <v>432.92</v>
      </c>
      <c r="F2280" s="62">
        <v>101.78975</v>
      </c>
      <c r="I2280" s="62">
        <v>2016</v>
      </c>
      <c r="J2280" s="62">
        <v>1</v>
      </c>
      <c r="K2280" s="62" t="s">
        <v>19</v>
      </c>
      <c r="L2280" s="62" t="s">
        <v>3</v>
      </c>
      <c r="M2280" s="62">
        <v>93.73099999999999</v>
      </c>
      <c r="N2280" s="62">
        <v>16.402925</v>
      </c>
    </row>
    <row r="2281" spans="1:14">
      <c r="A2281" s="62">
        <v>2018</v>
      </c>
      <c r="B2281" s="62">
        <v>12</v>
      </c>
      <c r="C2281" s="62" t="s">
        <v>8</v>
      </c>
      <c r="D2281" s="62" t="s">
        <v>1</v>
      </c>
      <c r="E2281" s="62">
        <v>139.045</v>
      </c>
      <c r="F2281" s="62">
        <v>26.95425</v>
      </c>
      <c r="I2281" s="62">
        <v>2016</v>
      </c>
      <c r="J2281" s="62">
        <v>2</v>
      </c>
      <c r="K2281" s="62" t="s">
        <v>19</v>
      </c>
      <c r="L2281" s="62" t="s">
        <v>3</v>
      </c>
      <c r="M2281" s="62">
        <v>15.66</v>
      </c>
      <c r="N2281" s="62">
        <v>2.740499999999999</v>
      </c>
    </row>
    <row r="2282" spans="1:14">
      <c r="A2282" s="62">
        <v>2019</v>
      </c>
      <c r="B2282" s="62">
        <v>1</v>
      </c>
      <c r="C2282" s="62" t="s">
        <v>8</v>
      </c>
      <c r="D2282" s="62" t="s">
        <v>1</v>
      </c>
      <c r="E2282" s="62">
        <v>197.67</v>
      </c>
      <c r="F2282" s="62">
        <v>47.57475</v>
      </c>
      <c r="I2282" s="62">
        <v>2016</v>
      </c>
      <c r="J2282" s="62">
        <v>3</v>
      </c>
      <c r="K2282" s="62" t="s">
        <v>19</v>
      </c>
      <c r="L2282" s="62" t="s">
        <v>3</v>
      </c>
      <c r="M2282" s="62">
        <v>34.6686</v>
      </c>
      <c r="N2282" s="62">
        <v>6.067004999999999</v>
      </c>
    </row>
    <row r="2283" spans="1:14">
      <c r="A2283" s="62">
        <v>2019</v>
      </c>
      <c r="B2283" s="62">
        <v>2</v>
      </c>
      <c r="C2283" s="62" t="s">
        <v>8</v>
      </c>
      <c r="D2283" s="62" t="s">
        <v>1</v>
      </c>
      <c r="E2283" s="62">
        <v>406.242</v>
      </c>
      <c r="F2283" s="62">
        <v>80.744625</v>
      </c>
      <c r="I2283" s="62">
        <v>2016</v>
      </c>
      <c r="J2283" s="62">
        <v>4</v>
      </c>
      <c r="K2283" s="62" t="s">
        <v>19</v>
      </c>
      <c r="L2283" s="62" t="s">
        <v>3</v>
      </c>
      <c r="M2283" s="62">
        <v>185.3691</v>
      </c>
      <c r="N2283" s="62">
        <v>32.4395925</v>
      </c>
    </row>
    <row r="2284" spans="1:14">
      <c r="A2284" s="62">
        <v>2019</v>
      </c>
      <c r="B2284" s="62">
        <v>3</v>
      </c>
      <c r="C2284" s="62" t="s">
        <v>8</v>
      </c>
      <c r="D2284" s="62" t="s">
        <v>1</v>
      </c>
      <c r="E2284" s="62">
        <v>493.623</v>
      </c>
      <c r="F2284" s="62">
        <v>111.1923</v>
      </c>
      <c r="I2284" s="62">
        <v>2016</v>
      </c>
      <c r="J2284" s="62">
        <v>5</v>
      </c>
      <c r="K2284" s="62" t="s">
        <v>19</v>
      </c>
      <c r="L2284" s="62" t="s">
        <v>3</v>
      </c>
      <c r="M2284" s="62">
        <v>36.81</v>
      </c>
      <c r="N2284" s="62">
        <v>6.441749999999999</v>
      </c>
    </row>
    <row r="2285" spans="1:14">
      <c r="A2285" s="62">
        <v>2019</v>
      </c>
      <c r="B2285" s="62">
        <v>4</v>
      </c>
      <c r="C2285" s="62" t="s">
        <v>8</v>
      </c>
      <c r="D2285" s="62" t="s">
        <v>1</v>
      </c>
      <c r="E2285" s="62">
        <v>1478.4</v>
      </c>
      <c r="F2285" s="62">
        <v>294.686</v>
      </c>
      <c r="I2285" s="62">
        <v>2016</v>
      </c>
      <c r="J2285" s="62">
        <v>6</v>
      </c>
      <c r="K2285" s="62" t="s">
        <v>19</v>
      </c>
      <c r="L2285" s="62" t="s">
        <v>3</v>
      </c>
      <c r="M2285" s="62">
        <v>2.8</v>
      </c>
      <c r="N2285" s="62">
        <v>0.4899999999999999</v>
      </c>
    </row>
    <row r="2286" spans="1:14">
      <c r="A2286" s="62">
        <v>2019</v>
      </c>
      <c r="B2286" s="62">
        <v>5</v>
      </c>
      <c r="C2286" s="62" t="s">
        <v>8</v>
      </c>
      <c r="D2286" s="62" t="s">
        <v>1</v>
      </c>
      <c r="E2286" s="62">
        <v>589.595</v>
      </c>
      <c r="F2286" s="62">
        <v>119.4712</v>
      </c>
      <c r="I2286" s="62">
        <v>2016</v>
      </c>
      <c r="J2286" s="62">
        <v>7</v>
      </c>
      <c r="K2286" s="62" t="s">
        <v>19</v>
      </c>
      <c r="L2286" s="62" t="s">
        <v>3</v>
      </c>
      <c r="M2286" s="62">
        <v>12.04</v>
      </c>
      <c r="N2286" s="62">
        <v>2.107</v>
      </c>
    </row>
    <row r="2287" spans="1:14">
      <c r="A2287" s="62">
        <v>2019</v>
      </c>
      <c r="B2287" s="62">
        <v>6</v>
      </c>
      <c r="C2287" s="62" t="s">
        <v>8</v>
      </c>
      <c r="D2287" s="62" t="s">
        <v>1</v>
      </c>
      <c r="E2287" s="62">
        <v>325.205</v>
      </c>
      <c r="F2287" s="62">
        <v>54.1075</v>
      </c>
      <c r="I2287" s="62">
        <v>2016</v>
      </c>
      <c r="J2287" s="62">
        <v>8</v>
      </c>
      <c r="K2287" s="62" t="s">
        <v>19</v>
      </c>
      <c r="L2287" s="62" t="s">
        <v>3</v>
      </c>
      <c r="M2287" s="62">
        <v>62.64</v>
      </c>
      <c r="N2287" s="62">
        <v>10.962</v>
      </c>
    </row>
    <row r="2288" spans="1:14">
      <c r="A2288" s="62">
        <v>2019</v>
      </c>
      <c r="B2288" s="62">
        <v>7</v>
      </c>
      <c r="C2288" s="62" t="s">
        <v>8</v>
      </c>
      <c r="D2288" s="62" t="s">
        <v>1</v>
      </c>
      <c r="E2288" s="62">
        <v>251.325</v>
      </c>
      <c r="F2288" s="62">
        <v>13.82275</v>
      </c>
      <c r="I2288" s="62">
        <v>2016</v>
      </c>
      <c r="J2288" s="62">
        <v>9</v>
      </c>
      <c r="K2288" s="62" t="s">
        <v>19</v>
      </c>
      <c r="L2288" s="62" t="s">
        <v>3</v>
      </c>
      <c r="M2288" s="62">
        <v>144.562</v>
      </c>
      <c r="N2288" s="62">
        <v>25.29835</v>
      </c>
    </row>
    <row r="2289" spans="1:14">
      <c r="A2289" s="62">
        <v>2019</v>
      </c>
      <c r="B2289" s="62">
        <v>8</v>
      </c>
      <c r="C2289" s="62" t="s">
        <v>8</v>
      </c>
      <c r="D2289" s="62" t="s">
        <v>1</v>
      </c>
      <c r="E2289" s="62">
        <v>143.645</v>
      </c>
      <c r="F2289" s="62">
        <v>15.30675</v>
      </c>
      <c r="I2289" s="62">
        <v>2016</v>
      </c>
      <c r="J2289" s="62">
        <v>10</v>
      </c>
      <c r="K2289" s="62" t="s">
        <v>19</v>
      </c>
      <c r="L2289" s="62" t="s">
        <v>3</v>
      </c>
      <c r="M2289" s="62">
        <v>290.2751</v>
      </c>
      <c r="N2289" s="62">
        <v>50.7981425</v>
      </c>
    </row>
    <row r="2290" spans="1:14">
      <c r="A2290" s="62">
        <v>2019</v>
      </c>
      <c r="B2290" s="62">
        <v>9</v>
      </c>
      <c r="C2290" s="62" t="s">
        <v>8</v>
      </c>
      <c r="D2290" s="62" t="s">
        <v>1</v>
      </c>
      <c r="E2290" s="62">
        <v>434.125</v>
      </c>
      <c r="F2290" s="62">
        <v>81.49525</v>
      </c>
      <c r="I2290" s="62">
        <v>2016</v>
      </c>
      <c r="J2290" s="62">
        <v>11</v>
      </c>
      <c r="K2290" s="62" t="s">
        <v>19</v>
      </c>
      <c r="L2290" s="62" t="s">
        <v>3</v>
      </c>
      <c r="M2290" s="62">
        <v>124.247</v>
      </c>
      <c r="N2290" s="62">
        <v>21.743225</v>
      </c>
    </row>
    <row r="2291" spans="1:14">
      <c r="A2291" s="62">
        <v>2019</v>
      </c>
      <c r="B2291" s="62">
        <v>10</v>
      </c>
      <c r="C2291" s="62" t="s">
        <v>8</v>
      </c>
      <c r="D2291" s="62" t="s">
        <v>1</v>
      </c>
      <c r="E2291" s="62">
        <v>478.6152</v>
      </c>
      <c r="F2291" s="62">
        <v>96.4659</v>
      </c>
      <c r="I2291" s="62">
        <v>2016</v>
      </c>
      <c r="J2291" s="62">
        <v>12</v>
      </c>
      <c r="K2291" s="62" t="s">
        <v>19</v>
      </c>
      <c r="L2291" s="62" t="s">
        <v>3</v>
      </c>
      <c r="M2291" s="62">
        <v>32.568</v>
      </c>
      <c r="N2291" s="62">
        <v>5.6994</v>
      </c>
    </row>
    <row r="2292" spans="1:14">
      <c r="A2292" s="62">
        <v>2019</v>
      </c>
      <c r="B2292" s="62">
        <v>11</v>
      </c>
      <c r="C2292" s="62" t="s">
        <v>8</v>
      </c>
      <c r="D2292" s="62" t="s">
        <v>1</v>
      </c>
      <c r="E2292" s="62">
        <v>529.535</v>
      </c>
      <c r="F2292" s="62">
        <v>133.600875</v>
      </c>
      <c r="I2292" s="62">
        <v>2017</v>
      </c>
      <c r="J2292" s="62">
        <v>1</v>
      </c>
      <c r="K2292" s="62" t="s">
        <v>19</v>
      </c>
      <c r="L2292" s="62" t="s">
        <v>3</v>
      </c>
      <c r="M2292" s="62">
        <v>260.415</v>
      </c>
      <c r="N2292" s="62">
        <v>45.572625</v>
      </c>
    </row>
    <row r="2293" spans="1:14">
      <c r="A2293" s="62">
        <v>2019</v>
      </c>
      <c r="B2293" s="62">
        <v>12</v>
      </c>
      <c r="C2293" s="62" t="s">
        <v>8</v>
      </c>
      <c r="D2293" s="62" t="s">
        <v>1</v>
      </c>
      <c r="E2293" s="62">
        <v>113.4546</v>
      </c>
      <c r="F2293" s="62">
        <v>39.0911</v>
      </c>
      <c r="I2293" s="62">
        <v>2017</v>
      </c>
      <c r="J2293" s="62">
        <v>2</v>
      </c>
      <c r="K2293" s="62" t="s">
        <v>19</v>
      </c>
      <c r="L2293" s="62" t="s">
        <v>3</v>
      </c>
      <c r="M2293" s="62">
        <v>264.187</v>
      </c>
      <c r="N2293" s="62">
        <v>46.23272499999999</v>
      </c>
    </row>
    <row r="2294" spans="1:14">
      <c r="A2294" s="62">
        <v>2020</v>
      </c>
      <c r="B2294" s="62">
        <v>1</v>
      </c>
      <c r="C2294" s="62" t="s">
        <v>8</v>
      </c>
      <c r="D2294" s="62" t="s">
        <v>1</v>
      </c>
      <c r="E2294" s="62">
        <v>337.9742</v>
      </c>
      <c r="F2294" s="62">
        <v>114.8748</v>
      </c>
      <c r="I2294" s="62">
        <v>2017</v>
      </c>
      <c r="J2294" s="62">
        <v>3</v>
      </c>
      <c r="K2294" s="62" t="s">
        <v>19</v>
      </c>
      <c r="L2294" s="62" t="s">
        <v>3</v>
      </c>
      <c r="M2294" s="62">
        <v>113.748</v>
      </c>
      <c r="N2294" s="62">
        <v>19.9059</v>
      </c>
    </row>
    <row r="2295" spans="1:14">
      <c r="A2295" s="62">
        <v>2020</v>
      </c>
      <c r="B2295" s="62">
        <v>2</v>
      </c>
      <c r="C2295" s="62" t="s">
        <v>8</v>
      </c>
      <c r="D2295" s="62" t="s">
        <v>1</v>
      </c>
      <c r="E2295" s="62">
        <v>442.414</v>
      </c>
      <c r="F2295" s="62">
        <v>141.4252</v>
      </c>
      <c r="I2295" s="62">
        <v>2017</v>
      </c>
      <c r="J2295" s="62">
        <v>4</v>
      </c>
      <c r="K2295" s="62" t="s">
        <v>19</v>
      </c>
      <c r="L2295" s="62" t="s">
        <v>3</v>
      </c>
      <c r="M2295" s="62">
        <v>80.108</v>
      </c>
      <c r="N2295" s="62">
        <v>14.0189</v>
      </c>
    </row>
    <row r="2296" spans="1:14">
      <c r="A2296" s="62">
        <v>2020</v>
      </c>
      <c r="B2296" s="62">
        <v>3</v>
      </c>
      <c r="C2296" s="62" t="s">
        <v>8</v>
      </c>
      <c r="D2296" s="62" t="s">
        <v>1</v>
      </c>
      <c r="E2296" s="62">
        <v>687.9954</v>
      </c>
      <c r="F2296" s="62">
        <v>156.002725</v>
      </c>
      <c r="I2296" s="62">
        <v>2017</v>
      </c>
      <c r="J2296" s="62">
        <v>5</v>
      </c>
      <c r="K2296" s="62" t="s">
        <v>19</v>
      </c>
      <c r="L2296" s="62" t="s">
        <v>3</v>
      </c>
      <c r="M2296" s="62">
        <v>166.82</v>
      </c>
      <c r="N2296" s="62">
        <v>29.1935</v>
      </c>
    </row>
    <row r="2297" spans="1:14">
      <c r="A2297" s="62">
        <v>2020</v>
      </c>
      <c r="B2297" s="62">
        <v>4</v>
      </c>
      <c r="C2297" s="62" t="s">
        <v>8</v>
      </c>
      <c r="D2297" s="62" t="s">
        <v>1</v>
      </c>
      <c r="E2297" s="62">
        <v>2872.6144</v>
      </c>
      <c r="F2297" s="62">
        <v>547.229255</v>
      </c>
      <c r="I2297" s="62">
        <v>2017</v>
      </c>
      <c r="J2297" s="62">
        <v>6</v>
      </c>
      <c r="K2297" s="62" t="s">
        <v>19</v>
      </c>
      <c r="L2297" s="62" t="s">
        <v>3</v>
      </c>
      <c r="M2297" s="62">
        <v>34.01</v>
      </c>
      <c r="N2297" s="62">
        <v>5.95175</v>
      </c>
    </row>
    <row r="2298" spans="1:14">
      <c r="A2298" s="62">
        <v>2020</v>
      </c>
      <c r="B2298" s="62">
        <v>5</v>
      </c>
      <c r="C2298" s="62" t="s">
        <v>8</v>
      </c>
      <c r="D2298" s="62" t="s">
        <v>1</v>
      </c>
      <c r="E2298" s="62">
        <v>3411.696</v>
      </c>
      <c r="F2298" s="62">
        <v>690.27805</v>
      </c>
      <c r="I2298" s="62">
        <v>2017</v>
      </c>
      <c r="J2298" s="62">
        <v>7</v>
      </c>
      <c r="K2298" s="62" t="s">
        <v>19</v>
      </c>
      <c r="L2298" s="62" t="s">
        <v>3</v>
      </c>
      <c r="M2298" s="62">
        <v>20.69</v>
      </c>
      <c r="N2298" s="62">
        <v>3.62075</v>
      </c>
    </row>
    <row r="2299" spans="1:14">
      <c r="A2299" s="62">
        <v>2020</v>
      </c>
      <c r="B2299" s="62">
        <v>6</v>
      </c>
      <c r="C2299" s="62" t="s">
        <v>8</v>
      </c>
      <c r="D2299" s="62" t="s">
        <v>1</v>
      </c>
      <c r="E2299" s="62">
        <v>3343.7066</v>
      </c>
      <c r="F2299" s="62">
        <v>677.65916</v>
      </c>
      <c r="I2299" s="62">
        <v>2017</v>
      </c>
      <c r="J2299" s="62">
        <v>8</v>
      </c>
      <c r="K2299" s="62" t="s">
        <v>19</v>
      </c>
      <c r="L2299" s="62" t="s">
        <v>3</v>
      </c>
      <c r="M2299" s="62">
        <v>322.2149</v>
      </c>
      <c r="N2299" s="62">
        <v>56.38760749999999</v>
      </c>
    </row>
    <row r="2300" spans="1:14">
      <c r="A2300" s="62">
        <v>2020</v>
      </c>
      <c r="B2300" s="62">
        <v>7</v>
      </c>
      <c r="C2300" s="62" t="s">
        <v>8</v>
      </c>
      <c r="D2300" s="62" t="s">
        <v>1</v>
      </c>
      <c r="E2300" s="62">
        <v>3229.6512</v>
      </c>
      <c r="F2300" s="62">
        <v>685.9982199999999</v>
      </c>
      <c r="I2300" s="62">
        <v>2017</v>
      </c>
      <c r="J2300" s="62">
        <v>9</v>
      </c>
      <c r="K2300" s="62" t="s">
        <v>19</v>
      </c>
      <c r="L2300" s="62" t="s">
        <v>3</v>
      </c>
      <c r="M2300" s="62">
        <v>797.1875</v>
      </c>
      <c r="N2300" s="62">
        <v>139.5078125</v>
      </c>
    </row>
    <row r="2301" spans="1:14">
      <c r="A2301" s="62">
        <v>2020</v>
      </c>
      <c r="B2301" s="62">
        <v>8</v>
      </c>
      <c r="C2301" s="62" t="s">
        <v>8</v>
      </c>
      <c r="D2301" s="62" t="s">
        <v>1</v>
      </c>
      <c r="E2301" s="62">
        <v>2795.692</v>
      </c>
      <c r="F2301" s="62">
        <v>578.9073999999999</v>
      </c>
      <c r="I2301" s="62">
        <v>2017</v>
      </c>
      <c r="J2301" s="62">
        <v>10</v>
      </c>
      <c r="K2301" s="62" t="s">
        <v>19</v>
      </c>
      <c r="L2301" s="62" t="s">
        <v>3</v>
      </c>
      <c r="M2301" s="62">
        <v>230.767</v>
      </c>
      <c r="N2301" s="62">
        <v>40.384225</v>
      </c>
    </row>
    <row r="2302" spans="1:14">
      <c r="A2302" s="62">
        <v>2020</v>
      </c>
      <c r="B2302" s="62">
        <v>9</v>
      </c>
      <c r="C2302" s="62" t="s">
        <v>8</v>
      </c>
      <c r="D2302" s="62" t="s">
        <v>1</v>
      </c>
      <c r="E2302" s="62">
        <v>2772.3316</v>
      </c>
      <c r="F2302" s="62">
        <v>580.28939</v>
      </c>
      <c r="I2302" s="62">
        <v>2017</v>
      </c>
      <c r="J2302" s="62">
        <v>11</v>
      </c>
      <c r="K2302" s="62" t="s">
        <v>19</v>
      </c>
      <c r="L2302" s="62" t="s">
        <v>3</v>
      </c>
      <c r="M2302" s="62">
        <v>64.89</v>
      </c>
      <c r="N2302" s="62">
        <v>11.35575</v>
      </c>
    </row>
    <row r="2303" spans="1:14">
      <c r="A2303" s="62">
        <v>2020</v>
      </c>
      <c r="B2303" s="62">
        <v>10</v>
      </c>
      <c r="C2303" s="62" t="s">
        <v>8</v>
      </c>
      <c r="D2303" s="62" t="s">
        <v>1</v>
      </c>
      <c r="E2303" s="62">
        <v>2751.5482</v>
      </c>
      <c r="F2303" s="62">
        <v>589.7068</v>
      </c>
      <c r="I2303" s="62">
        <v>2017</v>
      </c>
      <c r="J2303" s="62">
        <v>12</v>
      </c>
      <c r="K2303" s="62" t="s">
        <v>19</v>
      </c>
      <c r="L2303" s="62" t="s">
        <v>3</v>
      </c>
      <c r="M2303" s="62">
        <v>26.14</v>
      </c>
      <c r="N2303" s="62">
        <v>4.5745</v>
      </c>
    </row>
    <row r="2304" spans="1:14">
      <c r="A2304" s="62">
        <v>2020</v>
      </c>
      <c r="B2304" s="62">
        <v>11</v>
      </c>
      <c r="C2304" s="62" t="s">
        <v>8</v>
      </c>
      <c r="D2304" s="62" t="s">
        <v>1</v>
      </c>
      <c r="E2304" s="62">
        <v>2668.3016</v>
      </c>
      <c r="F2304" s="62">
        <v>604.54107</v>
      </c>
      <c r="I2304" s="62">
        <v>2018</v>
      </c>
      <c r="J2304" s="62">
        <v>1</v>
      </c>
      <c r="K2304" s="62" t="s">
        <v>19</v>
      </c>
      <c r="L2304" s="62" t="s">
        <v>3</v>
      </c>
      <c r="M2304" s="62">
        <v>96.62</v>
      </c>
      <c r="N2304" s="62">
        <v>16.9085</v>
      </c>
    </row>
    <row r="2305" spans="1:14">
      <c r="A2305" s="62">
        <v>2020</v>
      </c>
      <c r="B2305" s="62">
        <v>12</v>
      </c>
      <c r="C2305" s="62" t="s">
        <v>8</v>
      </c>
      <c r="D2305" s="62" t="s">
        <v>1</v>
      </c>
      <c r="E2305" s="62">
        <v>2668.4</v>
      </c>
      <c r="F2305" s="62">
        <v>576.602</v>
      </c>
      <c r="I2305" s="62">
        <v>2018</v>
      </c>
      <c r="J2305" s="62">
        <v>2</v>
      </c>
      <c r="K2305" s="62" t="s">
        <v>19</v>
      </c>
      <c r="L2305" s="62" t="s">
        <v>3</v>
      </c>
      <c r="M2305" s="62">
        <v>276.06</v>
      </c>
      <c r="N2305" s="62">
        <v>48.3105</v>
      </c>
    </row>
    <row r="2306" spans="1:14">
      <c r="A2306" s="62">
        <v>2021</v>
      </c>
      <c r="B2306" s="62">
        <v>1</v>
      </c>
      <c r="C2306" s="62" t="s">
        <v>8</v>
      </c>
      <c r="D2306" s="62" t="s">
        <v>1</v>
      </c>
      <c r="E2306" s="62">
        <v>2884.8618</v>
      </c>
      <c r="F2306" s="62">
        <v>583.368305</v>
      </c>
      <c r="I2306" s="62">
        <v>2018</v>
      </c>
      <c r="J2306" s="62">
        <v>3</v>
      </c>
      <c r="K2306" s="62" t="s">
        <v>19</v>
      </c>
      <c r="L2306" s="62" t="s">
        <v>3</v>
      </c>
      <c r="M2306" s="62">
        <v>91.00700000000001</v>
      </c>
      <c r="N2306" s="62">
        <v>15.926225</v>
      </c>
    </row>
    <row r="2307" spans="1:14">
      <c r="A2307" s="62">
        <v>2021</v>
      </c>
      <c r="B2307" s="62">
        <v>2</v>
      </c>
      <c r="C2307" s="62" t="s">
        <v>8</v>
      </c>
      <c r="D2307" s="62" t="s">
        <v>1</v>
      </c>
      <c r="E2307" s="62">
        <v>2871.4495</v>
      </c>
      <c r="F2307" s="62">
        <v>587.964025</v>
      </c>
      <c r="I2307" s="62">
        <v>2018</v>
      </c>
      <c r="J2307" s="62">
        <v>4</v>
      </c>
      <c r="K2307" s="62" t="s">
        <v>19</v>
      </c>
      <c r="L2307" s="62" t="s">
        <v>3</v>
      </c>
      <c r="M2307" s="62">
        <v>44.895</v>
      </c>
      <c r="N2307" s="62">
        <v>7.856624999999999</v>
      </c>
    </row>
    <row r="2308" spans="1:14">
      <c r="A2308" s="62">
        <v>2021</v>
      </c>
      <c r="B2308" s="62">
        <v>3</v>
      </c>
      <c r="C2308" s="62" t="s">
        <v>8</v>
      </c>
      <c r="D2308" s="62" t="s">
        <v>1</v>
      </c>
      <c r="E2308" s="62">
        <v>2298.41</v>
      </c>
      <c r="F2308" s="62">
        <v>489.11287</v>
      </c>
      <c r="I2308" s="62">
        <v>2018</v>
      </c>
      <c r="J2308" s="62">
        <v>5</v>
      </c>
      <c r="K2308" s="62" t="s">
        <v>19</v>
      </c>
      <c r="L2308" s="62" t="s">
        <v>3</v>
      </c>
      <c r="M2308" s="62">
        <v>76.07599999999999</v>
      </c>
      <c r="N2308" s="62">
        <v>13.3133</v>
      </c>
    </row>
    <row r="2309" spans="1:14">
      <c r="A2309" s="62">
        <v>2021</v>
      </c>
      <c r="B2309" s="62">
        <v>4</v>
      </c>
      <c r="C2309" s="62" t="s">
        <v>8</v>
      </c>
      <c r="D2309" s="62" t="s">
        <v>1</v>
      </c>
      <c r="E2309" s="62">
        <v>1514.4455</v>
      </c>
      <c r="F2309" s="62">
        <v>335.063935</v>
      </c>
      <c r="I2309" s="62">
        <v>2018</v>
      </c>
      <c r="J2309" s="62">
        <v>6</v>
      </c>
      <c r="K2309" s="62" t="s">
        <v>19</v>
      </c>
      <c r="L2309" s="62" t="s">
        <v>3</v>
      </c>
      <c r="M2309" s="62">
        <v>50.295</v>
      </c>
      <c r="N2309" s="62">
        <v>8.801625</v>
      </c>
    </row>
    <row r="2310" spans="1:14">
      <c r="A2310" s="62">
        <v>2021</v>
      </c>
      <c r="B2310" s="62">
        <v>5</v>
      </c>
      <c r="C2310" s="62" t="s">
        <v>8</v>
      </c>
      <c r="D2310" s="62" t="s">
        <v>1</v>
      </c>
      <c r="E2310" s="62">
        <v>1088.2939</v>
      </c>
      <c r="F2310" s="62">
        <v>274.60309</v>
      </c>
      <c r="I2310" s="62">
        <v>2018</v>
      </c>
      <c r="J2310" s="62">
        <v>7</v>
      </c>
      <c r="K2310" s="62" t="s">
        <v>19</v>
      </c>
      <c r="L2310" s="62" t="s">
        <v>3</v>
      </c>
      <c r="M2310" s="62">
        <v>127.354</v>
      </c>
      <c r="N2310" s="62">
        <v>22.28695</v>
      </c>
    </row>
    <row r="2311" spans="1:14">
      <c r="A2311" s="62">
        <v>2021</v>
      </c>
      <c r="B2311" s="62">
        <v>6</v>
      </c>
      <c r="C2311" s="62" t="s">
        <v>8</v>
      </c>
      <c r="D2311" s="62" t="s">
        <v>1</v>
      </c>
      <c r="E2311" s="62">
        <v>751.351</v>
      </c>
      <c r="F2311" s="62">
        <v>189.7015</v>
      </c>
      <c r="I2311" s="62">
        <v>2018</v>
      </c>
      <c r="J2311" s="62">
        <v>8</v>
      </c>
      <c r="K2311" s="62" t="s">
        <v>19</v>
      </c>
      <c r="L2311" s="62" t="s">
        <v>3</v>
      </c>
      <c r="M2311" s="62">
        <v>83.24290000000001</v>
      </c>
      <c r="N2311" s="62">
        <v>14.5675075</v>
      </c>
    </row>
    <row r="2312" spans="1:14">
      <c r="A2312" s="62">
        <v>2021</v>
      </c>
      <c r="B2312" s="62">
        <v>7</v>
      </c>
      <c r="C2312" s="62" t="s">
        <v>8</v>
      </c>
      <c r="D2312" s="62" t="s">
        <v>1</v>
      </c>
      <c r="E2312" s="62">
        <v>754.5775</v>
      </c>
      <c r="F2312" s="62">
        <v>158.4670625</v>
      </c>
      <c r="I2312" s="62">
        <v>2018</v>
      </c>
      <c r="J2312" s="62">
        <v>9</v>
      </c>
      <c r="K2312" s="62" t="s">
        <v>19</v>
      </c>
      <c r="L2312" s="62" t="s">
        <v>3</v>
      </c>
      <c r="M2312" s="62">
        <v>140.3149</v>
      </c>
      <c r="N2312" s="62">
        <v>24.5551075</v>
      </c>
    </row>
    <row r="2313" spans="1:14">
      <c r="A2313" s="62">
        <v>2021</v>
      </c>
      <c r="B2313" s="62">
        <v>8</v>
      </c>
      <c r="C2313" s="62" t="s">
        <v>8</v>
      </c>
      <c r="D2313" s="62" t="s">
        <v>1</v>
      </c>
      <c r="E2313" s="62">
        <v>533.8200000000001</v>
      </c>
      <c r="F2313" s="62">
        <v>131.40825</v>
      </c>
      <c r="I2313" s="62">
        <v>2018</v>
      </c>
      <c r="J2313" s="62">
        <v>10</v>
      </c>
      <c r="K2313" s="62" t="s">
        <v>19</v>
      </c>
      <c r="L2313" s="62" t="s">
        <v>3</v>
      </c>
      <c r="M2313" s="62">
        <v>117.92</v>
      </c>
      <c r="N2313" s="62">
        <v>20.636</v>
      </c>
    </row>
    <row r="2314" spans="1:14">
      <c r="A2314" s="62">
        <v>2021</v>
      </c>
      <c r="B2314" s="62">
        <v>9</v>
      </c>
      <c r="C2314" s="62" t="s">
        <v>8</v>
      </c>
      <c r="D2314" s="62" t="s">
        <v>1</v>
      </c>
      <c r="E2314" s="62">
        <v>595.3662</v>
      </c>
      <c r="F2314" s="62">
        <v>154.23925</v>
      </c>
      <c r="I2314" s="62">
        <v>2018</v>
      </c>
      <c r="J2314" s="62">
        <v>11</v>
      </c>
      <c r="K2314" s="62" t="s">
        <v>19</v>
      </c>
      <c r="L2314" s="62" t="s">
        <v>3</v>
      </c>
      <c r="M2314" s="62">
        <v>61.4521</v>
      </c>
      <c r="N2314" s="62">
        <v>10.7541175</v>
      </c>
    </row>
    <row r="2315" spans="1:14">
      <c r="A2315" s="62">
        <v>2021</v>
      </c>
      <c r="B2315" s="62">
        <v>10</v>
      </c>
      <c r="C2315" s="62" t="s">
        <v>8</v>
      </c>
      <c r="D2315" s="62" t="s">
        <v>1</v>
      </c>
      <c r="E2315" s="62">
        <v>505.2192</v>
      </c>
      <c r="F2315" s="62">
        <v>158.36555</v>
      </c>
      <c r="I2315" s="62">
        <v>2018</v>
      </c>
      <c r="J2315" s="62">
        <v>12</v>
      </c>
      <c r="K2315" s="62" t="s">
        <v>19</v>
      </c>
      <c r="L2315" s="62" t="s">
        <v>3</v>
      </c>
      <c r="M2315" s="62">
        <v>61.18</v>
      </c>
      <c r="N2315" s="62">
        <v>10.7065</v>
      </c>
    </row>
    <row r="2316" spans="1:14">
      <c r="A2316" s="62">
        <v>2021</v>
      </c>
      <c r="B2316" s="62">
        <v>11</v>
      </c>
      <c r="C2316" s="62" t="s">
        <v>8</v>
      </c>
      <c r="D2316" s="62" t="s">
        <v>1</v>
      </c>
      <c r="E2316" s="62">
        <v>302.898</v>
      </c>
      <c r="F2316" s="62">
        <v>144.379</v>
      </c>
      <c r="I2316" s="62">
        <v>2019</v>
      </c>
      <c r="J2316" s="62">
        <v>1</v>
      </c>
      <c r="K2316" s="62" t="s">
        <v>19</v>
      </c>
      <c r="L2316" s="62" t="s">
        <v>3</v>
      </c>
      <c r="M2316" s="62">
        <v>265.07</v>
      </c>
      <c r="N2316" s="62">
        <v>46.38724999999999</v>
      </c>
    </row>
    <row r="2317" spans="1:14">
      <c r="A2317" s="62">
        <v>2021</v>
      </c>
      <c r="B2317" s="62">
        <v>12</v>
      </c>
      <c r="C2317" s="62" t="s">
        <v>8</v>
      </c>
      <c r="D2317" s="62" t="s">
        <v>1</v>
      </c>
      <c r="E2317" s="62">
        <v>230.55</v>
      </c>
      <c r="F2317" s="62">
        <v>81.804125</v>
      </c>
      <c r="I2317" s="62">
        <v>2019</v>
      </c>
      <c r="J2317" s="62">
        <v>2</v>
      </c>
      <c r="K2317" s="62" t="s">
        <v>19</v>
      </c>
      <c r="L2317" s="62" t="s">
        <v>3</v>
      </c>
      <c r="M2317" s="62">
        <v>326.4896</v>
      </c>
      <c r="N2317" s="62">
        <v>57.13568</v>
      </c>
    </row>
    <row r="2318" spans="1:14">
      <c r="A2318" s="62">
        <v>2022</v>
      </c>
      <c r="B2318" s="62">
        <v>1</v>
      </c>
      <c r="C2318" s="62" t="s">
        <v>8</v>
      </c>
      <c r="D2318" s="62" t="s">
        <v>1</v>
      </c>
      <c r="E2318" s="62">
        <v>859.173</v>
      </c>
      <c r="F2318" s="62">
        <v>181.536</v>
      </c>
      <c r="I2318" s="62">
        <v>2019</v>
      </c>
      <c r="J2318" s="62">
        <v>3</v>
      </c>
      <c r="K2318" s="62" t="s">
        <v>19</v>
      </c>
      <c r="L2318" s="62" t="s">
        <v>3</v>
      </c>
      <c r="M2318" s="62">
        <v>417.79</v>
      </c>
      <c r="N2318" s="62">
        <v>73.11324999999999</v>
      </c>
    </row>
    <row r="2319" spans="1:14">
      <c r="A2319" s="62">
        <v>2022</v>
      </c>
      <c r="B2319" s="62">
        <v>2</v>
      </c>
      <c r="C2319" s="62" t="s">
        <v>8</v>
      </c>
      <c r="D2319" s="62" t="s">
        <v>1</v>
      </c>
      <c r="E2319" s="62">
        <v>934.837</v>
      </c>
      <c r="F2319" s="62">
        <v>155.3992</v>
      </c>
      <c r="I2319" s="62">
        <v>2019</v>
      </c>
      <c r="J2319" s="62">
        <v>4</v>
      </c>
      <c r="K2319" s="62" t="s">
        <v>19</v>
      </c>
      <c r="L2319" s="62" t="s">
        <v>3</v>
      </c>
      <c r="M2319" s="62">
        <v>442.795</v>
      </c>
      <c r="N2319" s="62">
        <v>77.48912499999999</v>
      </c>
    </row>
    <row r="2320" spans="1:14">
      <c r="A2320" s="62">
        <v>2022</v>
      </c>
      <c r="B2320" s="62">
        <v>3</v>
      </c>
      <c r="C2320" s="62" t="s">
        <v>8</v>
      </c>
      <c r="D2320" s="62" t="s">
        <v>1</v>
      </c>
      <c r="E2320" s="62">
        <v>412.0255</v>
      </c>
      <c r="F2320" s="62">
        <v>107.342375</v>
      </c>
      <c r="I2320" s="62">
        <v>2019</v>
      </c>
      <c r="J2320" s="62">
        <v>5</v>
      </c>
      <c r="K2320" s="62" t="s">
        <v>19</v>
      </c>
      <c r="L2320" s="62" t="s">
        <v>3</v>
      </c>
      <c r="M2320" s="62">
        <v>305.3743</v>
      </c>
      <c r="N2320" s="62">
        <v>53.44050249999999</v>
      </c>
    </row>
    <row r="2321" spans="1:14">
      <c r="A2321" s="62">
        <v>2022</v>
      </c>
      <c r="B2321" s="62">
        <v>4</v>
      </c>
      <c r="C2321" s="62" t="s">
        <v>8</v>
      </c>
      <c r="D2321" s="62" t="s">
        <v>1</v>
      </c>
      <c r="E2321" s="62">
        <v>751.0555000000001</v>
      </c>
      <c r="F2321" s="62">
        <v>195.604125</v>
      </c>
      <c r="I2321" s="62">
        <v>2019</v>
      </c>
      <c r="J2321" s="62">
        <v>6</v>
      </c>
      <c r="K2321" s="62" t="s">
        <v>19</v>
      </c>
      <c r="L2321" s="62" t="s">
        <v>3</v>
      </c>
      <c r="M2321" s="62">
        <v>109.36</v>
      </c>
      <c r="N2321" s="62">
        <v>19.138</v>
      </c>
    </row>
    <row r="2322" spans="1:14">
      <c r="A2322" s="62">
        <v>2022</v>
      </c>
      <c r="B2322" s="62">
        <v>5</v>
      </c>
      <c r="C2322" s="62" t="s">
        <v>8</v>
      </c>
      <c r="D2322" s="62" t="s">
        <v>1</v>
      </c>
      <c r="E2322" s="62">
        <v>636.314</v>
      </c>
      <c r="F2322" s="62">
        <v>155.5843</v>
      </c>
      <c r="I2322" s="62">
        <v>2019</v>
      </c>
      <c r="J2322" s="62">
        <v>7</v>
      </c>
      <c r="K2322" s="62" t="s">
        <v>19</v>
      </c>
      <c r="L2322" s="62" t="s">
        <v>3</v>
      </c>
      <c r="M2322" s="62">
        <v>108.03</v>
      </c>
      <c r="N2322" s="62">
        <v>18.90525</v>
      </c>
    </row>
    <row r="2323" spans="1:14">
      <c r="A2323" s="62">
        <v>2022</v>
      </c>
      <c r="B2323" s="62">
        <v>6</v>
      </c>
      <c r="C2323" s="62" t="s">
        <v>8</v>
      </c>
      <c r="D2323" s="62" t="s">
        <v>1</v>
      </c>
      <c r="E2323" s="62">
        <v>811.2688000000001</v>
      </c>
      <c r="F2323" s="62">
        <v>180.5375</v>
      </c>
      <c r="I2323" s="62">
        <v>2019</v>
      </c>
      <c r="J2323" s="62">
        <v>8</v>
      </c>
      <c r="K2323" s="62" t="s">
        <v>19</v>
      </c>
      <c r="L2323" s="62" t="s">
        <v>3</v>
      </c>
      <c r="M2323" s="62">
        <v>57.29</v>
      </c>
      <c r="N2323" s="62">
        <v>10.02575</v>
      </c>
    </row>
    <row r="2324" spans="1:14">
      <c r="A2324" s="62">
        <v>2022</v>
      </c>
      <c r="B2324" s="62">
        <v>7</v>
      </c>
      <c r="C2324" s="62" t="s">
        <v>8</v>
      </c>
      <c r="D2324" s="62" t="s">
        <v>1</v>
      </c>
      <c r="E2324" s="62">
        <v>902.7569999999999</v>
      </c>
      <c r="F2324" s="62">
        <v>216.432925</v>
      </c>
      <c r="I2324" s="62">
        <v>2019</v>
      </c>
      <c r="J2324" s="62">
        <v>9</v>
      </c>
      <c r="K2324" s="62" t="s">
        <v>19</v>
      </c>
      <c r="L2324" s="62" t="s">
        <v>3</v>
      </c>
      <c r="M2324" s="62">
        <v>318.8199</v>
      </c>
      <c r="N2324" s="62">
        <v>55.7934825</v>
      </c>
    </row>
    <row r="2325" spans="1:14">
      <c r="A2325" s="62">
        <v>2022</v>
      </c>
      <c r="B2325" s="62">
        <v>8</v>
      </c>
      <c r="C2325" s="62" t="s">
        <v>8</v>
      </c>
      <c r="D2325" s="62" t="s">
        <v>1</v>
      </c>
      <c r="E2325" s="62">
        <v>256.974</v>
      </c>
      <c r="F2325" s="62">
        <v>67.8755</v>
      </c>
      <c r="I2325" s="62">
        <v>2019</v>
      </c>
      <c r="J2325" s="62">
        <v>10</v>
      </c>
      <c r="K2325" s="62" t="s">
        <v>19</v>
      </c>
      <c r="L2325" s="62" t="s">
        <v>3</v>
      </c>
      <c r="M2325" s="62">
        <v>343.2903</v>
      </c>
      <c r="N2325" s="62">
        <v>60.07580249999999</v>
      </c>
    </row>
    <row r="2326" spans="1:14">
      <c r="A2326" s="62">
        <v>2022</v>
      </c>
      <c r="B2326" s="62">
        <v>9</v>
      </c>
      <c r="C2326" s="62" t="s">
        <v>8</v>
      </c>
      <c r="D2326" s="62" t="s">
        <v>1</v>
      </c>
      <c r="E2326" s="62">
        <v>438.257</v>
      </c>
      <c r="F2326" s="62">
        <v>104.742875</v>
      </c>
      <c r="I2326" s="62">
        <v>2019</v>
      </c>
      <c r="J2326" s="62">
        <v>11</v>
      </c>
      <c r="K2326" s="62" t="s">
        <v>19</v>
      </c>
      <c r="L2326" s="62" t="s">
        <v>3</v>
      </c>
      <c r="M2326" s="62">
        <v>194.24</v>
      </c>
      <c r="N2326" s="62">
        <v>33.992</v>
      </c>
    </row>
    <row r="2327" spans="1:14">
      <c r="A2327" s="62">
        <v>2022</v>
      </c>
      <c r="B2327" s="62">
        <v>10</v>
      </c>
      <c r="C2327" s="62" t="s">
        <v>8</v>
      </c>
      <c r="D2327" s="62" t="s">
        <v>1</v>
      </c>
      <c r="E2327" s="62">
        <v>625.438</v>
      </c>
      <c r="F2327" s="62">
        <v>134.29285</v>
      </c>
      <c r="I2327" s="62">
        <v>2019</v>
      </c>
      <c r="J2327" s="62">
        <v>12</v>
      </c>
      <c r="K2327" s="62" t="s">
        <v>19</v>
      </c>
      <c r="L2327" s="62" t="s">
        <v>3</v>
      </c>
      <c r="M2327" s="62">
        <v>89.565</v>
      </c>
      <c r="N2327" s="62">
        <v>15.673875</v>
      </c>
    </row>
    <row r="2328" spans="1:14">
      <c r="A2328" s="62">
        <v>2022</v>
      </c>
      <c r="B2328" s="62">
        <v>11</v>
      </c>
      <c r="C2328" s="62" t="s">
        <v>8</v>
      </c>
      <c r="D2328" s="62" t="s">
        <v>1</v>
      </c>
      <c r="E2328" s="62">
        <v>151.48</v>
      </c>
      <c r="F2328" s="62">
        <v>55.97825</v>
      </c>
      <c r="I2328" s="62">
        <v>2020</v>
      </c>
      <c r="J2328" s="62">
        <v>1</v>
      </c>
      <c r="K2328" s="62" t="s">
        <v>19</v>
      </c>
      <c r="L2328" s="62" t="s">
        <v>3</v>
      </c>
      <c r="M2328" s="62">
        <v>125.8</v>
      </c>
      <c r="N2328" s="62">
        <v>22.015</v>
      </c>
    </row>
    <row r="2329" spans="1:14">
      <c r="A2329" s="62">
        <v>2022</v>
      </c>
      <c r="B2329" s="62">
        <v>12</v>
      </c>
      <c r="C2329" s="62" t="s">
        <v>8</v>
      </c>
      <c r="D2329" s="62" t="s">
        <v>1</v>
      </c>
      <c r="E2329" s="62">
        <v>111.92</v>
      </c>
      <c r="F2329" s="62">
        <v>15.66825</v>
      </c>
      <c r="I2329" s="62">
        <v>2020</v>
      </c>
      <c r="J2329" s="62">
        <v>2</v>
      </c>
      <c r="K2329" s="62" t="s">
        <v>19</v>
      </c>
      <c r="L2329" s="62" t="s">
        <v>3</v>
      </c>
      <c r="M2329" s="62">
        <v>166.8231</v>
      </c>
      <c r="N2329" s="62">
        <v>29.1940425</v>
      </c>
    </row>
    <row r="2330" spans="1:14">
      <c r="A2330" s="62">
        <v>2023</v>
      </c>
      <c r="B2330" s="62">
        <v>1</v>
      </c>
      <c r="C2330" s="62" t="s">
        <v>8</v>
      </c>
      <c r="D2330" s="62" t="s">
        <v>1</v>
      </c>
      <c r="E2330" s="62">
        <v>617.2497999999999</v>
      </c>
      <c r="F2330" s="62">
        <v>138.7955</v>
      </c>
      <c r="I2330" s="62">
        <v>2020</v>
      </c>
      <c r="J2330" s="62">
        <v>3</v>
      </c>
      <c r="K2330" s="62" t="s">
        <v>19</v>
      </c>
      <c r="L2330" s="62" t="s">
        <v>3</v>
      </c>
      <c r="M2330" s="62">
        <v>270.0643</v>
      </c>
      <c r="N2330" s="62">
        <v>47.2612525</v>
      </c>
    </row>
    <row r="2331" spans="1:14">
      <c r="A2331" s="62">
        <v>2023</v>
      </c>
      <c r="B2331" s="62">
        <v>2</v>
      </c>
      <c r="C2331" s="62" t="s">
        <v>8</v>
      </c>
      <c r="D2331" s="62" t="s">
        <v>1</v>
      </c>
      <c r="E2331" s="62">
        <v>1255.1687</v>
      </c>
      <c r="F2331" s="62">
        <v>288.447975</v>
      </c>
      <c r="I2331" s="62">
        <v>2020</v>
      </c>
      <c r="J2331" s="62">
        <v>4</v>
      </c>
      <c r="K2331" s="62" t="s">
        <v>19</v>
      </c>
      <c r="L2331" s="62" t="s">
        <v>3</v>
      </c>
      <c r="M2331" s="62">
        <v>1403.8894</v>
      </c>
      <c r="N2331" s="62">
        <v>245.680645</v>
      </c>
    </row>
    <row r="2332" spans="1:14">
      <c r="A2332" s="62">
        <v>2023</v>
      </c>
      <c r="B2332" s="62">
        <v>3</v>
      </c>
      <c r="C2332" s="62" t="s">
        <v>8</v>
      </c>
      <c r="D2332" s="62" t="s">
        <v>1</v>
      </c>
      <c r="E2332" s="62">
        <v>727.2744</v>
      </c>
      <c r="F2332" s="62">
        <v>163.01275</v>
      </c>
      <c r="I2332" s="62">
        <v>2020</v>
      </c>
      <c r="J2332" s="62">
        <v>5</v>
      </c>
      <c r="K2332" s="62" t="s">
        <v>19</v>
      </c>
      <c r="L2332" s="62" t="s">
        <v>3</v>
      </c>
      <c r="M2332" s="62">
        <v>1398.7683</v>
      </c>
      <c r="N2332" s="62">
        <v>244.7844525</v>
      </c>
    </row>
    <row r="2333" spans="1:14">
      <c r="A2333" s="62">
        <v>2023</v>
      </c>
      <c r="B2333" s="62">
        <v>4</v>
      </c>
      <c r="C2333" s="62" t="s">
        <v>8</v>
      </c>
      <c r="D2333" s="62" t="s">
        <v>1</v>
      </c>
      <c r="E2333" s="62">
        <v>724.665</v>
      </c>
      <c r="F2333" s="62">
        <v>177.5855</v>
      </c>
      <c r="I2333" s="62">
        <v>2020</v>
      </c>
      <c r="J2333" s="62">
        <v>6</v>
      </c>
      <c r="K2333" s="62" t="s">
        <v>19</v>
      </c>
      <c r="L2333" s="62" t="s">
        <v>3</v>
      </c>
      <c r="M2333" s="62">
        <v>1462.2225</v>
      </c>
      <c r="N2333" s="62">
        <v>255.8889375</v>
      </c>
    </row>
    <row r="2334" spans="1:14">
      <c r="A2334" s="62">
        <v>2023</v>
      </c>
      <c r="B2334" s="62">
        <v>5</v>
      </c>
      <c r="C2334" s="62" t="s">
        <v>8</v>
      </c>
      <c r="D2334" s="62" t="s">
        <v>1</v>
      </c>
      <c r="E2334" s="62">
        <v>482.509</v>
      </c>
      <c r="F2334" s="62">
        <v>132.357825</v>
      </c>
      <c r="I2334" s="62">
        <v>2020</v>
      </c>
      <c r="J2334" s="62">
        <v>7</v>
      </c>
      <c r="K2334" s="62" t="s">
        <v>19</v>
      </c>
      <c r="L2334" s="62" t="s">
        <v>3</v>
      </c>
      <c r="M2334" s="62">
        <v>1443.459</v>
      </c>
      <c r="N2334" s="62">
        <v>252.605325</v>
      </c>
    </row>
    <row r="2335" spans="1:14">
      <c r="A2335" s="62">
        <v>2023</v>
      </c>
      <c r="B2335" s="62">
        <v>6</v>
      </c>
      <c r="C2335" s="62" t="s">
        <v>8</v>
      </c>
      <c r="D2335" s="62" t="s">
        <v>1</v>
      </c>
      <c r="E2335" s="62">
        <v>40.6612</v>
      </c>
      <c r="F2335" s="62">
        <v>9.551310000000001</v>
      </c>
      <c r="I2335" s="62">
        <v>2020</v>
      </c>
      <c r="J2335" s="62">
        <v>8</v>
      </c>
      <c r="K2335" s="62" t="s">
        <v>19</v>
      </c>
      <c r="L2335" s="62" t="s">
        <v>3</v>
      </c>
      <c r="M2335" s="62">
        <v>1539.773</v>
      </c>
      <c r="N2335" s="62">
        <v>269.460275</v>
      </c>
    </row>
    <row r="2336" spans="1:14">
      <c r="A2336" s="62">
        <v>2023</v>
      </c>
      <c r="B2336" s="62">
        <v>7</v>
      </c>
      <c r="C2336" s="62" t="s">
        <v>8</v>
      </c>
      <c r="D2336" s="62" t="s">
        <v>1</v>
      </c>
      <c r="E2336" s="62">
        <v>96.7664</v>
      </c>
      <c r="F2336" s="62">
        <v>24.09637</v>
      </c>
      <c r="I2336" s="62">
        <v>2020</v>
      </c>
      <c r="J2336" s="62">
        <v>9</v>
      </c>
      <c r="K2336" s="62" t="s">
        <v>19</v>
      </c>
      <c r="L2336" s="62" t="s">
        <v>3</v>
      </c>
      <c r="M2336" s="62">
        <v>1676.6635</v>
      </c>
      <c r="N2336" s="62">
        <v>293.4161125</v>
      </c>
    </row>
    <row r="2337" spans="1:14">
      <c r="A2337" s="62">
        <v>2023</v>
      </c>
      <c r="B2337" s="62">
        <v>8</v>
      </c>
      <c r="C2337" s="62" t="s">
        <v>8</v>
      </c>
      <c r="D2337" s="62" t="s">
        <v>1</v>
      </c>
      <c r="E2337" s="62">
        <v>129.265</v>
      </c>
      <c r="F2337" s="62">
        <v>47.6785</v>
      </c>
      <c r="I2337" s="62">
        <v>2020</v>
      </c>
      <c r="J2337" s="62">
        <v>10</v>
      </c>
      <c r="K2337" s="62" t="s">
        <v>19</v>
      </c>
      <c r="L2337" s="62" t="s">
        <v>3</v>
      </c>
      <c r="M2337" s="62">
        <v>1556.2959</v>
      </c>
      <c r="N2337" s="62">
        <v>272.3517825</v>
      </c>
    </row>
    <row r="2338" spans="1:14">
      <c r="A2338" s="62">
        <v>2023</v>
      </c>
      <c r="B2338" s="62">
        <v>9</v>
      </c>
      <c r="C2338" s="62" t="s">
        <v>8</v>
      </c>
      <c r="D2338" s="62" t="s">
        <v>1</v>
      </c>
      <c r="E2338" s="62">
        <v>102.055</v>
      </c>
      <c r="F2338" s="62">
        <v>24.9685</v>
      </c>
      <c r="I2338" s="62">
        <v>2020</v>
      </c>
      <c r="J2338" s="62">
        <v>11</v>
      </c>
      <c r="K2338" s="62" t="s">
        <v>19</v>
      </c>
      <c r="L2338" s="62" t="s">
        <v>3</v>
      </c>
      <c r="M2338" s="62">
        <v>1350.278</v>
      </c>
      <c r="N2338" s="62">
        <v>236.29865</v>
      </c>
    </row>
    <row r="2339" spans="1:14">
      <c r="A2339" s="62">
        <v>2023</v>
      </c>
      <c r="B2339" s="62">
        <v>10</v>
      </c>
      <c r="C2339" s="62" t="s">
        <v>8</v>
      </c>
      <c r="D2339" s="62" t="s">
        <v>1</v>
      </c>
      <c r="E2339" s="62">
        <v>864.36</v>
      </c>
      <c r="F2339" s="62">
        <v>182.521875</v>
      </c>
      <c r="I2339" s="62">
        <v>2020</v>
      </c>
      <c r="J2339" s="62">
        <v>12</v>
      </c>
      <c r="K2339" s="62" t="s">
        <v>19</v>
      </c>
      <c r="L2339" s="62" t="s">
        <v>3</v>
      </c>
      <c r="M2339" s="62">
        <v>1413.351</v>
      </c>
      <c r="N2339" s="62">
        <v>247.336425</v>
      </c>
    </row>
    <row r="2340" spans="1:14">
      <c r="A2340" s="62">
        <v>2023</v>
      </c>
      <c r="B2340" s="62">
        <v>11</v>
      </c>
      <c r="C2340" s="62" t="s">
        <v>8</v>
      </c>
      <c r="D2340" s="62" t="s">
        <v>1</v>
      </c>
      <c r="E2340" s="62">
        <v>658.28</v>
      </c>
      <c r="F2340" s="62">
        <v>219.4425</v>
      </c>
      <c r="I2340" s="62">
        <v>2021</v>
      </c>
      <c r="J2340" s="62">
        <v>1</v>
      </c>
      <c r="K2340" s="62" t="s">
        <v>19</v>
      </c>
      <c r="L2340" s="62" t="s">
        <v>3</v>
      </c>
      <c r="M2340" s="62">
        <v>1458.6955</v>
      </c>
      <c r="N2340" s="62">
        <v>255.2717125</v>
      </c>
    </row>
    <row r="2341" spans="1:14">
      <c r="A2341" s="62">
        <v>2023</v>
      </c>
      <c r="B2341" s="62">
        <v>12</v>
      </c>
      <c r="C2341" s="62" t="s">
        <v>8</v>
      </c>
      <c r="D2341" s="62" t="s">
        <v>1</v>
      </c>
      <c r="E2341" s="62">
        <v>231.929</v>
      </c>
      <c r="F2341" s="62">
        <v>61.02500000000001</v>
      </c>
      <c r="I2341" s="62">
        <v>2021</v>
      </c>
      <c r="J2341" s="62">
        <v>2</v>
      </c>
      <c r="K2341" s="62" t="s">
        <v>19</v>
      </c>
      <c r="L2341" s="62" t="s">
        <v>3</v>
      </c>
      <c r="M2341" s="62">
        <v>2161.7504</v>
      </c>
      <c r="N2341" s="62">
        <v>378.30632</v>
      </c>
    </row>
    <row r="2342" spans="1:14">
      <c r="A2342" s="62">
        <v>2024</v>
      </c>
      <c r="B2342" s="62">
        <v>1</v>
      </c>
      <c r="C2342" s="62" t="s">
        <v>8</v>
      </c>
      <c r="D2342" s="62" t="s">
        <v>1</v>
      </c>
      <c r="E2342" s="62">
        <v>533.6799999999999</v>
      </c>
      <c r="F2342" s="62">
        <v>137.54075</v>
      </c>
      <c r="I2342" s="62">
        <v>2021</v>
      </c>
      <c r="J2342" s="62">
        <v>3</v>
      </c>
      <c r="K2342" s="62" t="s">
        <v>19</v>
      </c>
      <c r="L2342" s="62" t="s">
        <v>3</v>
      </c>
      <c r="M2342" s="62">
        <v>1451.5128</v>
      </c>
      <c r="N2342" s="62">
        <v>254.01474</v>
      </c>
    </row>
    <row r="2343" spans="1:14">
      <c r="A2343" s="62">
        <v>2024</v>
      </c>
      <c r="B2343" s="62">
        <v>2</v>
      </c>
      <c r="C2343" s="62" t="s">
        <v>8</v>
      </c>
      <c r="D2343" s="62" t="s">
        <v>1</v>
      </c>
      <c r="E2343" s="62">
        <v>1069.4633</v>
      </c>
      <c r="F2343" s="62">
        <v>292.849225</v>
      </c>
      <c r="I2343" s="62">
        <v>2021</v>
      </c>
      <c r="J2343" s="62">
        <v>4</v>
      </c>
      <c r="K2343" s="62" t="s">
        <v>19</v>
      </c>
      <c r="L2343" s="62" t="s">
        <v>3</v>
      </c>
      <c r="M2343" s="62">
        <v>688.0155999999999</v>
      </c>
      <c r="N2343" s="62">
        <v>120.40273</v>
      </c>
    </row>
    <row r="2344" spans="1:14">
      <c r="A2344" s="62">
        <v>2024</v>
      </c>
      <c r="B2344" s="62">
        <v>3</v>
      </c>
      <c r="C2344" s="62" t="s">
        <v>8</v>
      </c>
      <c r="D2344" s="62" t="s">
        <v>1</v>
      </c>
      <c r="E2344" s="62">
        <v>618.688</v>
      </c>
      <c r="F2344" s="62">
        <v>155.91965</v>
      </c>
      <c r="I2344" s="62">
        <v>2021</v>
      </c>
      <c r="J2344" s="62">
        <v>5</v>
      </c>
      <c r="K2344" s="62" t="s">
        <v>19</v>
      </c>
      <c r="L2344" s="62" t="s">
        <v>3</v>
      </c>
      <c r="M2344" s="62">
        <v>375.1258</v>
      </c>
      <c r="N2344" s="62">
        <v>65.647015</v>
      </c>
    </row>
    <row r="2345" spans="1:14">
      <c r="A2345" s="62">
        <v>2024</v>
      </c>
      <c r="B2345" s="62">
        <v>4</v>
      </c>
      <c r="C2345" s="62" t="s">
        <v>8</v>
      </c>
      <c r="D2345" s="62" t="s">
        <v>1</v>
      </c>
      <c r="E2345" s="62">
        <v>709.707</v>
      </c>
      <c r="F2345" s="62">
        <v>151.4342</v>
      </c>
      <c r="I2345" s="62">
        <v>2021</v>
      </c>
      <c r="J2345" s="62">
        <v>6</v>
      </c>
      <c r="K2345" s="62" t="s">
        <v>19</v>
      </c>
      <c r="L2345" s="62" t="s">
        <v>3</v>
      </c>
      <c r="M2345" s="62">
        <v>368.948</v>
      </c>
      <c r="N2345" s="62">
        <v>64.5659</v>
      </c>
    </row>
    <row r="2346" spans="1:14">
      <c r="A2346" s="62">
        <v>2024</v>
      </c>
      <c r="B2346" s="62">
        <v>5</v>
      </c>
      <c r="C2346" s="62" t="s">
        <v>8</v>
      </c>
      <c r="D2346" s="62" t="s">
        <v>1</v>
      </c>
      <c r="E2346" s="62">
        <v>615.076</v>
      </c>
      <c r="F2346" s="62">
        <v>123.41075</v>
      </c>
      <c r="I2346" s="62">
        <v>2021</v>
      </c>
      <c r="J2346" s="62">
        <v>7</v>
      </c>
      <c r="K2346" s="62" t="s">
        <v>19</v>
      </c>
      <c r="L2346" s="62" t="s">
        <v>3</v>
      </c>
      <c r="M2346" s="62">
        <v>253.2398</v>
      </c>
      <c r="N2346" s="62">
        <v>44.316965</v>
      </c>
    </row>
    <row r="2347" spans="1:14">
      <c r="A2347" s="62">
        <v>2024</v>
      </c>
      <c r="B2347" s="62">
        <v>6</v>
      </c>
      <c r="C2347" s="62" t="s">
        <v>8</v>
      </c>
      <c r="D2347" s="62" t="s">
        <v>1</v>
      </c>
      <c r="E2347" s="62">
        <v>544.169</v>
      </c>
      <c r="F2347" s="62">
        <v>194.48165</v>
      </c>
      <c r="I2347" s="62">
        <v>2021</v>
      </c>
      <c r="J2347" s="62">
        <v>8</v>
      </c>
      <c r="K2347" s="62" t="s">
        <v>19</v>
      </c>
      <c r="L2347" s="62" t="s">
        <v>3</v>
      </c>
      <c r="M2347" s="62">
        <v>359.21</v>
      </c>
      <c r="N2347" s="62">
        <v>62.86174999999999</v>
      </c>
    </row>
    <row r="2348" spans="1:14">
      <c r="A2348" s="62">
        <v>2024</v>
      </c>
      <c r="B2348" s="62">
        <v>7</v>
      </c>
      <c r="C2348" s="62" t="s">
        <v>8</v>
      </c>
      <c r="D2348" s="62" t="s">
        <v>1</v>
      </c>
      <c r="E2348" s="62">
        <v>65.27200000000001</v>
      </c>
      <c r="F2348" s="62">
        <v>20.447</v>
      </c>
      <c r="I2348" s="62">
        <v>2021</v>
      </c>
      <c r="J2348" s="62">
        <v>9</v>
      </c>
      <c r="K2348" s="62" t="s">
        <v>19</v>
      </c>
      <c r="L2348" s="62" t="s">
        <v>3</v>
      </c>
      <c r="M2348" s="62">
        <v>621.314</v>
      </c>
      <c r="N2348" s="62">
        <v>108.72995</v>
      </c>
    </row>
    <row r="2349" spans="1:14">
      <c r="A2349" s="62">
        <v>2024</v>
      </c>
      <c r="B2349" s="62">
        <v>8</v>
      </c>
      <c r="C2349" s="62" t="s">
        <v>8</v>
      </c>
      <c r="D2349" s="62" t="s">
        <v>1</v>
      </c>
      <c r="E2349" s="62">
        <v>112.765</v>
      </c>
      <c r="F2349" s="62">
        <v>62.12825</v>
      </c>
      <c r="I2349" s="62">
        <v>2021</v>
      </c>
      <c r="J2349" s="62">
        <v>10</v>
      </c>
      <c r="K2349" s="62" t="s">
        <v>19</v>
      </c>
      <c r="L2349" s="62" t="s">
        <v>3</v>
      </c>
      <c r="M2349" s="62">
        <v>605.84</v>
      </c>
      <c r="N2349" s="62">
        <v>106.022</v>
      </c>
    </row>
    <row r="2350" spans="1:14">
      <c r="A2350" s="62">
        <v>2024</v>
      </c>
      <c r="B2350" s="62">
        <v>9</v>
      </c>
      <c r="C2350" s="62" t="s">
        <v>8</v>
      </c>
      <c r="D2350" s="62" t="s">
        <v>1</v>
      </c>
      <c r="E2350" s="62">
        <v>533.729</v>
      </c>
      <c r="F2350" s="62">
        <v>210.319</v>
      </c>
      <c r="I2350" s="62">
        <v>2021</v>
      </c>
      <c r="J2350" s="62">
        <v>11</v>
      </c>
      <c r="K2350" s="62" t="s">
        <v>19</v>
      </c>
      <c r="L2350" s="62" t="s">
        <v>3</v>
      </c>
      <c r="M2350" s="62">
        <v>366.85</v>
      </c>
      <c r="N2350" s="62">
        <v>64.19875</v>
      </c>
    </row>
    <row r="2351" spans="1:14">
      <c r="A2351" s="62">
        <v>2024</v>
      </c>
      <c r="B2351" s="62">
        <v>10</v>
      </c>
      <c r="C2351" s="62" t="s">
        <v>8</v>
      </c>
      <c r="D2351" s="62" t="s">
        <v>1</v>
      </c>
      <c r="E2351" s="62">
        <v>647.6950000000001</v>
      </c>
      <c r="F2351" s="62">
        <v>175.96725</v>
      </c>
      <c r="I2351" s="62">
        <v>2021</v>
      </c>
      <c r="J2351" s="62">
        <v>12</v>
      </c>
      <c r="K2351" s="62" t="s">
        <v>19</v>
      </c>
      <c r="L2351" s="62" t="s">
        <v>3</v>
      </c>
      <c r="M2351" s="62">
        <v>255.4678</v>
      </c>
      <c r="N2351" s="62">
        <v>44.70686499999999</v>
      </c>
    </row>
    <row r="2352" spans="1:14">
      <c r="A2352" s="62">
        <v>2024</v>
      </c>
      <c r="B2352" s="62">
        <v>11</v>
      </c>
      <c r="C2352" s="62" t="s">
        <v>8</v>
      </c>
      <c r="D2352" s="62" t="s">
        <v>1</v>
      </c>
      <c r="E2352" s="62">
        <v>325.03</v>
      </c>
      <c r="F2352" s="62">
        <v>65.48724999999999</v>
      </c>
      <c r="I2352" s="62">
        <v>2022</v>
      </c>
      <c r="J2352" s="62">
        <v>1</v>
      </c>
      <c r="K2352" s="62" t="s">
        <v>19</v>
      </c>
      <c r="L2352" s="62" t="s">
        <v>3</v>
      </c>
      <c r="M2352" s="62">
        <v>343.038</v>
      </c>
      <c r="N2352" s="62">
        <v>60.03165</v>
      </c>
    </row>
    <row r="2353" spans="1:14">
      <c r="A2353" s="62">
        <v>2024</v>
      </c>
      <c r="B2353" s="62">
        <v>12</v>
      </c>
      <c r="C2353" s="62" t="s">
        <v>8</v>
      </c>
      <c r="D2353" s="62" t="s">
        <v>1</v>
      </c>
      <c r="E2353" s="62">
        <v>171.0665</v>
      </c>
      <c r="F2353" s="62">
        <v>34.4253</v>
      </c>
      <c r="I2353" s="62">
        <v>2022</v>
      </c>
      <c r="J2353" s="62">
        <v>2</v>
      </c>
      <c r="K2353" s="62" t="s">
        <v>19</v>
      </c>
      <c r="L2353" s="62" t="s">
        <v>3</v>
      </c>
      <c r="M2353" s="62">
        <v>329.3</v>
      </c>
      <c r="N2353" s="62">
        <v>57.6275</v>
      </c>
    </row>
    <row r="2354" spans="1:14">
      <c r="A2354" s="62">
        <v>2025</v>
      </c>
      <c r="B2354" s="62">
        <v>1</v>
      </c>
      <c r="C2354" s="62" t="s">
        <v>8</v>
      </c>
      <c r="D2354" s="62" t="s">
        <v>1</v>
      </c>
      <c r="E2354" s="62">
        <v>509.283</v>
      </c>
      <c r="F2354" s="62">
        <v>104.05705</v>
      </c>
      <c r="I2354" s="62">
        <v>2022</v>
      </c>
      <c r="J2354" s="62">
        <v>3</v>
      </c>
      <c r="K2354" s="62" t="s">
        <v>19</v>
      </c>
      <c r="L2354" s="62" t="s">
        <v>3</v>
      </c>
      <c r="M2354" s="62">
        <v>199.917</v>
      </c>
      <c r="N2354" s="62">
        <v>34.985475</v>
      </c>
    </row>
    <row r="2355" spans="1:14">
      <c r="A2355" s="62">
        <v>2025</v>
      </c>
      <c r="B2355" s="62">
        <v>2</v>
      </c>
      <c r="C2355" s="62" t="s">
        <v>8</v>
      </c>
      <c r="D2355" s="62" t="s">
        <v>1</v>
      </c>
      <c r="E2355" s="62">
        <v>985.422</v>
      </c>
      <c r="F2355" s="62">
        <v>155.219825</v>
      </c>
      <c r="I2355" s="62">
        <v>2022</v>
      </c>
      <c r="J2355" s="62">
        <v>4</v>
      </c>
      <c r="K2355" s="62" t="s">
        <v>19</v>
      </c>
      <c r="L2355" s="62" t="s">
        <v>3</v>
      </c>
      <c r="M2355" s="62">
        <v>275.069</v>
      </c>
      <c r="N2355" s="62">
        <v>48.137075</v>
      </c>
    </row>
    <row r="2356" spans="1:14">
      <c r="A2356" s="62">
        <v>2025</v>
      </c>
      <c r="B2356" s="62">
        <v>3</v>
      </c>
      <c r="C2356" s="62" t="s">
        <v>8</v>
      </c>
      <c r="D2356" s="62" t="s">
        <v>1</v>
      </c>
      <c r="E2356" s="62">
        <v>1263.928</v>
      </c>
      <c r="F2356" s="62">
        <v>252.3438</v>
      </c>
      <c r="I2356" s="62">
        <v>2022</v>
      </c>
      <c r="J2356" s="62">
        <v>5</v>
      </c>
      <c r="K2356" s="62" t="s">
        <v>19</v>
      </c>
      <c r="L2356" s="62" t="s">
        <v>3</v>
      </c>
      <c r="M2356" s="62">
        <v>204.7058</v>
      </c>
      <c r="N2356" s="62">
        <v>35.823515</v>
      </c>
    </row>
    <row r="2357" spans="1:14">
      <c r="A2357" s="62">
        <v>2025</v>
      </c>
      <c r="B2357" s="62">
        <v>4</v>
      </c>
      <c r="C2357" s="62" t="s">
        <v>8</v>
      </c>
      <c r="D2357" s="62" t="s">
        <v>1</v>
      </c>
      <c r="E2357" s="62">
        <v>1698.66</v>
      </c>
      <c r="F2357" s="62">
        <v>403.13025</v>
      </c>
      <c r="I2357" s="62">
        <v>2022</v>
      </c>
      <c r="J2357" s="62">
        <v>6</v>
      </c>
      <c r="K2357" s="62" t="s">
        <v>19</v>
      </c>
      <c r="L2357" s="62" t="s">
        <v>3</v>
      </c>
      <c r="M2357" s="62">
        <v>232.278</v>
      </c>
      <c r="N2357" s="62">
        <v>40.64865</v>
      </c>
    </row>
    <row r="2358" spans="1:14">
      <c r="A2358" s="62">
        <v>2025</v>
      </c>
      <c r="B2358" s="62">
        <v>5</v>
      </c>
      <c r="C2358" s="62" t="s">
        <v>8</v>
      </c>
      <c r="D2358" s="62" t="s">
        <v>1</v>
      </c>
      <c r="E2358" s="62">
        <v>942.048</v>
      </c>
      <c r="F2358" s="62">
        <v>232.76641</v>
      </c>
      <c r="I2358" s="62">
        <v>2022</v>
      </c>
      <c r="J2358" s="62">
        <v>7</v>
      </c>
      <c r="K2358" s="62" t="s">
        <v>19</v>
      </c>
      <c r="L2358" s="62" t="s">
        <v>3</v>
      </c>
      <c r="M2358" s="62">
        <v>202.332</v>
      </c>
      <c r="N2358" s="62">
        <v>35.4081</v>
      </c>
    </row>
    <row r="2359" spans="1:14">
      <c r="A2359" s="62">
        <v>2025</v>
      </c>
      <c r="B2359" s="62">
        <v>6</v>
      </c>
      <c r="C2359" s="62" t="s">
        <v>8</v>
      </c>
      <c r="D2359" s="62" t="s">
        <v>1</v>
      </c>
      <c r="E2359" s="62">
        <v>631.49</v>
      </c>
      <c r="F2359" s="62">
        <v>151.2765</v>
      </c>
      <c r="I2359" s="62">
        <v>2022</v>
      </c>
      <c r="J2359" s="62">
        <v>8</v>
      </c>
      <c r="K2359" s="62" t="s">
        <v>19</v>
      </c>
      <c r="L2359" s="62" t="s">
        <v>3</v>
      </c>
      <c r="M2359" s="62">
        <v>164.3758</v>
      </c>
      <c r="N2359" s="62">
        <v>28.765765</v>
      </c>
    </row>
    <row r="2360" spans="1:14">
      <c r="A2360" s="62">
        <v>2025</v>
      </c>
      <c r="B2360" s="62">
        <v>7</v>
      </c>
      <c r="C2360" s="62" t="s">
        <v>8</v>
      </c>
      <c r="D2360" s="62" t="s">
        <v>1</v>
      </c>
      <c r="E2360" s="62">
        <v>370.407</v>
      </c>
      <c r="F2360" s="62">
        <v>79.51714999999999</v>
      </c>
      <c r="I2360" s="62">
        <v>2022</v>
      </c>
      <c r="J2360" s="62">
        <v>9</v>
      </c>
      <c r="K2360" s="62" t="s">
        <v>19</v>
      </c>
      <c r="L2360" s="62" t="s">
        <v>3</v>
      </c>
      <c r="M2360" s="62">
        <v>153.1329</v>
      </c>
      <c r="N2360" s="62">
        <v>26.7982575</v>
      </c>
    </row>
    <row r="2361" spans="1:14">
      <c r="A2361" s="62">
        <v>2025</v>
      </c>
      <c r="B2361" s="62">
        <v>8</v>
      </c>
      <c r="C2361" s="62" t="s">
        <v>8</v>
      </c>
      <c r="D2361" s="62" t="s">
        <v>1</v>
      </c>
      <c r="E2361" s="62">
        <v>387.615</v>
      </c>
      <c r="F2361" s="62">
        <v>82.84474999999999</v>
      </c>
      <c r="I2361" s="62">
        <v>2022</v>
      </c>
      <c r="J2361" s="62">
        <v>10</v>
      </c>
      <c r="K2361" s="62" t="s">
        <v>19</v>
      </c>
      <c r="L2361" s="62" t="s">
        <v>3</v>
      </c>
      <c r="M2361" s="62">
        <v>239.1812</v>
      </c>
      <c r="N2361" s="62">
        <v>41.85671</v>
      </c>
    </row>
    <row r="2362" spans="1:14">
      <c r="A2362" s="62">
        <v>2025</v>
      </c>
      <c r="B2362" s="62">
        <v>9</v>
      </c>
      <c r="C2362" s="62" t="s">
        <v>8</v>
      </c>
      <c r="D2362" s="62" t="s">
        <v>1</v>
      </c>
      <c r="E2362" s="62">
        <v>563.551</v>
      </c>
      <c r="F2362" s="62">
        <v>93.45895</v>
      </c>
      <c r="I2362" s="62">
        <v>2022</v>
      </c>
      <c r="J2362" s="62">
        <v>11</v>
      </c>
      <c r="K2362" s="62" t="s">
        <v>19</v>
      </c>
      <c r="L2362" s="62" t="s">
        <v>3</v>
      </c>
      <c r="M2362" s="62">
        <v>92.2413</v>
      </c>
      <c r="N2362" s="62">
        <v>16.1422275</v>
      </c>
    </row>
    <row r="2363" spans="1:14">
      <c r="A2363" s="62">
        <v>2025</v>
      </c>
      <c r="B2363" s="62">
        <v>10</v>
      </c>
      <c r="C2363" s="62" t="s">
        <v>8</v>
      </c>
      <c r="D2363" s="62" t="s">
        <v>1</v>
      </c>
      <c r="E2363" s="62">
        <v>1485.9288</v>
      </c>
      <c r="F2363" s="62">
        <v>332.0598975</v>
      </c>
      <c r="I2363" s="62">
        <v>2022</v>
      </c>
      <c r="J2363" s="62">
        <v>12</v>
      </c>
      <c r="K2363" s="62" t="s">
        <v>19</v>
      </c>
      <c r="L2363" s="62" t="s">
        <v>3</v>
      </c>
      <c r="M2363" s="62">
        <v>376.6354</v>
      </c>
      <c r="N2363" s="62">
        <v>65.91119499999999</v>
      </c>
    </row>
    <row r="2364" spans="1:14">
      <c r="A2364" s="62">
        <v>2025</v>
      </c>
      <c r="B2364" s="62">
        <v>11</v>
      </c>
      <c r="C2364" s="62" t="s">
        <v>8</v>
      </c>
      <c r="D2364" s="62" t="s">
        <v>1</v>
      </c>
      <c r="E2364" s="62">
        <v>1026.309</v>
      </c>
      <c r="F2364" s="62">
        <v>278.6186625</v>
      </c>
      <c r="I2364" s="62">
        <v>2023</v>
      </c>
      <c r="J2364" s="62">
        <v>1</v>
      </c>
      <c r="K2364" s="62" t="s">
        <v>19</v>
      </c>
      <c r="L2364" s="62" t="s">
        <v>3</v>
      </c>
      <c r="M2364" s="62">
        <v>343.2019</v>
      </c>
      <c r="N2364" s="62">
        <v>60.06033249999999</v>
      </c>
    </row>
    <row r="2365" spans="1:14">
      <c r="A2365" s="62">
        <v>2025</v>
      </c>
      <c r="B2365" s="62">
        <v>12</v>
      </c>
      <c r="C2365" s="62" t="s">
        <v>8</v>
      </c>
      <c r="D2365" s="62" t="s">
        <v>1</v>
      </c>
      <c r="E2365" s="62">
        <v>626.7</v>
      </c>
      <c r="F2365" s="62">
        <v>112.757</v>
      </c>
      <c r="I2365" s="62">
        <v>2023</v>
      </c>
      <c r="J2365" s="62">
        <v>2</v>
      </c>
      <c r="K2365" s="62" t="s">
        <v>19</v>
      </c>
      <c r="L2365" s="62" t="s">
        <v>3</v>
      </c>
      <c r="M2365" s="62">
        <v>329.515</v>
      </c>
      <c r="N2365" s="62">
        <v>57.665125</v>
      </c>
    </row>
    <row r="2366" spans="1:14">
      <c r="A2366" s="62">
        <v>2026</v>
      </c>
      <c r="B2366" s="62">
        <v>1</v>
      </c>
      <c r="C2366" s="62" t="s">
        <v>8</v>
      </c>
      <c r="D2366" s="62" t="s">
        <v>1</v>
      </c>
      <c r="E2366" s="62">
        <v>500.2649</v>
      </c>
      <c r="F2366" s="62">
        <v>106.56629</v>
      </c>
      <c r="I2366" s="62">
        <v>2023</v>
      </c>
      <c r="J2366" s="62">
        <v>3</v>
      </c>
      <c r="K2366" s="62" t="s">
        <v>19</v>
      </c>
      <c r="L2366" s="62" t="s">
        <v>3</v>
      </c>
      <c r="M2366" s="62">
        <v>300.6746</v>
      </c>
      <c r="N2366" s="62">
        <v>52.618055</v>
      </c>
    </row>
    <row r="2367" spans="1:14">
      <c r="A2367" s="62">
        <v>2026</v>
      </c>
      <c r="B2367" s="62">
        <v>2</v>
      </c>
      <c r="C2367" s="62" t="s">
        <v>8</v>
      </c>
      <c r="D2367" s="62" t="s">
        <v>1</v>
      </c>
      <c r="E2367" s="62">
        <v>640.9516</v>
      </c>
      <c r="F2367" s="62">
        <v>152.82219</v>
      </c>
      <c r="I2367" s="62">
        <v>2023</v>
      </c>
      <c r="J2367" s="62">
        <v>4</v>
      </c>
      <c r="K2367" s="62" t="s">
        <v>19</v>
      </c>
      <c r="L2367" s="62" t="s">
        <v>3</v>
      </c>
      <c r="M2367" s="62">
        <v>204.7329</v>
      </c>
      <c r="N2367" s="62">
        <v>35.8282575</v>
      </c>
    </row>
    <row r="2368" spans="1:14">
      <c r="A2368" s="62">
        <v>2026</v>
      </c>
      <c r="B2368" s="62">
        <v>3</v>
      </c>
      <c r="C2368" s="62" t="s">
        <v>8</v>
      </c>
      <c r="D2368" s="62" t="s">
        <v>1</v>
      </c>
      <c r="E2368" s="62">
        <v>373.0909</v>
      </c>
      <c r="F2368" s="62">
        <v>103.2773375</v>
      </c>
      <c r="I2368" s="62">
        <v>2023</v>
      </c>
      <c r="J2368" s="62">
        <v>5</v>
      </c>
      <c r="K2368" s="62" t="s">
        <v>19</v>
      </c>
      <c r="L2368" s="62" t="s">
        <v>3</v>
      </c>
      <c r="M2368" s="62">
        <v>209.2786</v>
      </c>
      <c r="N2368" s="62">
        <v>36.623755</v>
      </c>
    </row>
    <row r="2369" spans="1:14">
      <c r="A2369" s="62">
        <v>2026</v>
      </c>
      <c r="B2369" s="62">
        <v>4</v>
      </c>
      <c r="C2369" s="62" t="s">
        <v>8</v>
      </c>
      <c r="D2369" s="62" t="s">
        <v>1</v>
      </c>
      <c r="E2369" s="62">
        <v>889.0509999999999</v>
      </c>
      <c r="F2369" s="62">
        <v>229.0527</v>
      </c>
      <c r="I2369" s="62">
        <v>2023</v>
      </c>
      <c r="J2369" s="62">
        <v>6</v>
      </c>
      <c r="K2369" s="62" t="s">
        <v>19</v>
      </c>
      <c r="L2369" s="62" t="s">
        <v>3</v>
      </c>
      <c r="M2369" s="62">
        <v>204.1</v>
      </c>
      <c r="N2369" s="62">
        <v>35.71749999999999</v>
      </c>
    </row>
    <row r="2370" spans="1:14">
      <c r="A2370" s="62">
        <v>2026</v>
      </c>
      <c r="B2370" s="62">
        <v>5</v>
      </c>
      <c r="C2370" s="62" t="s">
        <v>8</v>
      </c>
      <c r="D2370" s="62" t="s">
        <v>1</v>
      </c>
      <c r="E2370" s="62">
        <v>471.3708</v>
      </c>
      <c r="F2370" s="62">
        <v>103.302875</v>
      </c>
      <c r="I2370" s="62">
        <v>2023</v>
      </c>
      <c r="J2370" s="62">
        <v>7</v>
      </c>
      <c r="K2370" s="62" t="s">
        <v>19</v>
      </c>
      <c r="L2370" s="62" t="s">
        <v>3</v>
      </c>
      <c r="M2370" s="62">
        <v>197.168</v>
      </c>
      <c r="N2370" s="62">
        <v>34.5044</v>
      </c>
    </row>
    <row r="2371" spans="1:14">
      <c r="A2371" s="62">
        <v>2026</v>
      </c>
      <c r="B2371" s="62">
        <v>6</v>
      </c>
      <c r="C2371" s="62" t="s">
        <v>8</v>
      </c>
      <c r="D2371" s="62" t="s">
        <v>1</v>
      </c>
      <c r="E2371" s="62">
        <v>123.38</v>
      </c>
      <c r="F2371" s="62">
        <v>24.554</v>
      </c>
      <c r="I2371" s="62">
        <v>2023</v>
      </c>
      <c r="J2371" s="62">
        <v>8</v>
      </c>
      <c r="K2371" s="62" t="s">
        <v>19</v>
      </c>
      <c r="L2371" s="62" t="s">
        <v>3</v>
      </c>
      <c r="M2371" s="62">
        <v>238.104</v>
      </c>
      <c r="N2371" s="62">
        <v>41.6682</v>
      </c>
    </row>
    <row r="2372" spans="1:14">
      <c r="A2372" s="62">
        <v>2026</v>
      </c>
      <c r="B2372" s="62">
        <v>7</v>
      </c>
      <c r="C2372" s="62" t="s">
        <v>8</v>
      </c>
      <c r="D2372" s="62" t="s">
        <v>1</v>
      </c>
      <c r="E2372" s="62">
        <v>109.58</v>
      </c>
      <c r="F2372" s="62">
        <v>21.996</v>
      </c>
      <c r="I2372" s="62">
        <v>2023</v>
      </c>
      <c r="J2372" s="62">
        <v>9</v>
      </c>
      <c r="K2372" s="62" t="s">
        <v>19</v>
      </c>
      <c r="L2372" s="62" t="s">
        <v>3</v>
      </c>
      <c r="M2372" s="62">
        <v>424.5721</v>
      </c>
      <c r="N2372" s="62">
        <v>74.3001175</v>
      </c>
    </row>
    <row r="2373" spans="1:14">
      <c r="A2373" s="62">
        <v>2026</v>
      </c>
      <c r="B2373" s="62">
        <v>8</v>
      </c>
      <c r="C2373" s="62" t="s">
        <v>8</v>
      </c>
      <c r="D2373" s="62" t="s">
        <v>1</v>
      </c>
      <c r="E2373" s="62">
        <v>47.53</v>
      </c>
      <c r="F2373" s="62">
        <v>3.53275</v>
      </c>
      <c r="I2373" s="62">
        <v>2023</v>
      </c>
      <c r="J2373" s="62">
        <v>10</v>
      </c>
      <c r="K2373" s="62" t="s">
        <v>19</v>
      </c>
      <c r="L2373" s="62" t="s">
        <v>3</v>
      </c>
      <c r="M2373" s="62">
        <v>548.08</v>
      </c>
      <c r="N2373" s="62">
        <v>95.91399999999999</v>
      </c>
    </row>
    <row r="2374" spans="1:14">
      <c r="A2374" s="62">
        <v>2026</v>
      </c>
      <c r="B2374" s="62">
        <v>9</v>
      </c>
      <c r="C2374" s="62" t="s">
        <v>8</v>
      </c>
      <c r="D2374" s="62" t="s">
        <v>1</v>
      </c>
      <c r="E2374" s="62">
        <v>110.06</v>
      </c>
      <c r="F2374" s="62">
        <v>27.175</v>
      </c>
      <c r="I2374" s="62">
        <v>2023</v>
      </c>
      <c r="J2374" s="62">
        <v>11</v>
      </c>
      <c r="K2374" s="62" t="s">
        <v>19</v>
      </c>
      <c r="L2374" s="62" t="s">
        <v>3</v>
      </c>
      <c r="M2374" s="62">
        <v>320.0309</v>
      </c>
      <c r="N2374" s="62">
        <v>56.0054075</v>
      </c>
    </row>
    <row r="2375" spans="1:14">
      <c r="A2375" s="62">
        <v>2026</v>
      </c>
      <c r="B2375" s="62">
        <v>10</v>
      </c>
      <c r="C2375" s="62" t="s">
        <v>8</v>
      </c>
      <c r="D2375" s="62" t="s">
        <v>1</v>
      </c>
      <c r="E2375" s="62">
        <v>198.14</v>
      </c>
      <c r="F2375" s="62">
        <v>67.81925000000001</v>
      </c>
      <c r="I2375" s="62">
        <v>2023</v>
      </c>
      <c r="J2375" s="62">
        <v>12</v>
      </c>
      <c r="K2375" s="62" t="s">
        <v>19</v>
      </c>
      <c r="L2375" s="62" t="s">
        <v>3</v>
      </c>
      <c r="M2375" s="62">
        <v>154.8413</v>
      </c>
      <c r="N2375" s="62">
        <v>27.0972275</v>
      </c>
    </row>
    <row r="2376" spans="1:14">
      <c r="A2376" s="62">
        <v>2026</v>
      </c>
      <c r="B2376" s="62">
        <v>11</v>
      </c>
      <c r="C2376" s="62" t="s">
        <v>8</v>
      </c>
      <c r="D2376" s="62" t="s">
        <v>1</v>
      </c>
      <c r="E2376" s="62">
        <v>136.196</v>
      </c>
      <c r="F2376" s="62">
        <v>59.7753</v>
      </c>
      <c r="I2376" s="62">
        <v>2024</v>
      </c>
      <c r="J2376" s="62">
        <v>1</v>
      </c>
      <c r="K2376" s="62" t="s">
        <v>19</v>
      </c>
      <c r="L2376" s="62" t="s">
        <v>3</v>
      </c>
      <c r="M2376" s="62">
        <v>473.5232</v>
      </c>
      <c r="N2376" s="62">
        <v>82.86655999999999</v>
      </c>
    </row>
    <row r="2377" spans="1:14">
      <c r="A2377" s="62">
        <v>2026</v>
      </c>
      <c r="B2377" s="62">
        <v>12</v>
      </c>
      <c r="C2377" s="62" t="s">
        <v>8</v>
      </c>
      <c r="D2377" s="62" t="s">
        <v>1</v>
      </c>
      <c r="E2377" s="62">
        <v>9.5</v>
      </c>
      <c r="F2377" s="62">
        <v>3.12</v>
      </c>
      <c r="I2377" s="62">
        <v>2024</v>
      </c>
      <c r="J2377" s="62">
        <v>2</v>
      </c>
      <c r="K2377" s="62" t="s">
        <v>19</v>
      </c>
      <c r="L2377" s="62" t="s">
        <v>3</v>
      </c>
      <c r="M2377" s="62">
        <v>670.4231</v>
      </c>
      <c r="N2377" s="62">
        <v>117.3240425</v>
      </c>
    </row>
    <row r="2378" spans="1:14">
      <c r="A2378" s="62">
        <v>2027</v>
      </c>
      <c r="B2378" s="62">
        <v>1</v>
      </c>
      <c r="C2378" s="62" t="s">
        <v>8</v>
      </c>
      <c r="D2378" s="62" t="s">
        <v>1</v>
      </c>
      <c r="E2378" s="62">
        <v>396.02</v>
      </c>
      <c r="F2378" s="62">
        <v>70.9875</v>
      </c>
      <c r="I2378" s="62">
        <v>2024</v>
      </c>
      <c r="J2378" s="62">
        <v>3</v>
      </c>
      <c r="K2378" s="62" t="s">
        <v>19</v>
      </c>
      <c r="L2378" s="62" t="s">
        <v>3</v>
      </c>
      <c r="M2378" s="62">
        <v>216.9372</v>
      </c>
      <c r="N2378" s="62">
        <v>37.96400999999999</v>
      </c>
    </row>
    <row r="2379" spans="1:14">
      <c r="A2379" s="62">
        <v>2027</v>
      </c>
      <c r="B2379" s="62">
        <v>2</v>
      </c>
      <c r="C2379" s="62" t="s">
        <v>8</v>
      </c>
      <c r="D2379" s="62" t="s">
        <v>1</v>
      </c>
      <c r="E2379" s="62">
        <v>504.118</v>
      </c>
      <c r="F2379" s="62">
        <v>91.17789999999999</v>
      </c>
      <c r="I2379" s="62">
        <v>2024</v>
      </c>
      <c r="J2379" s="62">
        <v>4</v>
      </c>
      <c r="K2379" s="62" t="s">
        <v>19</v>
      </c>
      <c r="L2379" s="62" t="s">
        <v>3</v>
      </c>
      <c r="M2379" s="62">
        <v>294.7075</v>
      </c>
      <c r="N2379" s="62">
        <v>51.5738125</v>
      </c>
    </row>
    <row r="2380" spans="1:14">
      <c r="A2380" s="62">
        <v>2027</v>
      </c>
      <c r="B2380" s="62">
        <v>3</v>
      </c>
      <c r="C2380" s="62" t="s">
        <v>8</v>
      </c>
      <c r="D2380" s="62" t="s">
        <v>1</v>
      </c>
      <c r="E2380" s="62">
        <v>241.146</v>
      </c>
      <c r="F2380" s="62">
        <v>35.1037</v>
      </c>
      <c r="I2380" s="62">
        <v>2024</v>
      </c>
      <c r="J2380" s="62">
        <v>5</v>
      </c>
      <c r="K2380" s="62" t="s">
        <v>19</v>
      </c>
      <c r="L2380" s="62" t="s">
        <v>3</v>
      </c>
      <c r="M2380" s="62">
        <v>130.21</v>
      </c>
      <c r="N2380" s="62">
        <v>22.78675</v>
      </c>
    </row>
    <row r="2381" spans="1:14">
      <c r="A2381" s="62">
        <v>2027</v>
      </c>
      <c r="B2381" s="62">
        <v>4</v>
      </c>
      <c r="C2381" s="62" t="s">
        <v>8</v>
      </c>
      <c r="D2381" s="62" t="s">
        <v>1</v>
      </c>
      <c r="E2381" s="62">
        <v>13.559</v>
      </c>
      <c r="F2381" s="62">
        <v>1.210125</v>
      </c>
      <c r="I2381" s="62">
        <v>2024</v>
      </c>
      <c r="J2381" s="62">
        <v>6</v>
      </c>
      <c r="K2381" s="62" t="s">
        <v>19</v>
      </c>
      <c r="L2381" s="62" t="s">
        <v>3</v>
      </c>
      <c r="M2381" s="62">
        <v>38.54</v>
      </c>
      <c r="N2381" s="62">
        <v>6.744499999999999</v>
      </c>
    </row>
    <row r="2382" spans="1:14">
      <c r="A2382" s="62">
        <v>2027</v>
      </c>
      <c r="B2382" s="62">
        <v>5</v>
      </c>
      <c r="C2382" s="62" t="s">
        <v>8</v>
      </c>
      <c r="D2382" s="62" t="s">
        <v>1</v>
      </c>
      <c r="E2382" s="62">
        <v>51.34</v>
      </c>
      <c r="F2382" s="62">
        <v>8.371999999999998</v>
      </c>
      <c r="I2382" s="62">
        <v>2024</v>
      </c>
      <c r="J2382" s="62">
        <v>7</v>
      </c>
      <c r="K2382" s="62" t="s">
        <v>19</v>
      </c>
      <c r="L2382" s="62" t="s">
        <v>3</v>
      </c>
      <c r="M2382" s="62">
        <v>234.118</v>
      </c>
      <c r="N2382" s="62">
        <v>40.97065</v>
      </c>
    </row>
    <row r="2383" spans="1:14">
      <c r="A2383" s="62">
        <v>2027</v>
      </c>
      <c r="B2383" s="62">
        <v>6</v>
      </c>
      <c r="C2383" s="62" t="s">
        <v>8</v>
      </c>
      <c r="D2383" s="62" t="s">
        <v>1</v>
      </c>
      <c r="E2383" s="62">
        <v>3.5</v>
      </c>
      <c r="F2383" s="62">
        <v>0</v>
      </c>
      <c r="I2383" s="62">
        <v>2024</v>
      </c>
      <c r="J2383" s="62">
        <v>8</v>
      </c>
      <c r="K2383" s="62" t="s">
        <v>19</v>
      </c>
      <c r="L2383" s="62" t="s">
        <v>3</v>
      </c>
      <c r="M2383" s="62">
        <v>223.93</v>
      </c>
      <c r="N2383" s="62">
        <v>39.18774999999999</v>
      </c>
    </row>
    <row r="2384" spans="1:14">
      <c r="A2384" s="62">
        <v>2027</v>
      </c>
      <c r="B2384" s="62">
        <v>7</v>
      </c>
      <c r="C2384" s="62" t="s">
        <v>8</v>
      </c>
      <c r="D2384" s="62" t="s">
        <v>1</v>
      </c>
      <c r="E2384" s="62">
        <v>3.5</v>
      </c>
      <c r="F2384" s="62">
        <v>0</v>
      </c>
      <c r="I2384" s="62">
        <v>2024</v>
      </c>
      <c r="J2384" s="62">
        <v>9</v>
      </c>
      <c r="K2384" s="62" t="s">
        <v>19</v>
      </c>
      <c r="L2384" s="62" t="s">
        <v>3</v>
      </c>
      <c r="M2384" s="62">
        <v>239.1609</v>
      </c>
      <c r="N2384" s="62">
        <v>41.85315749999999</v>
      </c>
    </row>
    <row r="2385" spans="1:14">
      <c r="A2385" s="62">
        <v>2027</v>
      </c>
      <c r="B2385" s="62">
        <v>8</v>
      </c>
      <c r="C2385" s="62" t="s">
        <v>8</v>
      </c>
      <c r="D2385" s="62" t="s">
        <v>1</v>
      </c>
      <c r="E2385" s="62">
        <v>3.5</v>
      </c>
      <c r="F2385" s="62">
        <v>0</v>
      </c>
      <c r="I2385" s="62">
        <v>2024</v>
      </c>
      <c r="J2385" s="62">
        <v>10</v>
      </c>
      <c r="K2385" s="62" t="s">
        <v>19</v>
      </c>
      <c r="L2385" s="62" t="s">
        <v>3</v>
      </c>
      <c r="M2385" s="62">
        <v>407.36</v>
      </c>
      <c r="N2385" s="62">
        <v>71.288</v>
      </c>
    </row>
    <row r="2386" spans="1:14">
      <c r="A2386" s="62">
        <v>2027</v>
      </c>
      <c r="B2386" s="62">
        <v>9</v>
      </c>
      <c r="C2386" s="62" t="s">
        <v>8</v>
      </c>
      <c r="D2386" s="62" t="s">
        <v>1</v>
      </c>
      <c r="E2386" s="62">
        <v>190.75</v>
      </c>
      <c r="F2386" s="62">
        <v>46.134125</v>
      </c>
      <c r="I2386" s="62">
        <v>2024</v>
      </c>
      <c r="J2386" s="62">
        <v>11</v>
      </c>
      <c r="K2386" s="62" t="s">
        <v>19</v>
      </c>
      <c r="L2386" s="62" t="s">
        <v>3</v>
      </c>
      <c r="M2386" s="62">
        <v>276.101</v>
      </c>
      <c r="N2386" s="62">
        <v>48.31767499999999</v>
      </c>
    </row>
    <row r="2387" spans="1:14">
      <c r="A2387" s="62">
        <v>2027</v>
      </c>
      <c r="B2387" s="62">
        <v>10</v>
      </c>
      <c r="C2387" s="62" t="s">
        <v>8</v>
      </c>
      <c r="D2387" s="62" t="s">
        <v>1</v>
      </c>
      <c r="E2387" s="62">
        <v>513.04</v>
      </c>
      <c r="F2387" s="62">
        <v>103.2375</v>
      </c>
      <c r="I2387" s="62">
        <v>2024</v>
      </c>
      <c r="J2387" s="62">
        <v>12</v>
      </c>
      <c r="K2387" s="62" t="s">
        <v>19</v>
      </c>
      <c r="L2387" s="62" t="s">
        <v>3</v>
      </c>
      <c r="M2387" s="62">
        <v>116.8188</v>
      </c>
      <c r="N2387" s="62">
        <v>20.44329</v>
      </c>
    </row>
    <row r="2388" spans="1:14">
      <c r="A2388" s="62">
        <v>2027</v>
      </c>
      <c r="B2388" s="62">
        <v>11</v>
      </c>
      <c r="C2388" s="62" t="s">
        <v>8</v>
      </c>
      <c r="D2388" s="62" t="s">
        <v>1</v>
      </c>
      <c r="E2388" s="62">
        <v>94.25</v>
      </c>
      <c r="F2388" s="62">
        <v>20.455875</v>
      </c>
      <c r="I2388" s="62">
        <v>2025</v>
      </c>
      <c r="J2388" s="62">
        <v>1</v>
      </c>
      <c r="K2388" s="62" t="s">
        <v>19</v>
      </c>
      <c r="L2388" s="62" t="s">
        <v>3</v>
      </c>
      <c r="M2388" s="62">
        <v>152.4156</v>
      </c>
      <c r="N2388" s="62">
        <v>26.67273</v>
      </c>
    </row>
    <row r="2389" spans="1:14">
      <c r="A2389" s="62">
        <v>2027</v>
      </c>
      <c r="B2389" s="62">
        <v>12</v>
      </c>
      <c r="C2389" s="62" t="s">
        <v>8</v>
      </c>
      <c r="D2389" s="62" t="s">
        <v>1</v>
      </c>
      <c r="E2389" s="62">
        <v>3.5</v>
      </c>
      <c r="F2389" s="62">
        <v>0</v>
      </c>
      <c r="I2389" s="62">
        <v>2025</v>
      </c>
      <c r="J2389" s="62">
        <v>2</v>
      </c>
      <c r="K2389" s="62" t="s">
        <v>19</v>
      </c>
      <c r="L2389" s="62" t="s">
        <v>3</v>
      </c>
      <c r="M2389" s="62">
        <v>174.2366</v>
      </c>
      <c r="N2389" s="62">
        <v>30.491405</v>
      </c>
    </row>
    <row r="2390" spans="1:14">
      <c r="A2390" s="62">
        <v>2014</v>
      </c>
      <c r="B2390" s="62">
        <v>1</v>
      </c>
      <c r="C2390" s="62" t="s">
        <v>8</v>
      </c>
      <c r="D2390" s="62" t="s">
        <v>2</v>
      </c>
      <c r="E2390" s="62">
        <v>242.977</v>
      </c>
      <c r="F2390" s="62">
        <v>56.40975</v>
      </c>
      <c r="I2390" s="62">
        <v>2025</v>
      </c>
      <c r="J2390" s="62">
        <v>3</v>
      </c>
      <c r="K2390" s="62" t="s">
        <v>19</v>
      </c>
      <c r="L2390" s="62" t="s">
        <v>3</v>
      </c>
      <c r="M2390" s="62">
        <v>238.8725</v>
      </c>
      <c r="N2390" s="62">
        <v>41.8026875</v>
      </c>
    </row>
    <row r="2391" spans="1:14">
      <c r="A2391" s="62">
        <v>2014</v>
      </c>
      <c r="B2391" s="62">
        <v>2</v>
      </c>
      <c r="C2391" s="62" t="s">
        <v>8</v>
      </c>
      <c r="D2391" s="62" t="s">
        <v>2</v>
      </c>
      <c r="E2391" s="62">
        <v>658.697</v>
      </c>
      <c r="F2391" s="62">
        <v>140.094</v>
      </c>
      <c r="I2391" s="62">
        <v>2025</v>
      </c>
      <c r="J2391" s="62">
        <v>4</v>
      </c>
      <c r="K2391" s="62" t="s">
        <v>19</v>
      </c>
      <c r="L2391" s="62" t="s">
        <v>3</v>
      </c>
      <c r="M2391" s="62">
        <v>298.4825</v>
      </c>
      <c r="N2391" s="62">
        <v>52.2344375</v>
      </c>
    </row>
    <row r="2392" spans="1:14">
      <c r="A2392" s="62">
        <v>2014</v>
      </c>
      <c r="B2392" s="62">
        <v>3</v>
      </c>
      <c r="C2392" s="62" t="s">
        <v>8</v>
      </c>
      <c r="D2392" s="62" t="s">
        <v>2</v>
      </c>
      <c r="E2392" s="62">
        <v>516.1899999999999</v>
      </c>
      <c r="F2392" s="62">
        <v>125.5125</v>
      </c>
      <c r="I2392" s="62">
        <v>2025</v>
      </c>
      <c r="J2392" s="62">
        <v>5</v>
      </c>
      <c r="K2392" s="62" t="s">
        <v>19</v>
      </c>
      <c r="L2392" s="62" t="s">
        <v>3</v>
      </c>
      <c r="M2392" s="62">
        <v>126.955</v>
      </c>
      <c r="N2392" s="62">
        <v>22.217125</v>
      </c>
    </row>
    <row r="2393" spans="1:14">
      <c r="A2393" s="62">
        <v>2014</v>
      </c>
      <c r="B2393" s="62">
        <v>4</v>
      </c>
      <c r="C2393" s="62" t="s">
        <v>8</v>
      </c>
      <c r="D2393" s="62" t="s">
        <v>2</v>
      </c>
      <c r="E2393" s="62">
        <v>398.125</v>
      </c>
      <c r="F2393" s="62">
        <v>63.199</v>
      </c>
      <c r="I2393" s="62">
        <v>2025</v>
      </c>
      <c r="J2393" s="62">
        <v>6</v>
      </c>
      <c r="K2393" s="62" t="s">
        <v>19</v>
      </c>
      <c r="L2393" s="62" t="s">
        <v>3</v>
      </c>
      <c r="M2393" s="62">
        <v>46.4275</v>
      </c>
      <c r="N2393" s="62">
        <v>8.124812499999999</v>
      </c>
    </row>
    <row r="2394" spans="1:14">
      <c r="A2394" s="62">
        <v>2014</v>
      </c>
      <c r="B2394" s="62">
        <v>5</v>
      </c>
      <c r="C2394" s="62" t="s">
        <v>8</v>
      </c>
      <c r="D2394" s="62" t="s">
        <v>2</v>
      </c>
      <c r="E2394" s="62">
        <v>505.62</v>
      </c>
      <c r="F2394" s="62">
        <v>75.17949999999999</v>
      </c>
      <c r="I2394" s="62">
        <v>2025</v>
      </c>
      <c r="J2394" s="62">
        <v>7</v>
      </c>
      <c r="K2394" s="62" t="s">
        <v>19</v>
      </c>
      <c r="L2394" s="62" t="s">
        <v>3</v>
      </c>
      <c r="M2394" s="62">
        <v>61.73</v>
      </c>
      <c r="N2394" s="62">
        <v>10.80275</v>
      </c>
    </row>
    <row r="2395" spans="1:14">
      <c r="A2395" s="62">
        <v>2014</v>
      </c>
      <c r="B2395" s="62">
        <v>6</v>
      </c>
      <c r="C2395" s="62" t="s">
        <v>8</v>
      </c>
      <c r="D2395" s="62" t="s">
        <v>2</v>
      </c>
      <c r="E2395" s="62">
        <v>397.605</v>
      </c>
      <c r="F2395" s="62">
        <v>67.37774999999999</v>
      </c>
      <c r="I2395" s="62">
        <v>2025</v>
      </c>
      <c r="J2395" s="62">
        <v>8</v>
      </c>
      <c r="K2395" s="62" t="s">
        <v>19</v>
      </c>
      <c r="L2395" s="62" t="s">
        <v>3</v>
      </c>
      <c r="M2395" s="62">
        <v>81.8657</v>
      </c>
      <c r="N2395" s="62">
        <v>14.3264975</v>
      </c>
    </row>
    <row r="2396" spans="1:14">
      <c r="A2396" s="62">
        <v>2014</v>
      </c>
      <c r="B2396" s="62">
        <v>7</v>
      </c>
      <c r="C2396" s="62" t="s">
        <v>8</v>
      </c>
      <c r="D2396" s="62" t="s">
        <v>2</v>
      </c>
      <c r="E2396" s="62">
        <v>37.49</v>
      </c>
      <c r="F2396" s="62">
        <v>8.2775</v>
      </c>
      <c r="I2396" s="62">
        <v>2025</v>
      </c>
      <c r="J2396" s="62">
        <v>9</v>
      </c>
      <c r="K2396" s="62" t="s">
        <v>19</v>
      </c>
      <c r="L2396" s="62" t="s">
        <v>3</v>
      </c>
      <c r="M2396" s="62">
        <v>375.554</v>
      </c>
      <c r="N2396" s="62">
        <v>65.72194999999999</v>
      </c>
    </row>
    <row r="2397" spans="1:14">
      <c r="A2397" s="62">
        <v>2014</v>
      </c>
      <c r="B2397" s="62">
        <v>8</v>
      </c>
      <c r="C2397" s="62" t="s">
        <v>8</v>
      </c>
      <c r="D2397" s="62" t="s">
        <v>2</v>
      </c>
      <c r="E2397" s="62">
        <v>29.35</v>
      </c>
      <c r="F2397" s="62">
        <v>0.3585</v>
      </c>
      <c r="I2397" s="62">
        <v>2025</v>
      </c>
      <c r="J2397" s="62">
        <v>10</v>
      </c>
      <c r="K2397" s="62" t="s">
        <v>19</v>
      </c>
      <c r="L2397" s="62" t="s">
        <v>3</v>
      </c>
      <c r="M2397" s="62">
        <v>321.4534</v>
      </c>
      <c r="N2397" s="62">
        <v>56.25434499999999</v>
      </c>
    </row>
    <row r="2398" spans="1:14">
      <c r="A2398" s="62">
        <v>2014</v>
      </c>
      <c r="B2398" s="62">
        <v>9</v>
      </c>
      <c r="C2398" s="62" t="s">
        <v>8</v>
      </c>
      <c r="D2398" s="62" t="s">
        <v>2</v>
      </c>
      <c r="E2398" s="62">
        <v>51.6</v>
      </c>
      <c r="F2398" s="62">
        <v>9.801500000000001</v>
      </c>
      <c r="I2398" s="62">
        <v>2025</v>
      </c>
      <c r="J2398" s="62">
        <v>11</v>
      </c>
      <c r="K2398" s="62" t="s">
        <v>19</v>
      </c>
      <c r="L2398" s="62" t="s">
        <v>3</v>
      </c>
      <c r="M2398" s="62">
        <v>171.7345</v>
      </c>
      <c r="N2398" s="62">
        <v>30.0535375</v>
      </c>
    </row>
    <row r="2399" spans="1:14">
      <c r="A2399" s="62">
        <v>2014</v>
      </c>
      <c r="B2399" s="62">
        <v>10</v>
      </c>
      <c r="C2399" s="62" t="s">
        <v>8</v>
      </c>
      <c r="D2399" s="62" t="s">
        <v>2</v>
      </c>
      <c r="E2399" s="62">
        <v>163.52</v>
      </c>
      <c r="F2399" s="62">
        <v>23.655</v>
      </c>
      <c r="I2399" s="62">
        <v>2025</v>
      </c>
      <c r="J2399" s="62">
        <v>12</v>
      </c>
      <c r="K2399" s="62" t="s">
        <v>19</v>
      </c>
      <c r="L2399" s="62" t="s">
        <v>3</v>
      </c>
      <c r="M2399" s="62">
        <v>107.15</v>
      </c>
      <c r="N2399" s="62">
        <v>18.75125</v>
      </c>
    </row>
    <row r="2400" spans="1:14">
      <c r="A2400" s="62">
        <v>2014</v>
      </c>
      <c r="B2400" s="62">
        <v>11</v>
      </c>
      <c r="C2400" s="62" t="s">
        <v>8</v>
      </c>
      <c r="D2400" s="62" t="s">
        <v>2</v>
      </c>
      <c r="E2400" s="62">
        <v>154.047</v>
      </c>
      <c r="F2400" s="62">
        <v>26.65545</v>
      </c>
      <c r="I2400" s="62">
        <v>2026</v>
      </c>
      <c r="J2400" s="62">
        <v>1</v>
      </c>
      <c r="K2400" s="62" t="s">
        <v>19</v>
      </c>
      <c r="L2400" s="62" t="s">
        <v>3</v>
      </c>
      <c r="M2400" s="62">
        <v>163.21</v>
      </c>
      <c r="N2400" s="62">
        <v>28.56175</v>
      </c>
    </row>
    <row r="2401" spans="1:14">
      <c r="A2401" s="62">
        <v>2015</v>
      </c>
      <c r="B2401" s="62">
        <v>1</v>
      </c>
      <c r="C2401" s="62" t="s">
        <v>8</v>
      </c>
      <c r="D2401" s="62" t="s">
        <v>2</v>
      </c>
      <c r="E2401" s="62">
        <v>243.12</v>
      </c>
      <c r="F2401" s="62">
        <v>59.904</v>
      </c>
      <c r="I2401" s="62">
        <v>2026</v>
      </c>
      <c r="J2401" s="62">
        <v>2</v>
      </c>
      <c r="K2401" s="62" t="s">
        <v>19</v>
      </c>
      <c r="L2401" s="62" t="s">
        <v>3</v>
      </c>
      <c r="M2401" s="62">
        <v>431.08</v>
      </c>
      <c r="N2401" s="62">
        <v>75.43899999999999</v>
      </c>
    </row>
    <row r="2402" spans="1:14">
      <c r="A2402" s="62">
        <v>2015</v>
      </c>
      <c r="B2402" s="62">
        <v>2</v>
      </c>
      <c r="C2402" s="62" t="s">
        <v>8</v>
      </c>
      <c r="D2402" s="62" t="s">
        <v>2</v>
      </c>
      <c r="E2402" s="62">
        <v>309.542</v>
      </c>
      <c r="F2402" s="62">
        <v>87.46735000000001</v>
      </c>
      <c r="I2402" s="62">
        <v>2026</v>
      </c>
      <c r="J2402" s="62">
        <v>3</v>
      </c>
      <c r="K2402" s="62" t="s">
        <v>19</v>
      </c>
      <c r="L2402" s="62" t="s">
        <v>3</v>
      </c>
      <c r="M2402" s="62">
        <v>238.0822</v>
      </c>
      <c r="N2402" s="62">
        <v>41.664385</v>
      </c>
    </row>
    <row r="2403" spans="1:14">
      <c r="A2403" s="62">
        <v>2015</v>
      </c>
      <c r="B2403" s="62">
        <v>3</v>
      </c>
      <c r="C2403" s="62" t="s">
        <v>8</v>
      </c>
      <c r="D2403" s="62" t="s">
        <v>2</v>
      </c>
      <c r="E2403" s="62">
        <v>319.836</v>
      </c>
      <c r="F2403" s="62">
        <v>95.7796</v>
      </c>
      <c r="I2403" s="62">
        <v>2026</v>
      </c>
      <c r="J2403" s="62">
        <v>4</v>
      </c>
      <c r="K2403" s="62" t="s">
        <v>19</v>
      </c>
      <c r="L2403" s="62" t="s">
        <v>3</v>
      </c>
      <c r="M2403" s="62">
        <v>347.841</v>
      </c>
      <c r="N2403" s="62">
        <v>60.87217499999999</v>
      </c>
    </row>
    <row r="2404" spans="1:14">
      <c r="A2404" s="62">
        <v>2015</v>
      </c>
      <c r="B2404" s="62">
        <v>4</v>
      </c>
      <c r="C2404" s="62" t="s">
        <v>8</v>
      </c>
      <c r="D2404" s="62" t="s">
        <v>2</v>
      </c>
      <c r="E2404" s="62">
        <v>577</v>
      </c>
      <c r="F2404" s="62">
        <v>142.685</v>
      </c>
      <c r="I2404" s="62">
        <v>2026</v>
      </c>
      <c r="J2404" s="62">
        <v>5</v>
      </c>
      <c r="K2404" s="62" t="s">
        <v>19</v>
      </c>
      <c r="L2404" s="62" t="s">
        <v>3</v>
      </c>
      <c r="M2404" s="62">
        <v>124.8124</v>
      </c>
      <c r="N2404" s="62">
        <v>21.84217</v>
      </c>
    </row>
    <row r="2405" spans="1:14">
      <c r="A2405" s="62">
        <v>2015</v>
      </c>
      <c r="B2405" s="62">
        <v>5</v>
      </c>
      <c r="C2405" s="62" t="s">
        <v>8</v>
      </c>
      <c r="D2405" s="62" t="s">
        <v>2</v>
      </c>
      <c r="E2405" s="62">
        <v>602.953</v>
      </c>
      <c r="F2405" s="62">
        <v>117.894775</v>
      </c>
      <c r="I2405" s="62">
        <v>2026</v>
      </c>
      <c r="J2405" s="62">
        <v>6</v>
      </c>
      <c r="K2405" s="62" t="s">
        <v>19</v>
      </c>
      <c r="L2405" s="62" t="s">
        <v>3</v>
      </c>
      <c r="M2405" s="62">
        <v>118.1267</v>
      </c>
      <c r="N2405" s="62">
        <v>20.6721725</v>
      </c>
    </row>
    <row r="2406" spans="1:14">
      <c r="A2406" s="62">
        <v>2015</v>
      </c>
      <c r="B2406" s="62">
        <v>6</v>
      </c>
      <c r="C2406" s="62" t="s">
        <v>8</v>
      </c>
      <c r="D2406" s="62" t="s">
        <v>2</v>
      </c>
      <c r="E2406" s="62">
        <v>364.214</v>
      </c>
      <c r="F2406" s="62">
        <v>86.66737499999999</v>
      </c>
      <c r="I2406" s="62">
        <v>2026</v>
      </c>
      <c r="J2406" s="62">
        <v>7</v>
      </c>
      <c r="K2406" s="62" t="s">
        <v>19</v>
      </c>
      <c r="L2406" s="62" t="s">
        <v>3</v>
      </c>
      <c r="M2406" s="62">
        <v>14.88</v>
      </c>
      <c r="N2406" s="62">
        <v>2.604</v>
      </c>
    </row>
    <row r="2407" spans="1:14">
      <c r="A2407" s="62">
        <v>2015</v>
      </c>
      <c r="B2407" s="62">
        <v>7</v>
      </c>
      <c r="C2407" s="62" t="s">
        <v>8</v>
      </c>
      <c r="D2407" s="62" t="s">
        <v>2</v>
      </c>
      <c r="E2407" s="62">
        <v>100.73</v>
      </c>
      <c r="F2407" s="62">
        <v>26.464</v>
      </c>
      <c r="I2407" s="62">
        <v>2014</v>
      </c>
      <c r="J2407" s="62">
        <v>1</v>
      </c>
      <c r="K2407" s="62" t="s">
        <v>20</v>
      </c>
      <c r="L2407" s="62" t="s">
        <v>1</v>
      </c>
      <c r="M2407" s="62">
        <v>200.12</v>
      </c>
      <c r="N2407" s="62">
        <v>170.102</v>
      </c>
    </row>
    <row r="2408" spans="1:14">
      <c r="A2408" s="62">
        <v>2015</v>
      </c>
      <c r="B2408" s="62">
        <v>8</v>
      </c>
      <c r="C2408" s="62" t="s">
        <v>8</v>
      </c>
      <c r="D2408" s="62" t="s">
        <v>2</v>
      </c>
      <c r="E2408" s="62">
        <v>119.862</v>
      </c>
      <c r="F2408" s="62">
        <v>22.489975</v>
      </c>
      <c r="I2408" s="62">
        <v>2014</v>
      </c>
      <c r="J2408" s="62">
        <v>2</v>
      </c>
      <c r="K2408" s="62" t="s">
        <v>20</v>
      </c>
      <c r="L2408" s="62" t="s">
        <v>1</v>
      </c>
      <c r="M2408" s="62">
        <v>227.07</v>
      </c>
      <c r="N2408" s="62">
        <v>193.0095</v>
      </c>
    </row>
    <row r="2409" spans="1:14">
      <c r="A2409" s="62">
        <v>2015</v>
      </c>
      <c r="B2409" s="62">
        <v>9</v>
      </c>
      <c r="C2409" s="62" t="s">
        <v>8</v>
      </c>
      <c r="D2409" s="62" t="s">
        <v>2</v>
      </c>
      <c r="E2409" s="62">
        <v>103.803</v>
      </c>
      <c r="F2409" s="62">
        <v>1.5624</v>
      </c>
      <c r="I2409" s="62">
        <v>2014</v>
      </c>
      <c r="J2409" s="62">
        <v>3</v>
      </c>
      <c r="K2409" s="62" t="s">
        <v>20</v>
      </c>
      <c r="L2409" s="62" t="s">
        <v>1</v>
      </c>
      <c r="M2409" s="62">
        <v>274.0832</v>
      </c>
      <c r="N2409" s="62">
        <v>232.97072</v>
      </c>
    </row>
    <row r="2410" spans="1:14">
      <c r="A2410" s="62">
        <v>2015</v>
      </c>
      <c r="B2410" s="62">
        <v>10</v>
      </c>
      <c r="C2410" s="62" t="s">
        <v>8</v>
      </c>
      <c r="D2410" s="62" t="s">
        <v>2</v>
      </c>
      <c r="E2410" s="62">
        <v>327.415</v>
      </c>
      <c r="F2410" s="62">
        <v>103.9625</v>
      </c>
      <c r="I2410" s="62">
        <v>2014</v>
      </c>
      <c r="J2410" s="62">
        <v>4</v>
      </c>
      <c r="K2410" s="62" t="s">
        <v>20</v>
      </c>
      <c r="L2410" s="62" t="s">
        <v>1</v>
      </c>
      <c r="M2410" s="62">
        <v>142.329</v>
      </c>
      <c r="N2410" s="62">
        <v>120.97965</v>
      </c>
    </row>
    <row r="2411" spans="1:14">
      <c r="A2411" s="62">
        <v>2015</v>
      </c>
      <c r="B2411" s="62">
        <v>11</v>
      </c>
      <c r="C2411" s="62" t="s">
        <v>8</v>
      </c>
      <c r="D2411" s="62" t="s">
        <v>2</v>
      </c>
      <c r="E2411" s="62">
        <v>411.76</v>
      </c>
      <c r="F2411" s="62">
        <v>115.7665</v>
      </c>
      <c r="I2411" s="62">
        <v>2014</v>
      </c>
      <c r="J2411" s="62">
        <v>5</v>
      </c>
      <c r="K2411" s="62" t="s">
        <v>20</v>
      </c>
      <c r="L2411" s="62" t="s">
        <v>1</v>
      </c>
      <c r="M2411" s="62">
        <v>128.678</v>
      </c>
      <c r="N2411" s="62">
        <v>109.3763</v>
      </c>
    </row>
    <row r="2412" spans="1:14">
      <c r="A2412" s="62">
        <v>2015</v>
      </c>
      <c r="B2412" s="62">
        <v>12</v>
      </c>
      <c r="C2412" s="62" t="s">
        <v>8</v>
      </c>
      <c r="D2412" s="62" t="s">
        <v>2</v>
      </c>
      <c r="E2412" s="62">
        <v>275.67</v>
      </c>
      <c r="F2412" s="62">
        <v>85.65575</v>
      </c>
      <c r="I2412" s="62">
        <v>2014</v>
      </c>
      <c r="J2412" s="62">
        <v>6</v>
      </c>
      <c r="K2412" s="62" t="s">
        <v>20</v>
      </c>
      <c r="L2412" s="62" t="s">
        <v>1</v>
      </c>
      <c r="M2412" s="62">
        <v>234.9824</v>
      </c>
      <c r="N2412" s="62">
        <v>199.73504</v>
      </c>
    </row>
    <row r="2413" spans="1:14">
      <c r="A2413" s="62">
        <v>2016</v>
      </c>
      <c r="B2413" s="62">
        <v>1</v>
      </c>
      <c r="C2413" s="62" t="s">
        <v>8</v>
      </c>
      <c r="D2413" s="62" t="s">
        <v>2</v>
      </c>
      <c r="E2413" s="62">
        <v>162.264</v>
      </c>
      <c r="F2413" s="62">
        <v>28.02745</v>
      </c>
      <c r="I2413" s="62">
        <v>2014</v>
      </c>
      <c r="J2413" s="62">
        <v>7</v>
      </c>
      <c r="K2413" s="62" t="s">
        <v>20</v>
      </c>
      <c r="L2413" s="62" t="s">
        <v>1</v>
      </c>
      <c r="M2413" s="62">
        <v>66.38</v>
      </c>
      <c r="N2413" s="62">
        <v>56.423</v>
      </c>
    </row>
    <row r="2414" spans="1:14">
      <c r="A2414" s="62">
        <v>2016</v>
      </c>
      <c r="B2414" s="62">
        <v>2</v>
      </c>
      <c r="C2414" s="62" t="s">
        <v>8</v>
      </c>
      <c r="D2414" s="62" t="s">
        <v>2</v>
      </c>
      <c r="E2414" s="62">
        <v>500.65</v>
      </c>
      <c r="F2414" s="62">
        <v>142.34725</v>
      </c>
      <c r="I2414" s="62">
        <v>2014</v>
      </c>
      <c r="J2414" s="62">
        <v>8</v>
      </c>
      <c r="K2414" s="62" t="s">
        <v>20</v>
      </c>
      <c r="L2414" s="62" t="s">
        <v>1</v>
      </c>
      <c r="M2414" s="62">
        <v>67.23699999999999</v>
      </c>
      <c r="N2414" s="62">
        <v>57.15145</v>
      </c>
    </row>
    <row r="2415" spans="1:14">
      <c r="A2415" s="62">
        <v>2016</v>
      </c>
      <c r="B2415" s="62">
        <v>3</v>
      </c>
      <c r="C2415" s="62" t="s">
        <v>8</v>
      </c>
      <c r="D2415" s="62" t="s">
        <v>2</v>
      </c>
      <c r="E2415" s="62">
        <v>226.87</v>
      </c>
      <c r="F2415" s="62">
        <v>61.4725</v>
      </c>
      <c r="I2415" s="62">
        <v>2014</v>
      </c>
      <c r="J2415" s="62">
        <v>9</v>
      </c>
      <c r="K2415" s="62" t="s">
        <v>20</v>
      </c>
      <c r="L2415" s="62" t="s">
        <v>1</v>
      </c>
      <c r="M2415" s="62">
        <v>153.635</v>
      </c>
      <c r="N2415" s="62">
        <v>130.58975</v>
      </c>
    </row>
    <row r="2416" spans="1:14">
      <c r="A2416" s="62">
        <v>2016</v>
      </c>
      <c r="B2416" s="62">
        <v>4</v>
      </c>
      <c r="C2416" s="62" t="s">
        <v>8</v>
      </c>
      <c r="D2416" s="62" t="s">
        <v>2</v>
      </c>
      <c r="E2416" s="62">
        <v>108.956</v>
      </c>
      <c r="F2416" s="62">
        <v>15.122125</v>
      </c>
      <c r="I2416" s="62">
        <v>2014</v>
      </c>
      <c r="J2416" s="62">
        <v>10</v>
      </c>
      <c r="K2416" s="62" t="s">
        <v>20</v>
      </c>
      <c r="L2416" s="62" t="s">
        <v>1</v>
      </c>
      <c r="M2416" s="62">
        <v>329.87</v>
      </c>
      <c r="N2416" s="62">
        <v>280.3895</v>
      </c>
    </row>
    <row r="2417" spans="1:14">
      <c r="A2417" s="62">
        <v>2016</v>
      </c>
      <c r="B2417" s="62">
        <v>5</v>
      </c>
      <c r="C2417" s="62" t="s">
        <v>8</v>
      </c>
      <c r="D2417" s="62" t="s">
        <v>2</v>
      </c>
      <c r="E2417" s="62">
        <v>438.927</v>
      </c>
      <c r="F2417" s="62">
        <v>75.524175</v>
      </c>
      <c r="I2417" s="62">
        <v>2014</v>
      </c>
      <c r="J2417" s="62">
        <v>11</v>
      </c>
      <c r="K2417" s="62" t="s">
        <v>20</v>
      </c>
      <c r="L2417" s="62" t="s">
        <v>1</v>
      </c>
      <c r="M2417" s="62">
        <v>245.015</v>
      </c>
      <c r="N2417" s="62">
        <v>208.26275</v>
      </c>
    </row>
    <row r="2418" spans="1:14">
      <c r="A2418" s="62">
        <v>2016</v>
      </c>
      <c r="B2418" s="62">
        <v>6</v>
      </c>
      <c r="C2418" s="62" t="s">
        <v>8</v>
      </c>
      <c r="D2418" s="62" t="s">
        <v>2</v>
      </c>
      <c r="E2418" s="62">
        <v>165.949</v>
      </c>
      <c r="F2418" s="62">
        <v>29.507</v>
      </c>
      <c r="I2418" s="62">
        <v>2014</v>
      </c>
      <c r="J2418" s="62">
        <v>12</v>
      </c>
      <c r="K2418" s="62" t="s">
        <v>20</v>
      </c>
      <c r="L2418" s="62" t="s">
        <v>1</v>
      </c>
      <c r="M2418" s="62">
        <v>102.478</v>
      </c>
      <c r="N2418" s="62">
        <v>87.1063</v>
      </c>
    </row>
    <row r="2419" spans="1:14">
      <c r="A2419" s="62">
        <v>2016</v>
      </c>
      <c r="B2419" s="62">
        <v>7</v>
      </c>
      <c r="C2419" s="62" t="s">
        <v>8</v>
      </c>
      <c r="D2419" s="62" t="s">
        <v>2</v>
      </c>
      <c r="E2419" s="62">
        <v>128.343</v>
      </c>
      <c r="F2419" s="62">
        <v>27.97815</v>
      </c>
      <c r="I2419" s="62">
        <v>2015</v>
      </c>
      <c r="J2419" s="62">
        <v>1</v>
      </c>
      <c r="K2419" s="62" t="s">
        <v>20</v>
      </c>
      <c r="L2419" s="62" t="s">
        <v>1</v>
      </c>
      <c r="M2419" s="62">
        <v>198.823</v>
      </c>
      <c r="N2419" s="62">
        <v>168.99955</v>
      </c>
    </row>
    <row r="2420" spans="1:14">
      <c r="A2420" s="62">
        <v>2016</v>
      </c>
      <c r="B2420" s="62">
        <v>8</v>
      </c>
      <c r="C2420" s="62" t="s">
        <v>8</v>
      </c>
      <c r="D2420" s="62" t="s">
        <v>2</v>
      </c>
      <c r="E2420" s="62">
        <v>55.125</v>
      </c>
      <c r="F2420" s="62">
        <v>12.03125</v>
      </c>
      <c r="I2420" s="62">
        <v>2015</v>
      </c>
      <c r="J2420" s="62">
        <v>2</v>
      </c>
      <c r="K2420" s="62" t="s">
        <v>20</v>
      </c>
      <c r="L2420" s="62" t="s">
        <v>1</v>
      </c>
      <c r="M2420" s="62">
        <v>192.742</v>
      </c>
      <c r="N2420" s="62">
        <v>163.8307</v>
      </c>
    </row>
    <row r="2421" spans="1:14">
      <c r="A2421" s="62">
        <v>2016</v>
      </c>
      <c r="B2421" s="62">
        <v>9</v>
      </c>
      <c r="C2421" s="62" t="s">
        <v>8</v>
      </c>
      <c r="D2421" s="62" t="s">
        <v>2</v>
      </c>
      <c r="E2421" s="62">
        <v>58.88</v>
      </c>
      <c r="F2421" s="62">
        <v>15.36225</v>
      </c>
      <c r="I2421" s="62">
        <v>2015</v>
      </c>
      <c r="J2421" s="62">
        <v>3</v>
      </c>
      <c r="K2421" s="62" t="s">
        <v>20</v>
      </c>
      <c r="L2421" s="62" t="s">
        <v>1</v>
      </c>
      <c r="M2421" s="62">
        <v>288.019</v>
      </c>
      <c r="N2421" s="62">
        <v>244.81615</v>
      </c>
    </row>
    <row r="2422" spans="1:14">
      <c r="A2422" s="62">
        <v>2016</v>
      </c>
      <c r="B2422" s="62">
        <v>10</v>
      </c>
      <c r="C2422" s="62" t="s">
        <v>8</v>
      </c>
      <c r="D2422" s="62" t="s">
        <v>2</v>
      </c>
      <c r="E2422" s="62">
        <v>763.15</v>
      </c>
      <c r="F2422" s="62">
        <v>117.4675</v>
      </c>
      <c r="I2422" s="62">
        <v>2015</v>
      </c>
      <c r="J2422" s="62">
        <v>4</v>
      </c>
      <c r="K2422" s="62" t="s">
        <v>20</v>
      </c>
      <c r="L2422" s="62" t="s">
        <v>1</v>
      </c>
      <c r="M2422" s="62">
        <v>241.183</v>
      </c>
      <c r="N2422" s="62">
        <v>205.00555</v>
      </c>
    </row>
    <row r="2423" spans="1:14">
      <c r="A2423" s="62">
        <v>2016</v>
      </c>
      <c r="B2423" s="62">
        <v>11</v>
      </c>
      <c r="C2423" s="62" t="s">
        <v>8</v>
      </c>
      <c r="D2423" s="62" t="s">
        <v>2</v>
      </c>
      <c r="E2423" s="62">
        <v>494.74</v>
      </c>
      <c r="F2423" s="62">
        <v>81.828</v>
      </c>
      <c r="I2423" s="62">
        <v>2015</v>
      </c>
      <c r="J2423" s="62">
        <v>5</v>
      </c>
      <c r="K2423" s="62" t="s">
        <v>20</v>
      </c>
      <c r="L2423" s="62" t="s">
        <v>1</v>
      </c>
      <c r="M2423" s="62">
        <v>345.188</v>
      </c>
      <c r="N2423" s="62">
        <v>293.4098</v>
      </c>
    </row>
    <row r="2424" spans="1:14">
      <c r="A2424" s="62">
        <v>2016</v>
      </c>
      <c r="B2424" s="62">
        <v>12</v>
      </c>
      <c r="C2424" s="62" t="s">
        <v>8</v>
      </c>
      <c r="D2424" s="62" t="s">
        <v>2</v>
      </c>
      <c r="E2424" s="62">
        <v>280.29</v>
      </c>
      <c r="F2424" s="62">
        <v>58.4975</v>
      </c>
      <c r="I2424" s="62">
        <v>2015</v>
      </c>
      <c r="J2424" s="62">
        <v>6</v>
      </c>
      <c r="K2424" s="62" t="s">
        <v>20</v>
      </c>
      <c r="L2424" s="62" t="s">
        <v>1</v>
      </c>
      <c r="M2424" s="62">
        <v>346.7526</v>
      </c>
      <c r="N2424" s="62">
        <v>294.73971</v>
      </c>
    </row>
    <row r="2425" spans="1:14">
      <c r="A2425" s="62">
        <v>2017</v>
      </c>
      <c r="B2425" s="62">
        <v>1</v>
      </c>
      <c r="C2425" s="62" t="s">
        <v>8</v>
      </c>
      <c r="D2425" s="62" t="s">
        <v>2</v>
      </c>
      <c r="E2425" s="62">
        <v>307.566</v>
      </c>
      <c r="F2425" s="62">
        <v>70.20350000000001</v>
      </c>
      <c r="I2425" s="62">
        <v>2015</v>
      </c>
      <c r="J2425" s="62">
        <v>7</v>
      </c>
      <c r="K2425" s="62" t="s">
        <v>20</v>
      </c>
      <c r="L2425" s="62" t="s">
        <v>1</v>
      </c>
      <c r="M2425" s="62">
        <v>230.44</v>
      </c>
      <c r="N2425" s="62">
        <v>195.874</v>
      </c>
    </row>
    <row r="2426" spans="1:14">
      <c r="A2426" s="62">
        <v>2017</v>
      </c>
      <c r="B2426" s="62">
        <v>2</v>
      </c>
      <c r="C2426" s="62" t="s">
        <v>8</v>
      </c>
      <c r="D2426" s="62" t="s">
        <v>2</v>
      </c>
      <c r="E2426" s="62">
        <v>811.9446</v>
      </c>
      <c r="F2426" s="62">
        <v>192.45347</v>
      </c>
      <c r="I2426" s="62">
        <v>2015</v>
      </c>
      <c r="J2426" s="62">
        <v>8</v>
      </c>
      <c r="K2426" s="62" t="s">
        <v>20</v>
      </c>
      <c r="L2426" s="62" t="s">
        <v>1</v>
      </c>
      <c r="M2426" s="62">
        <v>153.26</v>
      </c>
      <c r="N2426" s="62">
        <v>130.271</v>
      </c>
    </row>
    <row r="2427" spans="1:14">
      <c r="A2427" s="62">
        <v>2017</v>
      </c>
      <c r="B2427" s="62">
        <v>3</v>
      </c>
      <c r="C2427" s="62" t="s">
        <v>8</v>
      </c>
      <c r="D2427" s="62" t="s">
        <v>2</v>
      </c>
      <c r="E2427" s="62">
        <v>385.7034</v>
      </c>
      <c r="F2427" s="62">
        <v>81.06708</v>
      </c>
      <c r="I2427" s="62">
        <v>2015</v>
      </c>
      <c r="J2427" s="62">
        <v>9</v>
      </c>
      <c r="K2427" s="62" t="s">
        <v>20</v>
      </c>
      <c r="L2427" s="62" t="s">
        <v>1</v>
      </c>
      <c r="M2427" s="62">
        <v>291.661</v>
      </c>
      <c r="N2427" s="62">
        <v>247.91185</v>
      </c>
    </row>
    <row r="2428" spans="1:14">
      <c r="A2428" s="62">
        <v>2017</v>
      </c>
      <c r="B2428" s="62">
        <v>4</v>
      </c>
      <c r="C2428" s="62" t="s">
        <v>8</v>
      </c>
      <c r="D2428" s="62" t="s">
        <v>2</v>
      </c>
      <c r="E2428" s="62">
        <v>245.365</v>
      </c>
      <c r="F2428" s="62">
        <v>26.92525</v>
      </c>
      <c r="I2428" s="62">
        <v>2015</v>
      </c>
      <c r="J2428" s="62">
        <v>10</v>
      </c>
      <c r="K2428" s="62" t="s">
        <v>20</v>
      </c>
      <c r="L2428" s="62" t="s">
        <v>1</v>
      </c>
      <c r="M2428" s="62">
        <v>270.7325</v>
      </c>
      <c r="N2428" s="62">
        <v>230.122625</v>
      </c>
    </row>
    <row r="2429" spans="1:14">
      <c r="A2429" s="62">
        <v>2017</v>
      </c>
      <c r="B2429" s="62">
        <v>5</v>
      </c>
      <c r="C2429" s="62" t="s">
        <v>8</v>
      </c>
      <c r="D2429" s="62" t="s">
        <v>2</v>
      </c>
      <c r="E2429" s="62">
        <v>431.445</v>
      </c>
      <c r="F2429" s="62">
        <v>51.2135</v>
      </c>
      <c r="I2429" s="62">
        <v>2015</v>
      </c>
      <c r="J2429" s="62">
        <v>11</v>
      </c>
      <c r="K2429" s="62" t="s">
        <v>20</v>
      </c>
      <c r="L2429" s="62" t="s">
        <v>1</v>
      </c>
      <c r="M2429" s="62">
        <v>150.9775</v>
      </c>
      <c r="N2429" s="62">
        <v>128.330875</v>
      </c>
    </row>
    <row r="2430" spans="1:14">
      <c r="A2430" s="62">
        <v>2017</v>
      </c>
      <c r="B2430" s="62">
        <v>6</v>
      </c>
      <c r="C2430" s="62" t="s">
        <v>8</v>
      </c>
      <c r="D2430" s="62" t="s">
        <v>2</v>
      </c>
      <c r="E2430" s="62">
        <v>485.935</v>
      </c>
      <c r="F2430" s="62">
        <v>91.938</v>
      </c>
      <c r="I2430" s="62">
        <v>2015</v>
      </c>
      <c r="J2430" s="62">
        <v>12</v>
      </c>
      <c r="K2430" s="62" t="s">
        <v>20</v>
      </c>
      <c r="L2430" s="62" t="s">
        <v>1</v>
      </c>
      <c r="M2430" s="62">
        <v>128.263</v>
      </c>
      <c r="N2430" s="62">
        <v>109.02355</v>
      </c>
    </row>
    <row r="2431" spans="1:14">
      <c r="A2431" s="62">
        <v>2017</v>
      </c>
      <c r="B2431" s="62">
        <v>7</v>
      </c>
      <c r="C2431" s="62" t="s">
        <v>8</v>
      </c>
      <c r="D2431" s="62" t="s">
        <v>2</v>
      </c>
      <c r="E2431" s="62">
        <v>320.09</v>
      </c>
      <c r="F2431" s="62">
        <v>83.0055</v>
      </c>
      <c r="I2431" s="62">
        <v>2016</v>
      </c>
      <c r="J2431" s="62">
        <v>1</v>
      </c>
      <c r="K2431" s="62" t="s">
        <v>20</v>
      </c>
      <c r="L2431" s="62" t="s">
        <v>1</v>
      </c>
      <c r="M2431" s="62">
        <v>275.3145</v>
      </c>
      <c r="N2431" s="62">
        <v>234.017325</v>
      </c>
    </row>
    <row r="2432" spans="1:14">
      <c r="A2432" s="62">
        <v>2017</v>
      </c>
      <c r="B2432" s="62">
        <v>8</v>
      </c>
      <c r="C2432" s="62" t="s">
        <v>8</v>
      </c>
      <c r="D2432" s="62" t="s">
        <v>2</v>
      </c>
      <c r="E2432" s="62">
        <v>155.6</v>
      </c>
      <c r="F2432" s="62">
        <v>45.56</v>
      </c>
      <c r="I2432" s="62">
        <v>2016</v>
      </c>
      <c r="J2432" s="62">
        <v>2</v>
      </c>
      <c r="K2432" s="62" t="s">
        <v>20</v>
      </c>
      <c r="L2432" s="62" t="s">
        <v>1</v>
      </c>
      <c r="M2432" s="62">
        <v>338.31</v>
      </c>
      <c r="N2432" s="62">
        <v>287.5635</v>
      </c>
    </row>
    <row r="2433" spans="1:14">
      <c r="A2433" s="62">
        <v>2017</v>
      </c>
      <c r="B2433" s="62">
        <v>9</v>
      </c>
      <c r="C2433" s="62" t="s">
        <v>8</v>
      </c>
      <c r="D2433" s="62" t="s">
        <v>2</v>
      </c>
      <c r="E2433" s="62">
        <v>128.23</v>
      </c>
      <c r="F2433" s="62">
        <v>11.0925</v>
      </c>
      <c r="I2433" s="62">
        <v>2016</v>
      </c>
      <c r="J2433" s="62">
        <v>3</v>
      </c>
      <c r="K2433" s="62" t="s">
        <v>20</v>
      </c>
      <c r="L2433" s="62" t="s">
        <v>1</v>
      </c>
      <c r="M2433" s="62">
        <v>204.735</v>
      </c>
      <c r="N2433" s="62">
        <v>174.02475</v>
      </c>
    </row>
    <row r="2434" spans="1:14">
      <c r="A2434" s="62">
        <v>2017</v>
      </c>
      <c r="B2434" s="62">
        <v>10</v>
      </c>
      <c r="C2434" s="62" t="s">
        <v>8</v>
      </c>
      <c r="D2434" s="62" t="s">
        <v>2</v>
      </c>
      <c r="E2434" s="62">
        <v>588.3099999999999</v>
      </c>
      <c r="F2434" s="62">
        <v>74.187</v>
      </c>
      <c r="I2434" s="62">
        <v>2016</v>
      </c>
      <c r="J2434" s="62">
        <v>4</v>
      </c>
      <c r="K2434" s="62" t="s">
        <v>20</v>
      </c>
      <c r="L2434" s="62" t="s">
        <v>1</v>
      </c>
      <c r="M2434" s="62">
        <v>348.538</v>
      </c>
      <c r="N2434" s="62">
        <v>296.2573</v>
      </c>
    </row>
    <row r="2435" spans="1:14">
      <c r="A2435" s="62">
        <v>2017</v>
      </c>
      <c r="B2435" s="62">
        <v>11</v>
      </c>
      <c r="C2435" s="62" t="s">
        <v>8</v>
      </c>
      <c r="D2435" s="62" t="s">
        <v>2</v>
      </c>
      <c r="E2435" s="62">
        <v>390.03</v>
      </c>
      <c r="F2435" s="62">
        <v>47.54525</v>
      </c>
      <c r="I2435" s="62">
        <v>2016</v>
      </c>
      <c r="J2435" s="62">
        <v>5</v>
      </c>
      <c r="K2435" s="62" t="s">
        <v>20</v>
      </c>
      <c r="L2435" s="62" t="s">
        <v>1</v>
      </c>
      <c r="M2435" s="62">
        <v>324.8142</v>
      </c>
      <c r="N2435" s="62">
        <v>276.09207</v>
      </c>
    </row>
    <row r="2436" spans="1:14">
      <c r="A2436" s="62">
        <v>2017</v>
      </c>
      <c r="B2436" s="62">
        <v>12</v>
      </c>
      <c r="C2436" s="62" t="s">
        <v>8</v>
      </c>
      <c r="D2436" s="62" t="s">
        <v>2</v>
      </c>
      <c r="E2436" s="62">
        <v>92.71000000000001</v>
      </c>
      <c r="F2436" s="62">
        <v>13.0415</v>
      </c>
      <c r="I2436" s="62">
        <v>2016</v>
      </c>
      <c r="J2436" s="62">
        <v>6</v>
      </c>
      <c r="K2436" s="62" t="s">
        <v>20</v>
      </c>
      <c r="L2436" s="62" t="s">
        <v>1</v>
      </c>
      <c r="M2436" s="62">
        <v>172.48</v>
      </c>
      <c r="N2436" s="62">
        <v>146.608</v>
      </c>
    </row>
    <row r="2437" spans="1:14">
      <c r="A2437" s="62">
        <v>2018</v>
      </c>
      <c r="B2437" s="62">
        <v>1</v>
      </c>
      <c r="C2437" s="62" t="s">
        <v>8</v>
      </c>
      <c r="D2437" s="62" t="s">
        <v>2</v>
      </c>
      <c r="E2437" s="62">
        <v>431.622</v>
      </c>
      <c r="F2437" s="62">
        <v>102.169975</v>
      </c>
      <c r="I2437" s="62">
        <v>2016</v>
      </c>
      <c r="J2437" s="62">
        <v>7</v>
      </c>
      <c r="K2437" s="62" t="s">
        <v>20</v>
      </c>
      <c r="L2437" s="62" t="s">
        <v>1</v>
      </c>
      <c r="M2437" s="62">
        <v>124.1</v>
      </c>
      <c r="N2437" s="62">
        <v>105.485</v>
      </c>
    </row>
    <row r="2438" spans="1:14">
      <c r="A2438" s="62">
        <v>2018</v>
      </c>
      <c r="B2438" s="62">
        <v>2</v>
      </c>
      <c r="C2438" s="62" t="s">
        <v>8</v>
      </c>
      <c r="D2438" s="62" t="s">
        <v>2</v>
      </c>
      <c r="E2438" s="62">
        <v>428.087</v>
      </c>
      <c r="F2438" s="62">
        <v>98.888475</v>
      </c>
      <c r="I2438" s="62">
        <v>2016</v>
      </c>
      <c r="J2438" s="62">
        <v>8</v>
      </c>
      <c r="K2438" s="62" t="s">
        <v>20</v>
      </c>
      <c r="L2438" s="62" t="s">
        <v>1</v>
      </c>
      <c r="M2438" s="62">
        <v>172.7</v>
      </c>
      <c r="N2438" s="62">
        <v>146.795</v>
      </c>
    </row>
    <row r="2439" spans="1:14">
      <c r="A2439" s="62">
        <v>2018</v>
      </c>
      <c r="B2439" s="62">
        <v>3</v>
      </c>
      <c r="C2439" s="62" t="s">
        <v>8</v>
      </c>
      <c r="D2439" s="62" t="s">
        <v>2</v>
      </c>
      <c r="E2439" s="62">
        <v>147.515</v>
      </c>
      <c r="F2439" s="62">
        <v>44.45875</v>
      </c>
      <c r="I2439" s="62">
        <v>2016</v>
      </c>
      <c r="J2439" s="62">
        <v>9</v>
      </c>
      <c r="K2439" s="62" t="s">
        <v>20</v>
      </c>
      <c r="L2439" s="62" t="s">
        <v>1</v>
      </c>
      <c r="M2439" s="62">
        <v>179.3354</v>
      </c>
      <c r="N2439" s="62">
        <v>152.43509</v>
      </c>
    </row>
    <row r="2440" spans="1:14">
      <c r="A2440" s="62">
        <v>2018</v>
      </c>
      <c r="B2440" s="62">
        <v>4</v>
      </c>
      <c r="C2440" s="62" t="s">
        <v>8</v>
      </c>
      <c r="D2440" s="62" t="s">
        <v>2</v>
      </c>
      <c r="E2440" s="62">
        <v>450.855</v>
      </c>
      <c r="F2440" s="62">
        <v>71.94374999999999</v>
      </c>
      <c r="I2440" s="62">
        <v>2016</v>
      </c>
      <c r="J2440" s="62">
        <v>10</v>
      </c>
      <c r="K2440" s="62" t="s">
        <v>20</v>
      </c>
      <c r="L2440" s="62" t="s">
        <v>1</v>
      </c>
      <c r="M2440" s="62">
        <v>332.6445</v>
      </c>
      <c r="N2440" s="62">
        <v>282.747825</v>
      </c>
    </row>
    <row r="2441" spans="1:14">
      <c r="A2441" s="62">
        <v>2018</v>
      </c>
      <c r="B2441" s="62">
        <v>5</v>
      </c>
      <c r="C2441" s="62" t="s">
        <v>8</v>
      </c>
      <c r="D2441" s="62" t="s">
        <v>2</v>
      </c>
      <c r="E2441" s="62">
        <v>708.265</v>
      </c>
      <c r="F2441" s="62">
        <v>170.80275</v>
      </c>
      <c r="I2441" s="62">
        <v>2016</v>
      </c>
      <c r="J2441" s="62">
        <v>11</v>
      </c>
      <c r="K2441" s="62" t="s">
        <v>20</v>
      </c>
      <c r="L2441" s="62" t="s">
        <v>1</v>
      </c>
      <c r="M2441" s="62">
        <v>165.142</v>
      </c>
      <c r="N2441" s="62">
        <v>140.3707</v>
      </c>
    </row>
    <row r="2442" spans="1:14">
      <c r="A2442" s="62">
        <v>2018</v>
      </c>
      <c r="B2442" s="62">
        <v>6</v>
      </c>
      <c r="C2442" s="62" t="s">
        <v>8</v>
      </c>
      <c r="D2442" s="62" t="s">
        <v>2</v>
      </c>
      <c r="E2442" s="62">
        <v>221.185</v>
      </c>
      <c r="F2442" s="62">
        <v>49.523</v>
      </c>
      <c r="I2442" s="62">
        <v>2016</v>
      </c>
      <c r="J2442" s="62">
        <v>12</v>
      </c>
      <c r="K2442" s="62" t="s">
        <v>20</v>
      </c>
      <c r="L2442" s="62" t="s">
        <v>1</v>
      </c>
      <c r="M2442" s="62">
        <v>140.32</v>
      </c>
      <c r="N2442" s="62">
        <v>119.272</v>
      </c>
    </row>
    <row r="2443" spans="1:14">
      <c r="A2443" s="62">
        <v>2018</v>
      </c>
      <c r="B2443" s="62">
        <v>7</v>
      </c>
      <c r="C2443" s="62" t="s">
        <v>8</v>
      </c>
      <c r="D2443" s="62" t="s">
        <v>2</v>
      </c>
      <c r="E2443" s="62">
        <v>47.8</v>
      </c>
      <c r="F2443" s="62">
        <v>0</v>
      </c>
      <c r="I2443" s="62">
        <v>2017</v>
      </c>
      <c r="J2443" s="62">
        <v>1</v>
      </c>
      <c r="K2443" s="62" t="s">
        <v>20</v>
      </c>
      <c r="L2443" s="62" t="s">
        <v>1</v>
      </c>
      <c r="M2443" s="62">
        <v>322.553</v>
      </c>
      <c r="N2443" s="62">
        <v>274.17005</v>
      </c>
    </row>
    <row r="2444" spans="1:14">
      <c r="A2444" s="62">
        <v>2018</v>
      </c>
      <c r="B2444" s="62">
        <v>8</v>
      </c>
      <c r="C2444" s="62" t="s">
        <v>8</v>
      </c>
      <c r="D2444" s="62" t="s">
        <v>2</v>
      </c>
      <c r="E2444" s="62">
        <v>35</v>
      </c>
      <c r="F2444" s="62">
        <v>0</v>
      </c>
      <c r="I2444" s="62">
        <v>2017</v>
      </c>
      <c r="J2444" s="62">
        <v>2</v>
      </c>
      <c r="K2444" s="62" t="s">
        <v>20</v>
      </c>
      <c r="L2444" s="62" t="s">
        <v>1</v>
      </c>
      <c r="M2444" s="62">
        <v>362.5</v>
      </c>
      <c r="N2444" s="62">
        <v>308.125</v>
      </c>
    </row>
    <row r="2445" spans="1:14">
      <c r="A2445" s="62">
        <v>2018</v>
      </c>
      <c r="B2445" s="62">
        <v>9</v>
      </c>
      <c r="C2445" s="62" t="s">
        <v>8</v>
      </c>
      <c r="D2445" s="62" t="s">
        <v>2</v>
      </c>
      <c r="E2445" s="62">
        <v>66.55</v>
      </c>
      <c r="F2445" s="62">
        <v>13.362</v>
      </c>
      <c r="I2445" s="62">
        <v>2017</v>
      </c>
      <c r="J2445" s="62">
        <v>3</v>
      </c>
      <c r="K2445" s="62" t="s">
        <v>20</v>
      </c>
      <c r="L2445" s="62" t="s">
        <v>1</v>
      </c>
      <c r="M2445" s="62">
        <v>284.905</v>
      </c>
      <c r="N2445" s="62">
        <v>242.16925</v>
      </c>
    </row>
    <row r="2446" spans="1:14">
      <c r="A2446" s="62">
        <v>2018</v>
      </c>
      <c r="B2446" s="62">
        <v>10</v>
      </c>
      <c r="C2446" s="62" t="s">
        <v>8</v>
      </c>
      <c r="D2446" s="62" t="s">
        <v>2</v>
      </c>
      <c r="E2446" s="62">
        <v>586.61</v>
      </c>
      <c r="F2446" s="62">
        <v>148.558</v>
      </c>
      <c r="I2446" s="62">
        <v>2017</v>
      </c>
      <c r="J2446" s="62">
        <v>4</v>
      </c>
      <c r="K2446" s="62" t="s">
        <v>20</v>
      </c>
      <c r="L2446" s="62" t="s">
        <v>1</v>
      </c>
      <c r="M2446" s="62">
        <v>261.489</v>
      </c>
      <c r="N2446" s="62">
        <v>222.26565</v>
      </c>
    </row>
    <row r="2447" spans="1:14">
      <c r="A2447" s="62">
        <v>2018</v>
      </c>
      <c r="B2447" s="62">
        <v>11</v>
      </c>
      <c r="C2447" s="62" t="s">
        <v>8</v>
      </c>
      <c r="D2447" s="62" t="s">
        <v>2</v>
      </c>
      <c r="E2447" s="62">
        <v>293.73</v>
      </c>
      <c r="F2447" s="62">
        <v>85.68725000000001</v>
      </c>
      <c r="I2447" s="62">
        <v>2017</v>
      </c>
      <c r="J2447" s="62">
        <v>5</v>
      </c>
      <c r="K2447" s="62" t="s">
        <v>20</v>
      </c>
      <c r="L2447" s="62" t="s">
        <v>1</v>
      </c>
      <c r="M2447" s="62">
        <v>172.7635</v>
      </c>
      <c r="N2447" s="62">
        <v>146.848975</v>
      </c>
    </row>
    <row r="2448" spans="1:14">
      <c r="A2448" s="62">
        <v>2018</v>
      </c>
      <c r="B2448" s="62">
        <v>12</v>
      </c>
      <c r="C2448" s="62" t="s">
        <v>8</v>
      </c>
      <c r="D2448" s="62" t="s">
        <v>2</v>
      </c>
      <c r="E2448" s="62">
        <v>82.38</v>
      </c>
      <c r="F2448" s="62">
        <v>17.874</v>
      </c>
      <c r="I2448" s="62">
        <v>2017</v>
      </c>
      <c r="J2448" s="62">
        <v>6</v>
      </c>
      <c r="K2448" s="62" t="s">
        <v>20</v>
      </c>
      <c r="L2448" s="62" t="s">
        <v>1</v>
      </c>
      <c r="M2448" s="62">
        <v>82.98099999999999</v>
      </c>
      <c r="N2448" s="62">
        <v>70.53385</v>
      </c>
    </row>
    <row r="2449" spans="1:14">
      <c r="A2449" s="62">
        <v>2019</v>
      </c>
      <c r="B2449" s="62">
        <v>1</v>
      </c>
      <c r="C2449" s="62" t="s">
        <v>8</v>
      </c>
      <c r="D2449" s="62" t="s">
        <v>2</v>
      </c>
      <c r="E2449" s="62">
        <v>82.63500000000001</v>
      </c>
      <c r="F2449" s="62">
        <v>10.3435</v>
      </c>
      <c r="I2449" s="62">
        <v>2017</v>
      </c>
      <c r="J2449" s="62">
        <v>7</v>
      </c>
      <c r="K2449" s="62" t="s">
        <v>20</v>
      </c>
      <c r="L2449" s="62" t="s">
        <v>1</v>
      </c>
      <c r="M2449" s="62">
        <v>170.1402</v>
      </c>
      <c r="N2449" s="62">
        <v>144.61917</v>
      </c>
    </row>
    <row r="2450" spans="1:14">
      <c r="A2450" s="62">
        <v>2019</v>
      </c>
      <c r="B2450" s="62">
        <v>2</v>
      </c>
      <c r="C2450" s="62" t="s">
        <v>8</v>
      </c>
      <c r="D2450" s="62" t="s">
        <v>2</v>
      </c>
      <c r="E2450" s="62">
        <v>94.8</v>
      </c>
      <c r="F2450" s="62">
        <v>3.50875</v>
      </c>
      <c r="I2450" s="62">
        <v>2017</v>
      </c>
      <c r="J2450" s="62">
        <v>8</v>
      </c>
      <c r="K2450" s="62" t="s">
        <v>20</v>
      </c>
      <c r="L2450" s="62" t="s">
        <v>1</v>
      </c>
      <c r="M2450" s="62">
        <v>304.921</v>
      </c>
      <c r="N2450" s="62">
        <v>259.18285</v>
      </c>
    </row>
    <row r="2451" spans="1:14">
      <c r="A2451" s="62">
        <v>2019</v>
      </c>
      <c r="B2451" s="62">
        <v>3</v>
      </c>
      <c r="C2451" s="62" t="s">
        <v>8</v>
      </c>
      <c r="D2451" s="62" t="s">
        <v>2</v>
      </c>
      <c r="E2451" s="62">
        <v>196.42</v>
      </c>
      <c r="F2451" s="62">
        <v>49.908</v>
      </c>
      <c r="I2451" s="62">
        <v>2017</v>
      </c>
      <c r="J2451" s="62">
        <v>9</v>
      </c>
      <c r="K2451" s="62" t="s">
        <v>20</v>
      </c>
      <c r="L2451" s="62" t="s">
        <v>1</v>
      </c>
      <c r="M2451" s="62">
        <v>727.7430000000001</v>
      </c>
      <c r="N2451" s="62">
        <v>618.58155</v>
      </c>
    </row>
    <row r="2452" spans="1:14">
      <c r="A2452" s="62">
        <v>2019</v>
      </c>
      <c r="B2452" s="62">
        <v>4</v>
      </c>
      <c r="C2452" s="62" t="s">
        <v>8</v>
      </c>
      <c r="D2452" s="62" t="s">
        <v>2</v>
      </c>
      <c r="E2452" s="62">
        <v>497.33</v>
      </c>
      <c r="F2452" s="62">
        <v>77.3425</v>
      </c>
      <c r="I2452" s="62">
        <v>2017</v>
      </c>
      <c r="J2452" s="62">
        <v>10</v>
      </c>
      <c r="K2452" s="62" t="s">
        <v>20</v>
      </c>
      <c r="L2452" s="62" t="s">
        <v>1</v>
      </c>
      <c r="M2452" s="62">
        <v>281.1261</v>
      </c>
      <c r="N2452" s="62">
        <v>238.957185</v>
      </c>
    </row>
    <row r="2453" spans="1:14">
      <c r="A2453" s="62">
        <v>2019</v>
      </c>
      <c r="B2453" s="62">
        <v>5</v>
      </c>
      <c r="C2453" s="62" t="s">
        <v>8</v>
      </c>
      <c r="D2453" s="62" t="s">
        <v>2</v>
      </c>
      <c r="E2453" s="62">
        <v>205.41</v>
      </c>
      <c r="F2453" s="62">
        <v>16.8</v>
      </c>
      <c r="I2453" s="62">
        <v>2017</v>
      </c>
      <c r="J2453" s="62">
        <v>11</v>
      </c>
      <c r="K2453" s="62" t="s">
        <v>20</v>
      </c>
      <c r="L2453" s="62" t="s">
        <v>1</v>
      </c>
      <c r="M2453" s="62">
        <v>302.67</v>
      </c>
      <c r="N2453" s="62">
        <v>257.2695</v>
      </c>
    </row>
    <row r="2454" spans="1:14">
      <c r="A2454" s="62">
        <v>2019</v>
      </c>
      <c r="B2454" s="62">
        <v>6</v>
      </c>
      <c r="C2454" s="62" t="s">
        <v>8</v>
      </c>
      <c r="D2454" s="62" t="s">
        <v>2</v>
      </c>
      <c r="E2454" s="62">
        <v>234.202</v>
      </c>
      <c r="F2454" s="62">
        <v>33.6919</v>
      </c>
      <c r="I2454" s="62">
        <v>2017</v>
      </c>
      <c r="J2454" s="62">
        <v>12</v>
      </c>
      <c r="K2454" s="62" t="s">
        <v>20</v>
      </c>
      <c r="L2454" s="62" t="s">
        <v>1</v>
      </c>
      <c r="M2454" s="62">
        <v>37.395</v>
      </c>
      <c r="N2454" s="62">
        <v>31.78575</v>
      </c>
    </row>
    <row r="2455" spans="1:14">
      <c r="A2455" s="62">
        <v>2019</v>
      </c>
      <c r="B2455" s="62">
        <v>7</v>
      </c>
      <c r="C2455" s="62" t="s">
        <v>8</v>
      </c>
      <c r="D2455" s="62" t="s">
        <v>2</v>
      </c>
      <c r="E2455" s="62">
        <v>166.015</v>
      </c>
      <c r="F2455" s="62">
        <v>9.76525</v>
      </c>
      <c r="I2455" s="62">
        <v>2018</v>
      </c>
      <c r="J2455" s="62">
        <v>1</v>
      </c>
      <c r="K2455" s="62" t="s">
        <v>20</v>
      </c>
      <c r="L2455" s="62" t="s">
        <v>1</v>
      </c>
      <c r="M2455" s="62">
        <v>194.09</v>
      </c>
      <c r="N2455" s="62">
        <v>164.9765</v>
      </c>
    </row>
    <row r="2456" spans="1:14">
      <c r="A2456" s="62">
        <v>2019</v>
      </c>
      <c r="B2456" s="62">
        <v>8</v>
      </c>
      <c r="C2456" s="62" t="s">
        <v>8</v>
      </c>
      <c r="D2456" s="62" t="s">
        <v>2</v>
      </c>
      <c r="E2456" s="62">
        <v>125.175</v>
      </c>
      <c r="F2456" s="62">
        <v>14.98875</v>
      </c>
      <c r="I2456" s="62">
        <v>2018</v>
      </c>
      <c r="J2456" s="62">
        <v>2</v>
      </c>
      <c r="K2456" s="62" t="s">
        <v>20</v>
      </c>
      <c r="L2456" s="62" t="s">
        <v>1</v>
      </c>
      <c r="M2456" s="62">
        <v>431.525</v>
      </c>
      <c r="N2456" s="62">
        <v>366.79625</v>
      </c>
    </row>
    <row r="2457" spans="1:14">
      <c r="A2457" s="62">
        <v>2019</v>
      </c>
      <c r="B2457" s="62">
        <v>9</v>
      </c>
      <c r="C2457" s="62" t="s">
        <v>8</v>
      </c>
      <c r="D2457" s="62" t="s">
        <v>2</v>
      </c>
      <c r="E2457" s="62">
        <v>290.01</v>
      </c>
      <c r="F2457" s="62">
        <v>43.29825</v>
      </c>
      <c r="I2457" s="62">
        <v>2018</v>
      </c>
      <c r="J2457" s="62">
        <v>3</v>
      </c>
      <c r="K2457" s="62" t="s">
        <v>20</v>
      </c>
      <c r="L2457" s="62" t="s">
        <v>1</v>
      </c>
      <c r="M2457" s="62">
        <v>367.651</v>
      </c>
      <c r="N2457" s="62">
        <v>312.50335</v>
      </c>
    </row>
    <row r="2458" spans="1:14">
      <c r="A2458" s="62">
        <v>2019</v>
      </c>
      <c r="B2458" s="62">
        <v>10</v>
      </c>
      <c r="C2458" s="62" t="s">
        <v>8</v>
      </c>
      <c r="D2458" s="62" t="s">
        <v>2</v>
      </c>
      <c r="E2458" s="62">
        <v>251.7522</v>
      </c>
      <c r="F2458" s="62">
        <v>38.2519</v>
      </c>
      <c r="I2458" s="62">
        <v>2018</v>
      </c>
      <c r="J2458" s="62">
        <v>4</v>
      </c>
      <c r="K2458" s="62" t="s">
        <v>20</v>
      </c>
      <c r="L2458" s="62" t="s">
        <v>1</v>
      </c>
      <c r="M2458" s="62">
        <v>300.043</v>
      </c>
      <c r="N2458" s="62">
        <v>255.03655</v>
      </c>
    </row>
    <row r="2459" spans="1:14">
      <c r="A2459" s="62">
        <v>2019</v>
      </c>
      <c r="B2459" s="62">
        <v>11</v>
      </c>
      <c r="C2459" s="62" t="s">
        <v>8</v>
      </c>
      <c r="D2459" s="62" t="s">
        <v>2</v>
      </c>
      <c r="E2459" s="62">
        <v>240.75</v>
      </c>
      <c r="F2459" s="62">
        <v>45.52825</v>
      </c>
      <c r="I2459" s="62">
        <v>2018</v>
      </c>
      <c r="J2459" s="62">
        <v>5</v>
      </c>
      <c r="K2459" s="62" t="s">
        <v>20</v>
      </c>
      <c r="L2459" s="62" t="s">
        <v>1</v>
      </c>
      <c r="M2459" s="62">
        <v>206.075</v>
      </c>
      <c r="N2459" s="62">
        <v>175.16375</v>
      </c>
    </row>
    <row r="2460" spans="1:14">
      <c r="A2460" s="62">
        <v>2019</v>
      </c>
      <c r="B2460" s="62">
        <v>12</v>
      </c>
      <c r="C2460" s="62" t="s">
        <v>8</v>
      </c>
      <c r="D2460" s="62" t="s">
        <v>2</v>
      </c>
      <c r="E2460" s="62">
        <v>48.7314</v>
      </c>
      <c r="F2460" s="62">
        <v>16.8855</v>
      </c>
      <c r="I2460" s="62">
        <v>2018</v>
      </c>
      <c r="J2460" s="62">
        <v>6</v>
      </c>
      <c r="K2460" s="62" t="s">
        <v>20</v>
      </c>
      <c r="L2460" s="62" t="s">
        <v>1</v>
      </c>
      <c r="M2460" s="62">
        <v>45.53</v>
      </c>
      <c r="N2460" s="62">
        <v>38.7005</v>
      </c>
    </row>
    <row r="2461" spans="1:14">
      <c r="A2461" s="62">
        <v>2020</v>
      </c>
      <c r="B2461" s="62">
        <v>1</v>
      </c>
      <c r="C2461" s="62" t="s">
        <v>8</v>
      </c>
      <c r="D2461" s="62" t="s">
        <v>2</v>
      </c>
      <c r="E2461" s="62">
        <v>133.56</v>
      </c>
      <c r="F2461" s="62">
        <v>58.715</v>
      </c>
      <c r="I2461" s="62">
        <v>2018</v>
      </c>
      <c r="J2461" s="62">
        <v>7</v>
      </c>
      <c r="K2461" s="62" t="s">
        <v>20</v>
      </c>
      <c r="L2461" s="62" t="s">
        <v>1</v>
      </c>
      <c r="M2461" s="62">
        <v>94.986</v>
      </c>
      <c r="N2461" s="62">
        <v>80.7381</v>
      </c>
    </row>
    <row r="2462" spans="1:14">
      <c r="A2462" s="62">
        <v>2020</v>
      </c>
      <c r="B2462" s="62">
        <v>2</v>
      </c>
      <c r="C2462" s="62" t="s">
        <v>8</v>
      </c>
      <c r="D2462" s="62" t="s">
        <v>2</v>
      </c>
      <c r="E2462" s="62">
        <v>282.774</v>
      </c>
      <c r="F2462" s="62">
        <v>81.9177</v>
      </c>
      <c r="I2462" s="62">
        <v>2018</v>
      </c>
      <c r="J2462" s="62">
        <v>8</v>
      </c>
      <c r="K2462" s="62" t="s">
        <v>20</v>
      </c>
      <c r="L2462" s="62" t="s">
        <v>1</v>
      </c>
      <c r="M2462" s="62">
        <v>120.9</v>
      </c>
      <c r="N2462" s="62">
        <v>102.765</v>
      </c>
    </row>
    <row r="2463" spans="1:14">
      <c r="A2463" s="62">
        <v>2020</v>
      </c>
      <c r="B2463" s="62">
        <v>3</v>
      </c>
      <c r="C2463" s="62" t="s">
        <v>8</v>
      </c>
      <c r="D2463" s="62" t="s">
        <v>2</v>
      </c>
      <c r="E2463" s="62">
        <v>299.984</v>
      </c>
      <c r="F2463" s="62">
        <v>59.786825</v>
      </c>
      <c r="I2463" s="62">
        <v>2018</v>
      </c>
      <c r="J2463" s="62">
        <v>9</v>
      </c>
      <c r="K2463" s="62" t="s">
        <v>20</v>
      </c>
      <c r="L2463" s="62" t="s">
        <v>1</v>
      </c>
      <c r="M2463" s="62">
        <v>191.789</v>
      </c>
      <c r="N2463" s="62">
        <v>163.02065</v>
      </c>
    </row>
    <row r="2464" spans="1:14">
      <c r="A2464" s="62">
        <v>2020</v>
      </c>
      <c r="B2464" s="62">
        <v>4</v>
      </c>
      <c r="C2464" s="62" t="s">
        <v>8</v>
      </c>
      <c r="D2464" s="62" t="s">
        <v>2</v>
      </c>
      <c r="E2464" s="62">
        <v>422.485</v>
      </c>
      <c r="F2464" s="62">
        <v>73.943625</v>
      </c>
      <c r="I2464" s="62">
        <v>2018</v>
      </c>
      <c r="J2464" s="62">
        <v>10</v>
      </c>
      <c r="K2464" s="62" t="s">
        <v>20</v>
      </c>
      <c r="L2464" s="62" t="s">
        <v>1</v>
      </c>
      <c r="M2464" s="62">
        <v>341.9866</v>
      </c>
      <c r="N2464" s="62">
        <v>290.68861</v>
      </c>
    </row>
    <row r="2465" spans="1:14">
      <c r="A2465" s="62">
        <v>2020</v>
      </c>
      <c r="B2465" s="62">
        <v>5</v>
      </c>
      <c r="C2465" s="62" t="s">
        <v>8</v>
      </c>
      <c r="D2465" s="62" t="s">
        <v>2</v>
      </c>
      <c r="E2465" s="62">
        <v>731.83</v>
      </c>
      <c r="F2465" s="62">
        <v>150.319</v>
      </c>
      <c r="I2465" s="62">
        <v>2018</v>
      </c>
      <c r="J2465" s="62">
        <v>11</v>
      </c>
      <c r="K2465" s="62" t="s">
        <v>20</v>
      </c>
      <c r="L2465" s="62" t="s">
        <v>1</v>
      </c>
      <c r="M2465" s="62">
        <v>242.7455</v>
      </c>
      <c r="N2465" s="62">
        <v>206.333675</v>
      </c>
    </row>
    <row r="2466" spans="1:14">
      <c r="A2466" s="62">
        <v>2020</v>
      </c>
      <c r="B2466" s="62">
        <v>6</v>
      </c>
      <c r="C2466" s="62" t="s">
        <v>8</v>
      </c>
      <c r="D2466" s="62" t="s">
        <v>2</v>
      </c>
      <c r="E2466" s="62">
        <v>720.3099999999999</v>
      </c>
      <c r="F2466" s="62">
        <v>155.531</v>
      </c>
      <c r="I2466" s="62">
        <v>2018</v>
      </c>
      <c r="J2466" s="62">
        <v>12</v>
      </c>
      <c r="K2466" s="62" t="s">
        <v>20</v>
      </c>
      <c r="L2466" s="62" t="s">
        <v>1</v>
      </c>
      <c r="M2466" s="62">
        <v>104.328</v>
      </c>
      <c r="N2466" s="62">
        <v>88.6788</v>
      </c>
    </row>
    <row r="2467" spans="1:14">
      <c r="A2467" s="62">
        <v>2020</v>
      </c>
      <c r="B2467" s="62">
        <v>7</v>
      </c>
      <c r="C2467" s="62" t="s">
        <v>8</v>
      </c>
      <c r="D2467" s="62" t="s">
        <v>2</v>
      </c>
      <c r="E2467" s="62">
        <v>576.025</v>
      </c>
      <c r="F2467" s="62">
        <v>137.46875</v>
      </c>
      <c r="I2467" s="62">
        <v>2019</v>
      </c>
      <c r="J2467" s="62">
        <v>1</v>
      </c>
      <c r="K2467" s="62" t="s">
        <v>20</v>
      </c>
      <c r="L2467" s="62" t="s">
        <v>1</v>
      </c>
      <c r="M2467" s="62">
        <v>285.938</v>
      </c>
      <c r="N2467" s="62">
        <v>243.0473</v>
      </c>
    </row>
    <row r="2468" spans="1:14">
      <c r="A2468" s="62">
        <v>2020</v>
      </c>
      <c r="B2468" s="62">
        <v>8</v>
      </c>
      <c r="C2468" s="62" t="s">
        <v>8</v>
      </c>
      <c r="D2468" s="62" t="s">
        <v>2</v>
      </c>
      <c r="E2468" s="62">
        <v>658.734</v>
      </c>
      <c r="F2468" s="62">
        <v>158.21125</v>
      </c>
      <c r="I2468" s="62">
        <v>2019</v>
      </c>
      <c r="J2468" s="62">
        <v>2</v>
      </c>
      <c r="K2468" s="62" t="s">
        <v>20</v>
      </c>
      <c r="L2468" s="62" t="s">
        <v>1</v>
      </c>
      <c r="M2468" s="62">
        <v>271.0758</v>
      </c>
      <c r="N2468" s="62">
        <v>230.41443</v>
      </c>
    </row>
    <row r="2469" spans="1:14">
      <c r="A2469" s="62">
        <v>2020</v>
      </c>
      <c r="B2469" s="62">
        <v>9</v>
      </c>
      <c r="C2469" s="62" t="s">
        <v>8</v>
      </c>
      <c r="D2469" s="62" t="s">
        <v>2</v>
      </c>
      <c r="E2469" s="62">
        <v>774.715</v>
      </c>
      <c r="F2469" s="62">
        <v>176.127875</v>
      </c>
      <c r="I2469" s="62">
        <v>2019</v>
      </c>
      <c r="J2469" s="62">
        <v>3</v>
      </c>
      <c r="K2469" s="62" t="s">
        <v>20</v>
      </c>
      <c r="L2469" s="62" t="s">
        <v>1</v>
      </c>
      <c r="M2469" s="62">
        <v>333.591</v>
      </c>
      <c r="N2469" s="62">
        <v>283.55235</v>
      </c>
    </row>
    <row r="2470" spans="1:14">
      <c r="A2470" s="62">
        <v>2020</v>
      </c>
      <c r="B2470" s="62">
        <v>10</v>
      </c>
      <c r="C2470" s="62" t="s">
        <v>8</v>
      </c>
      <c r="D2470" s="62" t="s">
        <v>2</v>
      </c>
      <c r="E2470" s="62">
        <v>709.49</v>
      </c>
      <c r="F2470" s="62">
        <v>184.08075</v>
      </c>
      <c r="I2470" s="62">
        <v>2019</v>
      </c>
      <c r="J2470" s="62">
        <v>4</v>
      </c>
      <c r="K2470" s="62" t="s">
        <v>20</v>
      </c>
      <c r="L2470" s="62" t="s">
        <v>1</v>
      </c>
      <c r="M2470" s="62">
        <v>286.802</v>
      </c>
      <c r="N2470" s="62">
        <v>243.7817</v>
      </c>
    </row>
    <row r="2471" spans="1:14">
      <c r="A2471" s="62">
        <v>2020</v>
      </c>
      <c r="B2471" s="62">
        <v>11</v>
      </c>
      <c r="C2471" s="62" t="s">
        <v>8</v>
      </c>
      <c r="D2471" s="62" t="s">
        <v>2</v>
      </c>
      <c r="E2471" s="62">
        <v>539.9400000000001</v>
      </c>
      <c r="F2471" s="62">
        <v>167.617</v>
      </c>
      <c r="I2471" s="62">
        <v>2019</v>
      </c>
      <c r="J2471" s="62">
        <v>5</v>
      </c>
      <c r="K2471" s="62" t="s">
        <v>20</v>
      </c>
      <c r="L2471" s="62" t="s">
        <v>1</v>
      </c>
      <c r="M2471" s="62">
        <v>188.89</v>
      </c>
      <c r="N2471" s="62">
        <v>160.5565</v>
      </c>
    </row>
    <row r="2472" spans="1:14">
      <c r="A2472" s="62">
        <v>2020</v>
      </c>
      <c r="B2472" s="62">
        <v>12</v>
      </c>
      <c r="C2472" s="62" t="s">
        <v>8</v>
      </c>
      <c r="D2472" s="62" t="s">
        <v>2</v>
      </c>
      <c r="E2472" s="62">
        <v>513.9</v>
      </c>
      <c r="F2472" s="62">
        <v>165.33</v>
      </c>
      <c r="I2472" s="62">
        <v>2019</v>
      </c>
      <c r="J2472" s="62">
        <v>6</v>
      </c>
      <c r="K2472" s="62" t="s">
        <v>20</v>
      </c>
      <c r="L2472" s="62" t="s">
        <v>1</v>
      </c>
      <c r="M2472" s="62">
        <v>152.51</v>
      </c>
      <c r="N2472" s="62">
        <v>129.6335</v>
      </c>
    </row>
    <row r="2473" spans="1:14">
      <c r="A2473" s="62">
        <v>2021</v>
      </c>
      <c r="B2473" s="62">
        <v>1</v>
      </c>
      <c r="C2473" s="62" t="s">
        <v>8</v>
      </c>
      <c r="D2473" s="62" t="s">
        <v>2</v>
      </c>
      <c r="E2473" s="62">
        <v>727.106</v>
      </c>
      <c r="F2473" s="62">
        <v>187.3046</v>
      </c>
      <c r="I2473" s="62">
        <v>2019</v>
      </c>
      <c r="J2473" s="62">
        <v>7</v>
      </c>
      <c r="K2473" s="62" t="s">
        <v>20</v>
      </c>
      <c r="L2473" s="62" t="s">
        <v>1</v>
      </c>
      <c r="M2473" s="62">
        <v>80.97399999999999</v>
      </c>
      <c r="N2473" s="62">
        <v>68.8279</v>
      </c>
    </row>
    <row r="2474" spans="1:14">
      <c r="A2474" s="62">
        <v>2021</v>
      </c>
      <c r="B2474" s="62">
        <v>2</v>
      </c>
      <c r="C2474" s="62" t="s">
        <v>8</v>
      </c>
      <c r="D2474" s="62" t="s">
        <v>2</v>
      </c>
      <c r="E2474" s="62">
        <v>618.225</v>
      </c>
      <c r="F2474" s="62">
        <v>155.749625</v>
      </c>
      <c r="I2474" s="62">
        <v>2019</v>
      </c>
      <c r="J2474" s="62">
        <v>8</v>
      </c>
      <c r="K2474" s="62" t="s">
        <v>20</v>
      </c>
      <c r="L2474" s="62" t="s">
        <v>1</v>
      </c>
      <c r="M2474" s="62">
        <v>121.527</v>
      </c>
      <c r="N2474" s="62">
        <v>103.29795</v>
      </c>
    </row>
    <row r="2475" spans="1:14">
      <c r="A2475" s="62">
        <v>2021</v>
      </c>
      <c r="B2475" s="62">
        <v>3</v>
      </c>
      <c r="C2475" s="62" t="s">
        <v>8</v>
      </c>
      <c r="D2475" s="62" t="s">
        <v>2</v>
      </c>
      <c r="E2475" s="62">
        <v>610.468</v>
      </c>
      <c r="F2475" s="62">
        <v>174.8369</v>
      </c>
      <c r="I2475" s="62">
        <v>2019</v>
      </c>
      <c r="J2475" s="62">
        <v>9</v>
      </c>
      <c r="K2475" s="62" t="s">
        <v>20</v>
      </c>
      <c r="L2475" s="62" t="s">
        <v>1</v>
      </c>
      <c r="M2475" s="62">
        <v>287.901</v>
      </c>
      <c r="N2475" s="62">
        <v>244.71585</v>
      </c>
    </row>
    <row r="2476" spans="1:14">
      <c r="A2476" s="62">
        <v>2021</v>
      </c>
      <c r="B2476" s="62">
        <v>4</v>
      </c>
      <c r="C2476" s="62" t="s">
        <v>8</v>
      </c>
      <c r="D2476" s="62" t="s">
        <v>2</v>
      </c>
      <c r="E2476" s="62">
        <v>449.51</v>
      </c>
      <c r="F2476" s="62">
        <v>121.12025</v>
      </c>
      <c r="I2476" s="62">
        <v>2019</v>
      </c>
      <c r="J2476" s="62">
        <v>10</v>
      </c>
      <c r="K2476" s="62" t="s">
        <v>20</v>
      </c>
      <c r="L2476" s="62" t="s">
        <v>1</v>
      </c>
      <c r="M2476" s="62">
        <v>585.125</v>
      </c>
      <c r="N2476" s="62">
        <v>497.35625</v>
      </c>
    </row>
    <row r="2477" spans="1:14">
      <c r="A2477" s="62">
        <v>2021</v>
      </c>
      <c r="B2477" s="62">
        <v>5</v>
      </c>
      <c r="C2477" s="62" t="s">
        <v>8</v>
      </c>
      <c r="D2477" s="62" t="s">
        <v>2</v>
      </c>
      <c r="E2477" s="62">
        <v>568.295</v>
      </c>
      <c r="F2477" s="62">
        <v>172.66925</v>
      </c>
      <c r="I2477" s="62">
        <v>2019</v>
      </c>
      <c r="J2477" s="62">
        <v>11</v>
      </c>
      <c r="K2477" s="62" t="s">
        <v>20</v>
      </c>
      <c r="L2477" s="62" t="s">
        <v>1</v>
      </c>
      <c r="M2477" s="62">
        <v>407.462</v>
      </c>
      <c r="N2477" s="62">
        <v>346.3427</v>
      </c>
    </row>
    <row r="2478" spans="1:14">
      <c r="A2478" s="62">
        <v>2021</v>
      </c>
      <c r="B2478" s="62">
        <v>6</v>
      </c>
      <c r="C2478" s="62" t="s">
        <v>8</v>
      </c>
      <c r="D2478" s="62" t="s">
        <v>2</v>
      </c>
      <c r="E2478" s="62">
        <v>449.13</v>
      </c>
      <c r="F2478" s="62">
        <v>129.1595</v>
      </c>
      <c r="I2478" s="62">
        <v>2019</v>
      </c>
      <c r="J2478" s="62">
        <v>12</v>
      </c>
      <c r="K2478" s="62" t="s">
        <v>20</v>
      </c>
      <c r="L2478" s="62" t="s">
        <v>1</v>
      </c>
      <c r="M2478" s="62">
        <v>130.606</v>
      </c>
      <c r="N2478" s="62">
        <v>111.0151</v>
      </c>
    </row>
    <row r="2479" spans="1:14">
      <c r="A2479" s="62">
        <v>2021</v>
      </c>
      <c r="B2479" s="62">
        <v>7</v>
      </c>
      <c r="C2479" s="62" t="s">
        <v>8</v>
      </c>
      <c r="D2479" s="62" t="s">
        <v>2</v>
      </c>
      <c r="E2479" s="62">
        <v>552.9775</v>
      </c>
      <c r="F2479" s="62">
        <v>143.4348125</v>
      </c>
      <c r="I2479" s="62">
        <v>2020</v>
      </c>
      <c r="J2479" s="62">
        <v>1</v>
      </c>
      <c r="K2479" s="62" t="s">
        <v>20</v>
      </c>
      <c r="L2479" s="62" t="s">
        <v>1</v>
      </c>
      <c r="M2479" s="62">
        <v>285.756</v>
      </c>
      <c r="N2479" s="62">
        <v>242.8926</v>
      </c>
    </row>
    <row r="2480" spans="1:14">
      <c r="A2480" s="62">
        <v>2021</v>
      </c>
      <c r="B2480" s="62">
        <v>8</v>
      </c>
      <c r="C2480" s="62" t="s">
        <v>8</v>
      </c>
      <c r="D2480" s="62" t="s">
        <v>2</v>
      </c>
      <c r="E2480" s="62">
        <v>437.44</v>
      </c>
      <c r="F2480" s="62">
        <v>117.447</v>
      </c>
      <c r="I2480" s="62">
        <v>2020</v>
      </c>
      <c r="J2480" s="62">
        <v>2</v>
      </c>
      <c r="K2480" s="62" t="s">
        <v>20</v>
      </c>
      <c r="L2480" s="62" t="s">
        <v>1</v>
      </c>
      <c r="M2480" s="62">
        <v>523.446</v>
      </c>
      <c r="N2480" s="62">
        <v>444.9291</v>
      </c>
    </row>
    <row r="2481" spans="1:14">
      <c r="A2481" s="62">
        <v>2021</v>
      </c>
      <c r="B2481" s="62">
        <v>9</v>
      </c>
      <c r="C2481" s="62" t="s">
        <v>8</v>
      </c>
      <c r="D2481" s="62" t="s">
        <v>2</v>
      </c>
      <c r="E2481" s="62">
        <v>409</v>
      </c>
      <c r="F2481" s="62">
        <v>111.05</v>
      </c>
      <c r="I2481" s="62">
        <v>2020</v>
      </c>
      <c r="J2481" s="62">
        <v>3</v>
      </c>
      <c r="K2481" s="62" t="s">
        <v>20</v>
      </c>
      <c r="L2481" s="62" t="s">
        <v>1</v>
      </c>
      <c r="M2481" s="62">
        <v>565.3953</v>
      </c>
      <c r="N2481" s="62">
        <v>480.586005</v>
      </c>
    </row>
    <row r="2482" spans="1:14">
      <c r="A2482" s="62">
        <v>2021</v>
      </c>
      <c r="B2482" s="62">
        <v>10</v>
      </c>
      <c r="C2482" s="62" t="s">
        <v>8</v>
      </c>
      <c r="D2482" s="62" t="s">
        <v>2</v>
      </c>
      <c r="E2482" s="62">
        <v>202.07</v>
      </c>
      <c r="F2482" s="62">
        <v>87.50150000000001</v>
      </c>
      <c r="I2482" s="62">
        <v>2020</v>
      </c>
      <c r="J2482" s="62">
        <v>4</v>
      </c>
      <c r="K2482" s="62" t="s">
        <v>20</v>
      </c>
      <c r="L2482" s="62" t="s">
        <v>1</v>
      </c>
      <c r="M2482" s="62">
        <v>1024.0821</v>
      </c>
      <c r="N2482" s="62">
        <v>870.469785</v>
      </c>
    </row>
    <row r="2483" spans="1:14">
      <c r="A2483" s="62">
        <v>2021</v>
      </c>
      <c r="B2483" s="62">
        <v>11</v>
      </c>
      <c r="C2483" s="62" t="s">
        <v>8</v>
      </c>
      <c r="D2483" s="62" t="s">
        <v>2</v>
      </c>
      <c r="E2483" s="62">
        <v>157.5</v>
      </c>
      <c r="F2483" s="62">
        <v>100.1</v>
      </c>
      <c r="I2483" s="62">
        <v>2020</v>
      </c>
      <c r="J2483" s="62">
        <v>5</v>
      </c>
      <c r="K2483" s="62" t="s">
        <v>20</v>
      </c>
      <c r="L2483" s="62" t="s">
        <v>1</v>
      </c>
      <c r="M2483" s="62">
        <v>1103.4137</v>
      </c>
      <c r="N2483" s="62">
        <v>937.9016449999999</v>
      </c>
    </row>
    <row r="2484" spans="1:14">
      <c r="A2484" s="62">
        <v>2021</v>
      </c>
      <c r="B2484" s="62">
        <v>12</v>
      </c>
      <c r="C2484" s="62" t="s">
        <v>8</v>
      </c>
      <c r="D2484" s="62" t="s">
        <v>2</v>
      </c>
      <c r="E2484" s="62">
        <v>93.38</v>
      </c>
      <c r="F2484" s="62">
        <v>47.047</v>
      </c>
      <c r="I2484" s="62">
        <v>2020</v>
      </c>
      <c r="J2484" s="62">
        <v>6</v>
      </c>
      <c r="K2484" s="62" t="s">
        <v>20</v>
      </c>
      <c r="L2484" s="62" t="s">
        <v>1</v>
      </c>
      <c r="M2484" s="62">
        <v>1139.9722</v>
      </c>
      <c r="N2484" s="62">
        <v>968.97637</v>
      </c>
    </row>
    <row r="2485" spans="1:14">
      <c r="A2485" s="62">
        <v>2022</v>
      </c>
      <c r="B2485" s="62">
        <v>1</v>
      </c>
      <c r="C2485" s="62" t="s">
        <v>8</v>
      </c>
      <c r="D2485" s="62" t="s">
        <v>2</v>
      </c>
      <c r="E2485" s="62">
        <v>370.913</v>
      </c>
      <c r="F2485" s="62">
        <v>68.7705</v>
      </c>
      <c r="I2485" s="62">
        <v>2020</v>
      </c>
      <c r="J2485" s="62">
        <v>7</v>
      </c>
      <c r="K2485" s="62" t="s">
        <v>20</v>
      </c>
      <c r="L2485" s="62" t="s">
        <v>1</v>
      </c>
      <c r="M2485" s="62">
        <v>1053.3945</v>
      </c>
      <c r="N2485" s="62">
        <v>895.385325</v>
      </c>
    </row>
    <row r="2486" spans="1:14">
      <c r="A2486" s="62">
        <v>2022</v>
      </c>
      <c r="B2486" s="62">
        <v>2</v>
      </c>
      <c r="C2486" s="62" t="s">
        <v>8</v>
      </c>
      <c r="D2486" s="62" t="s">
        <v>2</v>
      </c>
      <c r="E2486" s="62">
        <v>683.557</v>
      </c>
      <c r="F2486" s="62">
        <v>132.10695</v>
      </c>
      <c r="I2486" s="62">
        <v>2020</v>
      </c>
      <c r="J2486" s="62">
        <v>8</v>
      </c>
      <c r="K2486" s="62" t="s">
        <v>20</v>
      </c>
      <c r="L2486" s="62" t="s">
        <v>1</v>
      </c>
      <c r="M2486" s="62">
        <v>985.7048</v>
      </c>
      <c r="N2486" s="62">
        <v>837.84908</v>
      </c>
    </row>
    <row r="2487" spans="1:14">
      <c r="A2487" s="62">
        <v>2022</v>
      </c>
      <c r="B2487" s="62">
        <v>3</v>
      </c>
      <c r="C2487" s="62" t="s">
        <v>8</v>
      </c>
      <c r="D2487" s="62" t="s">
        <v>2</v>
      </c>
      <c r="E2487" s="62">
        <v>227.345</v>
      </c>
      <c r="F2487" s="62">
        <v>72.87175000000001</v>
      </c>
      <c r="I2487" s="62">
        <v>2020</v>
      </c>
      <c r="J2487" s="62">
        <v>9</v>
      </c>
      <c r="K2487" s="62" t="s">
        <v>20</v>
      </c>
      <c r="L2487" s="62" t="s">
        <v>1</v>
      </c>
      <c r="M2487" s="62">
        <v>1171.0115</v>
      </c>
      <c r="N2487" s="62">
        <v>995.359775</v>
      </c>
    </row>
    <row r="2488" spans="1:14">
      <c r="A2488" s="62">
        <v>2022</v>
      </c>
      <c r="B2488" s="62">
        <v>4</v>
      </c>
      <c r="C2488" s="62" t="s">
        <v>8</v>
      </c>
      <c r="D2488" s="62" t="s">
        <v>2</v>
      </c>
      <c r="E2488" s="62">
        <v>333.13</v>
      </c>
      <c r="F2488" s="62">
        <v>79.837</v>
      </c>
      <c r="I2488" s="62">
        <v>2020</v>
      </c>
      <c r="J2488" s="62">
        <v>10</v>
      </c>
      <c r="K2488" s="62" t="s">
        <v>20</v>
      </c>
      <c r="L2488" s="62" t="s">
        <v>1</v>
      </c>
      <c r="M2488" s="62">
        <v>1129.157</v>
      </c>
      <c r="N2488" s="62">
        <v>959.78345</v>
      </c>
    </row>
    <row r="2489" spans="1:14">
      <c r="A2489" s="62">
        <v>2022</v>
      </c>
      <c r="B2489" s="62">
        <v>5</v>
      </c>
      <c r="C2489" s="62" t="s">
        <v>8</v>
      </c>
      <c r="D2489" s="62" t="s">
        <v>2</v>
      </c>
      <c r="E2489" s="62">
        <v>381.7</v>
      </c>
      <c r="F2489" s="62">
        <v>76.485</v>
      </c>
      <c r="I2489" s="62">
        <v>2020</v>
      </c>
      <c r="J2489" s="62">
        <v>11</v>
      </c>
      <c r="K2489" s="62" t="s">
        <v>20</v>
      </c>
      <c r="L2489" s="62" t="s">
        <v>1</v>
      </c>
      <c r="M2489" s="62">
        <v>918.5712</v>
      </c>
      <c r="N2489" s="62">
        <v>780.78552</v>
      </c>
    </row>
    <row r="2490" spans="1:14">
      <c r="A2490" s="62">
        <v>2022</v>
      </c>
      <c r="B2490" s="62">
        <v>6</v>
      </c>
      <c r="C2490" s="62" t="s">
        <v>8</v>
      </c>
      <c r="D2490" s="62" t="s">
        <v>2</v>
      </c>
      <c r="E2490" s="62">
        <v>476.235</v>
      </c>
      <c r="F2490" s="62">
        <v>77.624</v>
      </c>
      <c r="I2490" s="62">
        <v>2020</v>
      </c>
      <c r="J2490" s="62">
        <v>12</v>
      </c>
      <c r="K2490" s="62" t="s">
        <v>20</v>
      </c>
      <c r="L2490" s="62" t="s">
        <v>1</v>
      </c>
      <c r="M2490" s="62">
        <v>978.2773</v>
      </c>
      <c r="N2490" s="62">
        <v>831.535705</v>
      </c>
    </row>
    <row r="2491" spans="1:14">
      <c r="A2491" s="62">
        <v>2022</v>
      </c>
      <c r="B2491" s="62">
        <v>7</v>
      </c>
      <c r="C2491" s="62" t="s">
        <v>8</v>
      </c>
      <c r="D2491" s="62" t="s">
        <v>2</v>
      </c>
      <c r="E2491" s="62">
        <v>428.22</v>
      </c>
      <c r="F2491" s="62">
        <v>99.04875000000001</v>
      </c>
      <c r="I2491" s="62">
        <v>2021</v>
      </c>
      <c r="J2491" s="62">
        <v>1</v>
      </c>
      <c r="K2491" s="62" t="s">
        <v>20</v>
      </c>
      <c r="L2491" s="62" t="s">
        <v>1</v>
      </c>
      <c r="M2491" s="62">
        <v>938.2708</v>
      </c>
      <c r="N2491" s="62">
        <v>797.53018</v>
      </c>
    </row>
    <row r="2492" spans="1:14">
      <c r="A2492" s="62">
        <v>2022</v>
      </c>
      <c r="B2492" s="62">
        <v>8</v>
      </c>
      <c r="C2492" s="62" t="s">
        <v>8</v>
      </c>
      <c r="D2492" s="62" t="s">
        <v>2</v>
      </c>
      <c r="E2492" s="62">
        <v>22.68</v>
      </c>
      <c r="F2492" s="62">
        <v>4.653</v>
      </c>
      <c r="I2492" s="62">
        <v>2021</v>
      </c>
      <c r="J2492" s="62">
        <v>2</v>
      </c>
      <c r="K2492" s="62" t="s">
        <v>20</v>
      </c>
      <c r="L2492" s="62" t="s">
        <v>1</v>
      </c>
      <c r="M2492" s="62">
        <v>1480.8743</v>
      </c>
      <c r="N2492" s="62">
        <v>1258.743155</v>
      </c>
    </row>
    <row r="2493" spans="1:14">
      <c r="A2493" s="62">
        <v>2022</v>
      </c>
      <c r="B2493" s="62">
        <v>9</v>
      </c>
      <c r="C2493" s="62" t="s">
        <v>8</v>
      </c>
      <c r="D2493" s="62" t="s">
        <v>2</v>
      </c>
      <c r="E2493" s="62">
        <v>353.335</v>
      </c>
      <c r="F2493" s="62">
        <v>86.755375</v>
      </c>
      <c r="I2493" s="62">
        <v>2021</v>
      </c>
      <c r="J2493" s="62">
        <v>3</v>
      </c>
      <c r="K2493" s="62" t="s">
        <v>20</v>
      </c>
      <c r="L2493" s="62" t="s">
        <v>1</v>
      </c>
      <c r="M2493" s="62">
        <v>1024.3595</v>
      </c>
      <c r="N2493" s="62">
        <v>870.705575</v>
      </c>
    </row>
    <row r="2494" spans="1:14">
      <c r="A2494" s="62">
        <v>2022</v>
      </c>
      <c r="B2494" s="62">
        <v>10</v>
      </c>
      <c r="C2494" s="62" t="s">
        <v>8</v>
      </c>
      <c r="D2494" s="62" t="s">
        <v>2</v>
      </c>
      <c r="E2494" s="62">
        <v>526.53</v>
      </c>
      <c r="F2494" s="62">
        <v>114.16375</v>
      </c>
      <c r="I2494" s="62">
        <v>2021</v>
      </c>
      <c r="J2494" s="62">
        <v>4</v>
      </c>
      <c r="K2494" s="62" t="s">
        <v>20</v>
      </c>
      <c r="L2494" s="62" t="s">
        <v>1</v>
      </c>
      <c r="M2494" s="62">
        <v>565.8966</v>
      </c>
      <c r="N2494" s="62">
        <v>481.01211</v>
      </c>
    </row>
    <row r="2495" spans="1:14">
      <c r="A2495" s="62">
        <v>2022</v>
      </c>
      <c r="B2495" s="62">
        <v>11</v>
      </c>
      <c r="C2495" s="62" t="s">
        <v>8</v>
      </c>
      <c r="D2495" s="62" t="s">
        <v>2</v>
      </c>
      <c r="E2495" s="62">
        <v>71.67999999999999</v>
      </c>
      <c r="F2495" s="62">
        <v>32.848</v>
      </c>
      <c r="I2495" s="62">
        <v>2021</v>
      </c>
      <c r="J2495" s="62">
        <v>5</v>
      </c>
      <c r="K2495" s="62" t="s">
        <v>20</v>
      </c>
      <c r="L2495" s="62" t="s">
        <v>1</v>
      </c>
      <c r="M2495" s="62">
        <v>460.957</v>
      </c>
      <c r="N2495" s="62">
        <v>391.81345</v>
      </c>
    </row>
    <row r="2496" spans="1:14">
      <c r="A2496" s="62">
        <v>2023</v>
      </c>
      <c r="B2496" s="62">
        <v>1</v>
      </c>
      <c r="C2496" s="62" t="s">
        <v>8</v>
      </c>
      <c r="D2496" s="62" t="s">
        <v>2</v>
      </c>
      <c r="E2496" s="62">
        <v>293.53</v>
      </c>
      <c r="F2496" s="62">
        <v>78.057</v>
      </c>
      <c r="I2496" s="62">
        <v>2021</v>
      </c>
      <c r="J2496" s="62">
        <v>6</v>
      </c>
      <c r="K2496" s="62" t="s">
        <v>20</v>
      </c>
      <c r="L2496" s="62" t="s">
        <v>1</v>
      </c>
      <c r="M2496" s="62">
        <v>297.682</v>
      </c>
      <c r="N2496" s="62">
        <v>253.0297</v>
      </c>
    </row>
    <row r="2497" spans="1:14">
      <c r="A2497" s="62">
        <v>2023</v>
      </c>
      <c r="B2497" s="62">
        <v>2</v>
      </c>
      <c r="C2497" s="62" t="s">
        <v>8</v>
      </c>
      <c r="D2497" s="62" t="s">
        <v>2</v>
      </c>
      <c r="E2497" s="62">
        <v>657.447</v>
      </c>
      <c r="F2497" s="62">
        <v>163.56285</v>
      </c>
      <c r="I2497" s="62">
        <v>2021</v>
      </c>
      <c r="J2497" s="62">
        <v>7</v>
      </c>
      <c r="K2497" s="62" t="s">
        <v>20</v>
      </c>
      <c r="L2497" s="62" t="s">
        <v>1</v>
      </c>
      <c r="M2497" s="62">
        <v>235.6145</v>
      </c>
      <c r="N2497" s="62">
        <v>200.272325</v>
      </c>
    </row>
    <row r="2498" spans="1:14">
      <c r="A2498" s="62">
        <v>2023</v>
      </c>
      <c r="B2498" s="62">
        <v>3</v>
      </c>
      <c r="C2498" s="62" t="s">
        <v>8</v>
      </c>
      <c r="D2498" s="62" t="s">
        <v>2</v>
      </c>
      <c r="E2498" s="62">
        <v>243.655</v>
      </c>
      <c r="F2498" s="62">
        <v>58.35525000000001</v>
      </c>
      <c r="I2498" s="62">
        <v>2021</v>
      </c>
      <c r="J2498" s="62">
        <v>8</v>
      </c>
      <c r="K2498" s="62" t="s">
        <v>20</v>
      </c>
      <c r="L2498" s="62" t="s">
        <v>1</v>
      </c>
      <c r="M2498" s="62">
        <v>333.519</v>
      </c>
      <c r="N2498" s="62">
        <v>283.49115</v>
      </c>
    </row>
    <row r="2499" spans="1:14">
      <c r="A2499" s="62">
        <v>2023</v>
      </c>
      <c r="B2499" s="62">
        <v>4</v>
      </c>
      <c r="C2499" s="62" t="s">
        <v>8</v>
      </c>
      <c r="D2499" s="62" t="s">
        <v>2</v>
      </c>
      <c r="E2499" s="62">
        <v>528.47</v>
      </c>
      <c r="F2499" s="62">
        <v>133.08925</v>
      </c>
      <c r="I2499" s="62">
        <v>2021</v>
      </c>
      <c r="J2499" s="62">
        <v>9</v>
      </c>
      <c r="K2499" s="62" t="s">
        <v>20</v>
      </c>
      <c r="L2499" s="62" t="s">
        <v>1</v>
      </c>
      <c r="M2499" s="62">
        <v>601.597</v>
      </c>
      <c r="N2499" s="62">
        <v>511.35745</v>
      </c>
    </row>
    <row r="2500" spans="1:14">
      <c r="A2500" s="62">
        <v>2023</v>
      </c>
      <c r="B2500" s="62">
        <v>5</v>
      </c>
      <c r="C2500" s="62" t="s">
        <v>8</v>
      </c>
      <c r="D2500" s="62" t="s">
        <v>2</v>
      </c>
      <c r="E2500" s="62">
        <v>294.354</v>
      </c>
      <c r="F2500" s="62">
        <v>71.82107499999999</v>
      </c>
      <c r="I2500" s="62">
        <v>2021</v>
      </c>
      <c r="J2500" s="62">
        <v>10</v>
      </c>
      <c r="K2500" s="62" t="s">
        <v>20</v>
      </c>
      <c r="L2500" s="62" t="s">
        <v>1</v>
      </c>
      <c r="M2500" s="62">
        <v>632.524</v>
      </c>
      <c r="N2500" s="62">
        <v>537.6454</v>
      </c>
    </row>
    <row r="2501" spans="1:14">
      <c r="A2501" s="62">
        <v>2023</v>
      </c>
      <c r="B2501" s="62">
        <v>6</v>
      </c>
      <c r="C2501" s="62" t="s">
        <v>8</v>
      </c>
      <c r="D2501" s="62" t="s">
        <v>2</v>
      </c>
      <c r="E2501" s="62">
        <v>2.49</v>
      </c>
      <c r="F2501" s="62">
        <v>2.1165</v>
      </c>
      <c r="I2501" s="62">
        <v>2021</v>
      </c>
      <c r="J2501" s="62">
        <v>11</v>
      </c>
      <c r="K2501" s="62" t="s">
        <v>20</v>
      </c>
      <c r="L2501" s="62" t="s">
        <v>1</v>
      </c>
      <c r="M2501" s="62">
        <v>301.3</v>
      </c>
      <c r="N2501" s="62">
        <v>256.105</v>
      </c>
    </row>
    <row r="2502" spans="1:14">
      <c r="A2502" s="62">
        <v>2023</v>
      </c>
      <c r="B2502" s="62">
        <v>8</v>
      </c>
      <c r="C2502" s="62" t="s">
        <v>8</v>
      </c>
      <c r="D2502" s="62" t="s">
        <v>2</v>
      </c>
      <c r="E2502" s="62">
        <v>41.55</v>
      </c>
      <c r="F2502" s="62">
        <v>7.48</v>
      </c>
      <c r="I2502" s="62">
        <v>2021</v>
      </c>
      <c r="J2502" s="62">
        <v>12</v>
      </c>
      <c r="K2502" s="62" t="s">
        <v>20</v>
      </c>
      <c r="L2502" s="62" t="s">
        <v>1</v>
      </c>
      <c r="M2502" s="62">
        <v>231.511</v>
      </c>
      <c r="N2502" s="62">
        <v>196.78435</v>
      </c>
    </row>
    <row r="2503" spans="1:14">
      <c r="A2503" s="62">
        <v>2023</v>
      </c>
      <c r="B2503" s="62">
        <v>9</v>
      </c>
      <c r="C2503" s="62" t="s">
        <v>8</v>
      </c>
      <c r="D2503" s="62" t="s">
        <v>2</v>
      </c>
      <c r="E2503" s="62">
        <v>62.86</v>
      </c>
      <c r="F2503" s="62">
        <v>14.98675</v>
      </c>
      <c r="I2503" s="62">
        <v>2022</v>
      </c>
      <c r="J2503" s="62">
        <v>1</v>
      </c>
      <c r="K2503" s="62" t="s">
        <v>20</v>
      </c>
      <c r="L2503" s="62" t="s">
        <v>1</v>
      </c>
      <c r="M2503" s="62">
        <v>314.038</v>
      </c>
      <c r="N2503" s="62">
        <v>266.9323</v>
      </c>
    </row>
    <row r="2504" spans="1:14">
      <c r="A2504" s="62">
        <v>2023</v>
      </c>
      <c r="B2504" s="62">
        <v>10</v>
      </c>
      <c r="C2504" s="62" t="s">
        <v>8</v>
      </c>
      <c r="D2504" s="62" t="s">
        <v>2</v>
      </c>
      <c r="E2504" s="62">
        <v>611.49</v>
      </c>
      <c r="F2504" s="62">
        <v>135.45875</v>
      </c>
      <c r="I2504" s="62">
        <v>2022</v>
      </c>
      <c r="J2504" s="62">
        <v>2</v>
      </c>
      <c r="K2504" s="62" t="s">
        <v>20</v>
      </c>
      <c r="L2504" s="62" t="s">
        <v>1</v>
      </c>
      <c r="M2504" s="62">
        <v>409.198</v>
      </c>
      <c r="N2504" s="62">
        <v>347.8183</v>
      </c>
    </row>
    <row r="2505" spans="1:14">
      <c r="A2505" s="62">
        <v>2023</v>
      </c>
      <c r="B2505" s="62">
        <v>11</v>
      </c>
      <c r="C2505" s="62" t="s">
        <v>8</v>
      </c>
      <c r="D2505" s="62" t="s">
        <v>2</v>
      </c>
      <c r="E2505" s="62">
        <v>298.71</v>
      </c>
      <c r="F2505" s="62">
        <v>115.23175</v>
      </c>
      <c r="I2505" s="62">
        <v>2022</v>
      </c>
      <c r="J2505" s="62">
        <v>3</v>
      </c>
      <c r="K2505" s="62" t="s">
        <v>20</v>
      </c>
      <c r="L2505" s="62" t="s">
        <v>1</v>
      </c>
      <c r="M2505" s="62">
        <v>442.605</v>
      </c>
      <c r="N2505" s="62">
        <v>376.21425</v>
      </c>
    </row>
    <row r="2506" spans="1:14">
      <c r="A2506" s="62">
        <v>2023</v>
      </c>
      <c r="B2506" s="62">
        <v>12</v>
      </c>
      <c r="C2506" s="62" t="s">
        <v>8</v>
      </c>
      <c r="D2506" s="62" t="s">
        <v>2</v>
      </c>
      <c r="E2506" s="62">
        <v>23</v>
      </c>
      <c r="F2506" s="62">
        <v>14.95</v>
      </c>
      <c r="I2506" s="62">
        <v>2022</v>
      </c>
      <c r="J2506" s="62">
        <v>4</v>
      </c>
      <c r="K2506" s="62" t="s">
        <v>20</v>
      </c>
      <c r="L2506" s="62" t="s">
        <v>1</v>
      </c>
      <c r="M2506" s="62">
        <v>437.9894</v>
      </c>
      <c r="N2506" s="62">
        <v>372.29099</v>
      </c>
    </row>
    <row r="2507" spans="1:14">
      <c r="A2507" s="62">
        <v>2024</v>
      </c>
      <c r="B2507" s="62">
        <v>1</v>
      </c>
      <c r="C2507" s="62" t="s">
        <v>8</v>
      </c>
      <c r="D2507" s="62" t="s">
        <v>2</v>
      </c>
      <c r="E2507" s="62">
        <v>364.18</v>
      </c>
      <c r="F2507" s="62">
        <v>81.36274999999999</v>
      </c>
      <c r="I2507" s="62">
        <v>2022</v>
      </c>
      <c r="J2507" s="62">
        <v>5</v>
      </c>
      <c r="K2507" s="62" t="s">
        <v>20</v>
      </c>
      <c r="L2507" s="62" t="s">
        <v>1</v>
      </c>
      <c r="M2507" s="62">
        <v>217.22</v>
      </c>
      <c r="N2507" s="62">
        <v>184.637</v>
      </c>
    </row>
    <row r="2508" spans="1:14">
      <c r="A2508" s="62">
        <v>2024</v>
      </c>
      <c r="B2508" s="62">
        <v>2</v>
      </c>
      <c r="C2508" s="62" t="s">
        <v>8</v>
      </c>
      <c r="D2508" s="62" t="s">
        <v>2</v>
      </c>
      <c r="E2508" s="62">
        <v>435.7648</v>
      </c>
      <c r="F2508" s="62">
        <v>93.44625000000001</v>
      </c>
      <c r="I2508" s="62">
        <v>2022</v>
      </c>
      <c r="J2508" s="62">
        <v>6</v>
      </c>
      <c r="K2508" s="62" t="s">
        <v>20</v>
      </c>
      <c r="L2508" s="62" t="s">
        <v>1</v>
      </c>
      <c r="M2508" s="62">
        <v>202.185</v>
      </c>
      <c r="N2508" s="62">
        <v>171.85725</v>
      </c>
    </row>
    <row r="2509" spans="1:14">
      <c r="A2509" s="62">
        <v>2024</v>
      </c>
      <c r="B2509" s="62">
        <v>3</v>
      </c>
      <c r="C2509" s="62" t="s">
        <v>8</v>
      </c>
      <c r="D2509" s="62" t="s">
        <v>2</v>
      </c>
      <c r="E2509" s="62">
        <v>381.851</v>
      </c>
      <c r="F2509" s="62">
        <v>103.39545</v>
      </c>
      <c r="I2509" s="62">
        <v>2022</v>
      </c>
      <c r="J2509" s="62">
        <v>7</v>
      </c>
      <c r="K2509" s="62" t="s">
        <v>20</v>
      </c>
      <c r="L2509" s="62" t="s">
        <v>1</v>
      </c>
      <c r="M2509" s="62">
        <v>304.9952</v>
      </c>
      <c r="N2509" s="62">
        <v>259.24592</v>
      </c>
    </row>
    <row r="2510" spans="1:14">
      <c r="A2510" s="62">
        <v>2024</v>
      </c>
      <c r="B2510" s="62">
        <v>4</v>
      </c>
      <c r="C2510" s="62" t="s">
        <v>8</v>
      </c>
      <c r="D2510" s="62" t="s">
        <v>2</v>
      </c>
      <c r="E2510" s="62">
        <v>386.722</v>
      </c>
      <c r="F2510" s="62">
        <v>75.71475</v>
      </c>
      <c r="I2510" s="62">
        <v>2022</v>
      </c>
      <c r="J2510" s="62">
        <v>8</v>
      </c>
      <c r="K2510" s="62" t="s">
        <v>20</v>
      </c>
      <c r="L2510" s="62" t="s">
        <v>1</v>
      </c>
      <c r="M2510" s="62">
        <v>257.0246</v>
      </c>
      <c r="N2510" s="62">
        <v>218.47091</v>
      </c>
    </row>
    <row r="2511" spans="1:14">
      <c r="A2511" s="62">
        <v>2024</v>
      </c>
      <c r="B2511" s="62">
        <v>5</v>
      </c>
      <c r="C2511" s="62" t="s">
        <v>8</v>
      </c>
      <c r="D2511" s="62" t="s">
        <v>2</v>
      </c>
      <c r="E2511" s="62">
        <v>477.456</v>
      </c>
      <c r="F2511" s="62">
        <v>100.95725</v>
      </c>
      <c r="I2511" s="62">
        <v>2022</v>
      </c>
      <c r="J2511" s="62">
        <v>9</v>
      </c>
      <c r="K2511" s="62" t="s">
        <v>20</v>
      </c>
      <c r="L2511" s="62" t="s">
        <v>1</v>
      </c>
      <c r="M2511" s="62">
        <v>276.24</v>
      </c>
      <c r="N2511" s="62">
        <v>234.804</v>
      </c>
    </row>
    <row r="2512" spans="1:14">
      <c r="A2512" s="62">
        <v>2024</v>
      </c>
      <c r="B2512" s="62">
        <v>6</v>
      </c>
      <c r="C2512" s="62" t="s">
        <v>8</v>
      </c>
      <c r="D2512" s="62" t="s">
        <v>2</v>
      </c>
      <c r="E2512" s="62">
        <v>281.259</v>
      </c>
      <c r="F2512" s="62">
        <v>99.7799</v>
      </c>
      <c r="I2512" s="62">
        <v>2022</v>
      </c>
      <c r="J2512" s="62">
        <v>10</v>
      </c>
      <c r="K2512" s="62" t="s">
        <v>20</v>
      </c>
      <c r="L2512" s="62" t="s">
        <v>1</v>
      </c>
      <c r="M2512" s="62">
        <v>405.582</v>
      </c>
      <c r="N2512" s="62">
        <v>344.7447</v>
      </c>
    </row>
    <row r="2513" spans="1:14">
      <c r="A2513" s="62">
        <v>2024</v>
      </c>
      <c r="B2513" s="62">
        <v>7</v>
      </c>
      <c r="C2513" s="62" t="s">
        <v>8</v>
      </c>
      <c r="D2513" s="62" t="s">
        <v>2</v>
      </c>
      <c r="E2513" s="62">
        <v>27.512</v>
      </c>
      <c r="F2513" s="62">
        <v>9.879999999999999</v>
      </c>
      <c r="I2513" s="62">
        <v>2022</v>
      </c>
      <c r="J2513" s="62">
        <v>11</v>
      </c>
      <c r="K2513" s="62" t="s">
        <v>20</v>
      </c>
      <c r="L2513" s="62" t="s">
        <v>1</v>
      </c>
      <c r="M2513" s="62">
        <v>198.88</v>
      </c>
      <c r="N2513" s="62">
        <v>169.048</v>
      </c>
    </row>
    <row r="2514" spans="1:14">
      <c r="A2514" s="62">
        <v>2024</v>
      </c>
      <c r="B2514" s="62">
        <v>8</v>
      </c>
      <c r="C2514" s="62" t="s">
        <v>8</v>
      </c>
      <c r="D2514" s="62" t="s">
        <v>2</v>
      </c>
      <c r="E2514" s="62">
        <v>59.575</v>
      </c>
      <c r="F2514" s="62">
        <v>38.72375</v>
      </c>
      <c r="I2514" s="62">
        <v>2022</v>
      </c>
      <c r="J2514" s="62">
        <v>12</v>
      </c>
      <c r="K2514" s="62" t="s">
        <v>20</v>
      </c>
      <c r="L2514" s="62" t="s">
        <v>1</v>
      </c>
      <c r="M2514" s="62">
        <v>273.971</v>
      </c>
      <c r="N2514" s="62">
        <v>232.87535</v>
      </c>
    </row>
    <row r="2515" spans="1:14">
      <c r="A2515" s="62">
        <v>2024</v>
      </c>
      <c r="B2515" s="62">
        <v>9</v>
      </c>
      <c r="C2515" s="62" t="s">
        <v>8</v>
      </c>
      <c r="D2515" s="62" t="s">
        <v>2</v>
      </c>
      <c r="E2515" s="62">
        <v>164.73</v>
      </c>
      <c r="F2515" s="62">
        <v>50.05</v>
      </c>
      <c r="I2515" s="62">
        <v>2023</v>
      </c>
      <c r="J2515" s="62">
        <v>1</v>
      </c>
      <c r="K2515" s="62" t="s">
        <v>20</v>
      </c>
      <c r="L2515" s="62" t="s">
        <v>1</v>
      </c>
      <c r="M2515" s="62">
        <v>432.859</v>
      </c>
      <c r="N2515" s="62">
        <v>367.93015</v>
      </c>
    </row>
    <row r="2516" spans="1:14">
      <c r="A2516" s="62">
        <v>2024</v>
      </c>
      <c r="B2516" s="62">
        <v>10</v>
      </c>
      <c r="C2516" s="62" t="s">
        <v>8</v>
      </c>
      <c r="D2516" s="62" t="s">
        <v>2</v>
      </c>
      <c r="E2516" s="62">
        <v>213.545</v>
      </c>
      <c r="F2516" s="62">
        <v>39.343</v>
      </c>
      <c r="I2516" s="62">
        <v>2023</v>
      </c>
      <c r="J2516" s="62">
        <v>2</v>
      </c>
      <c r="K2516" s="62" t="s">
        <v>20</v>
      </c>
      <c r="L2516" s="62" t="s">
        <v>1</v>
      </c>
      <c r="M2516" s="62">
        <v>453.94</v>
      </c>
      <c r="N2516" s="62">
        <v>385.849</v>
      </c>
    </row>
    <row r="2517" spans="1:14">
      <c r="A2517" s="62">
        <v>2024</v>
      </c>
      <c r="B2517" s="62">
        <v>11</v>
      </c>
      <c r="C2517" s="62" t="s">
        <v>8</v>
      </c>
      <c r="D2517" s="62" t="s">
        <v>2</v>
      </c>
      <c r="E2517" s="62">
        <v>129.91</v>
      </c>
      <c r="F2517" s="62">
        <v>12.267</v>
      </c>
      <c r="I2517" s="62">
        <v>2023</v>
      </c>
      <c r="J2517" s="62">
        <v>3</v>
      </c>
      <c r="K2517" s="62" t="s">
        <v>20</v>
      </c>
      <c r="L2517" s="62" t="s">
        <v>1</v>
      </c>
      <c r="M2517" s="62">
        <v>486.416</v>
      </c>
      <c r="N2517" s="62">
        <v>413.4536</v>
      </c>
    </row>
    <row r="2518" spans="1:14">
      <c r="A2518" s="62">
        <v>2024</v>
      </c>
      <c r="B2518" s="62">
        <v>12</v>
      </c>
      <c r="C2518" s="62" t="s">
        <v>8</v>
      </c>
      <c r="D2518" s="62" t="s">
        <v>2</v>
      </c>
      <c r="E2518" s="62">
        <v>13.9265</v>
      </c>
      <c r="F2518" s="62">
        <v>0.4653</v>
      </c>
      <c r="I2518" s="62">
        <v>2023</v>
      </c>
      <c r="J2518" s="62">
        <v>4</v>
      </c>
      <c r="K2518" s="62" t="s">
        <v>20</v>
      </c>
      <c r="L2518" s="62" t="s">
        <v>1</v>
      </c>
      <c r="M2518" s="62">
        <v>495.342</v>
      </c>
      <c r="N2518" s="62">
        <v>421.0407</v>
      </c>
    </row>
    <row r="2519" spans="1:14">
      <c r="A2519" s="62">
        <v>2025</v>
      </c>
      <c r="B2519" s="62">
        <v>1</v>
      </c>
      <c r="C2519" s="62" t="s">
        <v>8</v>
      </c>
      <c r="D2519" s="62" t="s">
        <v>2</v>
      </c>
      <c r="E2519" s="62">
        <v>240.063</v>
      </c>
      <c r="F2519" s="62">
        <v>62.7113</v>
      </c>
      <c r="I2519" s="62">
        <v>2023</v>
      </c>
      <c r="J2519" s="62">
        <v>5</v>
      </c>
      <c r="K2519" s="62" t="s">
        <v>20</v>
      </c>
      <c r="L2519" s="62" t="s">
        <v>1</v>
      </c>
      <c r="M2519" s="62">
        <v>360.457</v>
      </c>
      <c r="N2519" s="62">
        <v>306.38845</v>
      </c>
    </row>
    <row r="2520" spans="1:14">
      <c r="A2520" s="62">
        <v>2025</v>
      </c>
      <c r="B2520" s="62">
        <v>2</v>
      </c>
      <c r="C2520" s="62" t="s">
        <v>8</v>
      </c>
      <c r="D2520" s="62" t="s">
        <v>2</v>
      </c>
      <c r="E2520" s="62">
        <v>208.107</v>
      </c>
      <c r="F2520" s="62">
        <v>44.58045</v>
      </c>
      <c r="I2520" s="62">
        <v>2023</v>
      </c>
      <c r="J2520" s="62">
        <v>6</v>
      </c>
      <c r="K2520" s="62" t="s">
        <v>20</v>
      </c>
      <c r="L2520" s="62" t="s">
        <v>1</v>
      </c>
      <c r="M2520" s="62">
        <v>198.97</v>
      </c>
      <c r="N2520" s="62">
        <v>169.1245</v>
      </c>
    </row>
    <row r="2521" spans="1:14">
      <c r="A2521" s="62">
        <v>2025</v>
      </c>
      <c r="B2521" s="62">
        <v>3</v>
      </c>
      <c r="C2521" s="62" t="s">
        <v>8</v>
      </c>
      <c r="D2521" s="62" t="s">
        <v>2</v>
      </c>
      <c r="E2521" s="62">
        <v>141.862</v>
      </c>
      <c r="F2521" s="62">
        <v>43.427</v>
      </c>
      <c r="I2521" s="62">
        <v>2023</v>
      </c>
      <c r="J2521" s="62">
        <v>7</v>
      </c>
      <c r="K2521" s="62" t="s">
        <v>20</v>
      </c>
      <c r="L2521" s="62" t="s">
        <v>1</v>
      </c>
      <c r="M2521" s="62">
        <v>147.233</v>
      </c>
      <c r="N2521" s="62">
        <v>125.14805</v>
      </c>
    </row>
    <row r="2522" spans="1:14">
      <c r="A2522" s="62">
        <v>2025</v>
      </c>
      <c r="B2522" s="62">
        <v>4</v>
      </c>
      <c r="C2522" s="62" t="s">
        <v>8</v>
      </c>
      <c r="D2522" s="62" t="s">
        <v>2</v>
      </c>
      <c r="E2522" s="62">
        <v>266.83</v>
      </c>
      <c r="F2522" s="62">
        <v>78.736</v>
      </c>
      <c r="I2522" s="62">
        <v>2023</v>
      </c>
      <c r="J2522" s="62">
        <v>8</v>
      </c>
      <c r="K2522" s="62" t="s">
        <v>20</v>
      </c>
      <c r="L2522" s="62" t="s">
        <v>1</v>
      </c>
      <c r="M2522" s="62">
        <v>238.18</v>
      </c>
      <c r="N2522" s="62">
        <v>202.453</v>
      </c>
    </row>
    <row r="2523" spans="1:14">
      <c r="A2523" s="62">
        <v>2025</v>
      </c>
      <c r="B2523" s="62">
        <v>5</v>
      </c>
      <c r="C2523" s="62" t="s">
        <v>8</v>
      </c>
      <c r="D2523" s="62" t="s">
        <v>2</v>
      </c>
      <c r="E2523" s="62">
        <v>78.651</v>
      </c>
      <c r="F2523" s="62">
        <v>41.37835</v>
      </c>
      <c r="I2523" s="62">
        <v>2023</v>
      </c>
      <c r="J2523" s="62">
        <v>9</v>
      </c>
      <c r="K2523" s="62" t="s">
        <v>20</v>
      </c>
      <c r="L2523" s="62" t="s">
        <v>1</v>
      </c>
      <c r="M2523" s="62">
        <v>236.457</v>
      </c>
      <c r="N2523" s="62">
        <v>200.98845</v>
      </c>
    </row>
    <row r="2524" spans="1:14">
      <c r="A2524" s="62">
        <v>2025</v>
      </c>
      <c r="B2524" s="62">
        <v>7</v>
      </c>
      <c r="C2524" s="62" t="s">
        <v>8</v>
      </c>
      <c r="D2524" s="62" t="s">
        <v>2</v>
      </c>
      <c r="E2524" s="62">
        <v>6.907</v>
      </c>
      <c r="F2524" s="62">
        <v>0.9614000000000001</v>
      </c>
      <c r="I2524" s="62">
        <v>2023</v>
      </c>
      <c r="J2524" s="62">
        <v>10</v>
      </c>
      <c r="K2524" s="62" t="s">
        <v>20</v>
      </c>
      <c r="L2524" s="62" t="s">
        <v>1</v>
      </c>
      <c r="M2524" s="62">
        <v>529.1174999999999</v>
      </c>
      <c r="N2524" s="62">
        <v>449.749875</v>
      </c>
    </row>
    <row r="2525" spans="1:14">
      <c r="A2525" s="62">
        <v>2025</v>
      </c>
      <c r="B2525" s="62">
        <v>8</v>
      </c>
      <c r="C2525" s="62" t="s">
        <v>8</v>
      </c>
      <c r="D2525" s="62" t="s">
        <v>2</v>
      </c>
      <c r="E2525" s="62">
        <v>27.255</v>
      </c>
      <c r="F2525" s="62">
        <v>1.771</v>
      </c>
      <c r="I2525" s="62">
        <v>2023</v>
      </c>
      <c r="J2525" s="62">
        <v>11</v>
      </c>
      <c r="K2525" s="62" t="s">
        <v>20</v>
      </c>
      <c r="L2525" s="62" t="s">
        <v>1</v>
      </c>
      <c r="M2525" s="62">
        <v>371.958</v>
      </c>
      <c r="N2525" s="62">
        <v>316.1643</v>
      </c>
    </row>
    <row r="2526" spans="1:14">
      <c r="A2526" s="62">
        <v>2025</v>
      </c>
      <c r="B2526" s="62">
        <v>9</v>
      </c>
      <c r="C2526" s="62" t="s">
        <v>8</v>
      </c>
      <c r="D2526" s="62" t="s">
        <v>2</v>
      </c>
      <c r="E2526" s="62">
        <v>159.961</v>
      </c>
      <c r="F2526" s="62">
        <v>18.5537</v>
      </c>
      <c r="I2526" s="62">
        <v>2023</v>
      </c>
      <c r="J2526" s="62">
        <v>12</v>
      </c>
      <c r="K2526" s="62" t="s">
        <v>20</v>
      </c>
      <c r="L2526" s="62" t="s">
        <v>1</v>
      </c>
      <c r="M2526" s="62">
        <v>67.175</v>
      </c>
      <c r="N2526" s="62">
        <v>57.09875</v>
      </c>
    </row>
    <row r="2527" spans="1:14">
      <c r="A2527" s="62">
        <v>2025</v>
      </c>
      <c r="B2527" s="62">
        <v>10</v>
      </c>
      <c r="C2527" s="62" t="s">
        <v>8</v>
      </c>
      <c r="D2527" s="62" t="s">
        <v>2</v>
      </c>
      <c r="E2527" s="62">
        <v>602.616</v>
      </c>
      <c r="F2527" s="62">
        <v>132.7498</v>
      </c>
      <c r="I2527" s="62">
        <v>2024</v>
      </c>
      <c r="J2527" s="62">
        <v>1</v>
      </c>
      <c r="K2527" s="62" t="s">
        <v>20</v>
      </c>
      <c r="L2527" s="62" t="s">
        <v>1</v>
      </c>
      <c r="M2527" s="62">
        <v>436.8612</v>
      </c>
      <c r="N2527" s="62">
        <v>371.33202</v>
      </c>
    </row>
    <row r="2528" spans="1:14">
      <c r="A2528" s="62">
        <v>2025</v>
      </c>
      <c r="B2528" s="62">
        <v>11</v>
      </c>
      <c r="C2528" s="62" t="s">
        <v>8</v>
      </c>
      <c r="D2528" s="62" t="s">
        <v>2</v>
      </c>
      <c r="E2528" s="62">
        <v>296.88</v>
      </c>
      <c r="F2528" s="62">
        <v>81.50024999999999</v>
      </c>
      <c r="I2528" s="62">
        <v>2024</v>
      </c>
      <c r="J2528" s="62">
        <v>2</v>
      </c>
      <c r="K2528" s="62" t="s">
        <v>20</v>
      </c>
      <c r="L2528" s="62" t="s">
        <v>1</v>
      </c>
      <c r="M2528" s="62">
        <v>843.04</v>
      </c>
      <c r="N2528" s="62">
        <v>716.5839999999999</v>
      </c>
    </row>
    <row r="2529" spans="1:14">
      <c r="A2529" s="62">
        <v>2026</v>
      </c>
      <c r="B2529" s="62">
        <v>1</v>
      </c>
      <c r="C2529" s="62" t="s">
        <v>8</v>
      </c>
      <c r="D2529" s="62" t="s">
        <v>2</v>
      </c>
      <c r="E2529" s="62">
        <v>179.8849</v>
      </c>
      <c r="F2529" s="62">
        <v>19.16454</v>
      </c>
      <c r="I2529" s="62">
        <v>2024</v>
      </c>
      <c r="J2529" s="62">
        <v>3</v>
      </c>
      <c r="K2529" s="62" t="s">
        <v>20</v>
      </c>
      <c r="L2529" s="62" t="s">
        <v>1</v>
      </c>
      <c r="M2529" s="62">
        <v>439.2958</v>
      </c>
      <c r="N2529" s="62">
        <v>373.40143</v>
      </c>
    </row>
    <row r="2530" spans="1:14">
      <c r="A2530" s="62">
        <v>2026</v>
      </c>
      <c r="B2530" s="62">
        <v>2</v>
      </c>
      <c r="C2530" s="62" t="s">
        <v>8</v>
      </c>
      <c r="D2530" s="62" t="s">
        <v>2</v>
      </c>
      <c r="E2530" s="62">
        <v>275.9716</v>
      </c>
      <c r="F2530" s="62">
        <v>39.28444</v>
      </c>
      <c r="I2530" s="62">
        <v>2024</v>
      </c>
      <c r="J2530" s="62">
        <v>4</v>
      </c>
      <c r="K2530" s="62" t="s">
        <v>20</v>
      </c>
      <c r="L2530" s="62" t="s">
        <v>1</v>
      </c>
      <c r="M2530" s="62">
        <v>470.9954</v>
      </c>
      <c r="N2530" s="62">
        <v>400.34609</v>
      </c>
    </row>
    <row r="2531" spans="1:14">
      <c r="A2531" s="62">
        <v>2026</v>
      </c>
      <c r="B2531" s="62">
        <v>3</v>
      </c>
      <c r="C2531" s="62" t="s">
        <v>8</v>
      </c>
      <c r="D2531" s="62" t="s">
        <v>2</v>
      </c>
      <c r="E2531" s="62">
        <v>85.6249</v>
      </c>
      <c r="F2531" s="62">
        <v>24.8035</v>
      </c>
      <c r="I2531" s="62">
        <v>2024</v>
      </c>
      <c r="J2531" s="62">
        <v>5</v>
      </c>
      <c r="K2531" s="62" t="s">
        <v>20</v>
      </c>
      <c r="L2531" s="62" t="s">
        <v>1</v>
      </c>
      <c r="M2531" s="62">
        <v>285.8775</v>
      </c>
      <c r="N2531" s="62">
        <v>242.995875</v>
      </c>
    </row>
    <row r="2532" spans="1:14">
      <c r="A2532" s="62">
        <v>2026</v>
      </c>
      <c r="B2532" s="62">
        <v>4</v>
      </c>
      <c r="C2532" s="62" t="s">
        <v>8</v>
      </c>
      <c r="D2532" s="62" t="s">
        <v>2</v>
      </c>
      <c r="E2532" s="62">
        <v>214.89</v>
      </c>
      <c r="F2532" s="62">
        <v>47.9385</v>
      </c>
      <c r="I2532" s="62">
        <v>2024</v>
      </c>
      <c r="J2532" s="62">
        <v>6</v>
      </c>
      <c r="K2532" s="62" t="s">
        <v>20</v>
      </c>
      <c r="L2532" s="62" t="s">
        <v>1</v>
      </c>
      <c r="M2532" s="62">
        <v>303.314</v>
      </c>
      <c r="N2532" s="62">
        <v>257.8169</v>
      </c>
    </row>
    <row r="2533" spans="1:14">
      <c r="A2533" s="62">
        <v>2026</v>
      </c>
      <c r="B2533" s="62">
        <v>5</v>
      </c>
      <c r="C2533" s="62" t="s">
        <v>8</v>
      </c>
      <c r="D2533" s="62" t="s">
        <v>2</v>
      </c>
      <c r="E2533" s="62">
        <v>272.8808</v>
      </c>
      <c r="F2533" s="62">
        <v>43.57125</v>
      </c>
      <c r="I2533" s="62">
        <v>2024</v>
      </c>
      <c r="J2533" s="62">
        <v>7</v>
      </c>
      <c r="K2533" s="62" t="s">
        <v>20</v>
      </c>
      <c r="L2533" s="62" t="s">
        <v>1</v>
      </c>
      <c r="M2533" s="62">
        <v>129.5725</v>
      </c>
      <c r="N2533" s="62">
        <v>110.136625</v>
      </c>
    </row>
    <row r="2534" spans="1:14">
      <c r="A2534" s="62">
        <v>2026</v>
      </c>
      <c r="B2534" s="62">
        <v>6</v>
      </c>
      <c r="C2534" s="62" t="s">
        <v>8</v>
      </c>
      <c r="D2534" s="62" t="s">
        <v>2</v>
      </c>
      <c r="E2534" s="62">
        <v>123.38</v>
      </c>
      <c r="F2534" s="62">
        <v>24.554</v>
      </c>
      <c r="I2534" s="62">
        <v>2024</v>
      </c>
      <c r="J2534" s="62">
        <v>8</v>
      </c>
      <c r="K2534" s="62" t="s">
        <v>20</v>
      </c>
      <c r="L2534" s="62" t="s">
        <v>1</v>
      </c>
      <c r="M2534" s="62">
        <v>149.935</v>
      </c>
      <c r="N2534" s="62">
        <v>127.44475</v>
      </c>
    </row>
    <row r="2535" spans="1:14">
      <c r="A2535" s="62">
        <v>2026</v>
      </c>
      <c r="B2535" s="62">
        <v>7</v>
      </c>
      <c r="C2535" s="62" t="s">
        <v>8</v>
      </c>
      <c r="D2535" s="62" t="s">
        <v>2</v>
      </c>
      <c r="E2535" s="62">
        <v>109.58</v>
      </c>
      <c r="F2535" s="62">
        <v>21.996</v>
      </c>
      <c r="I2535" s="62">
        <v>2024</v>
      </c>
      <c r="J2535" s="62">
        <v>9</v>
      </c>
      <c r="K2535" s="62" t="s">
        <v>20</v>
      </c>
      <c r="L2535" s="62" t="s">
        <v>1</v>
      </c>
      <c r="M2535" s="62">
        <v>319.02</v>
      </c>
      <c r="N2535" s="62">
        <v>271.167</v>
      </c>
    </row>
    <row r="2536" spans="1:14">
      <c r="A2536" s="62">
        <v>2026</v>
      </c>
      <c r="B2536" s="62">
        <v>8</v>
      </c>
      <c r="C2536" s="62" t="s">
        <v>8</v>
      </c>
      <c r="D2536" s="62" t="s">
        <v>2</v>
      </c>
      <c r="E2536" s="62">
        <v>47.53</v>
      </c>
      <c r="F2536" s="62">
        <v>3.53275</v>
      </c>
      <c r="I2536" s="62">
        <v>2024</v>
      </c>
      <c r="J2536" s="62">
        <v>10</v>
      </c>
      <c r="K2536" s="62" t="s">
        <v>20</v>
      </c>
      <c r="L2536" s="62" t="s">
        <v>1</v>
      </c>
      <c r="M2536" s="62">
        <v>587.828</v>
      </c>
      <c r="N2536" s="62">
        <v>499.6538</v>
      </c>
    </row>
    <row r="2537" spans="1:14">
      <c r="A2537" s="62">
        <v>2026</v>
      </c>
      <c r="B2537" s="62">
        <v>9</v>
      </c>
      <c r="C2537" s="62" t="s">
        <v>8</v>
      </c>
      <c r="D2537" s="62" t="s">
        <v>2</v>
      </c>
      <c r="E2537" s="62">
        <v>110.06</v>
      </c>
      <c r="F2537" s="62">
        <v>27.175</v>
      </c>
      <c r="I2537" s="62">
        <v>2024</v>
      </c>
      <c r="J2537" s="62">
        <v>11</v>
      </c>
      <c r="K2537" s="62" t="s">
        <v>20</v>
      </c>
      <c r="L2537" s="62" t="s">
        <v>1</v>
      </c>
      <c r="M2537" s="62">
        <v>228.1725</v>
      </c>
      <c r="N2537" s="62">
        <v>193.946625</v>
      </c>
    </row>
    <row r="2538" spans="1:14">
      <c r="A2538" s="62">
        <v>2026</v>
      </c>
      <c r="B2538" s="62">
        <v>10</v>
      </c>
      <c r="C2538" s="62" t="s">
        <v>8</v>
      </c>
      <c r="D2538" s="62" t="s">
        <v>2</v>
      </c>
      <c r="E2538" s="62">
        <v>198.14</v>
      </c>
      <c r="F2538" s="62">
        <v>67.81925000000001</v>
      </c>
      <c r="I2538" s="62">
        <v>2024</v>
      </c>
      <c r="J2538" s="62">
        <v>12</v>
      </c>
      <c r="K2538" s="62" t="s">
        <v>20</v>
      </c>
      <c r="L2538" s="62" t="s">
        <v>1</v>
      </c>
      <c r="M2538" s="62">
        <v>29.63</v>
      </c>
      <c r="N2538" s="62">
        <v>25.1855</v>
      </c>
    </row>
    <row r="2539" spans="1:14">
      <c r="A2539" s="62">
        <v>2026</v>
      </c>
      <c r="B2539" s="62">
        <v>11</v>
      </c>
      <c r="C2539" s="62" t="s">
        <v>8</v>
      </c>
      <c r="D2539" s="62" t="s">
        <v>2</v>
      </c>
      <c r="E2539" s="62">
        <v>136.196</v>
      </c>
      <c r="F2539" s="62">
        <v>59.7753</v>
      </c>
      <c r="I2539" s="62">
        <v>2025</v>
      </c>
      <c r="J2539" s="62">
        <v>1</v>
      </c>
      <c r="K2539" s="62" t="s">
        <v>20</v>
      </c>
      <c r="L2539" s="62" t="s">
        <v>1</v>
      </c>
      <c r="M2539" s="62">
        <v>160.3135</v>
      </c>
      <c r="N2539" s="62">
        <v>136.266475</v>
      </c>
    </row>
    <row r="2540" spans="1:14">
      <c r="A2540" s="62">
        <v>2026</v>
      </c>
      <c r="B2540" s="62">
        <v>12</v>
      </c>
      <c r="C2540" s="62" t="s">
        <v>8</v>
      </c>
      <c r="D2540" s="62" t="s">
        <v>2</v>
      </c>
      <c r="E2540" s="62">
        <v>9.5</v>
      </c>
      <c r="F2540" s="62">
        <v>3.12</v>
      </c>
      <c r="I2540" s="62">
        <v>2025</v>
      </c>
      <c r="J2540" s="62">
        <v>2</v>
      </c>
      <c r="K2540" s="62" t="s">
        <v>20</v>
      </c>
      <c r="L2540" s="62" t="s">
        <v>1</v>
      </c>
      <c r="M2540" s="62">
        <v>251.5285</v>
      </c>
      <c r="N2540" s="62">
        <v>213.799225</v>
      </c>
    </row>
    <row r="2541" spans="1:14">
      <c r="A2541" s="62">
        <v>2027</v>
      </c>
      <c r="B2541" s="62">
        <v>1</v>
      </c>
      <c r="C2541" s="62" t="s">
        <v>8</v>
      </c>
      <c r="D2541" s="62" t="s">
        <v>2</v>
      </c>
      <c r="E2541" s="62">
        <v>396.02</v>
      </c>
      <c r="F2541" s="62">
        <v>70.9875</v>
      </c>
      <c r="I2541" s="62">
        <v>2025</v>
      </c>
      <c r="J2541" s="62">
        <v>3</v>
      </c>
      <c r="K2541" s="62" t="s">
        <v>20</v>
      </c>
      <c r="L2541" s="62" t="s">
        <v>1</v>
      </c>
      <c r="M2541" s="62">
        <v>301.84</v>
      </c>
      <c r="N2541" s="62">
        <v>256.564</v>
      </c>
    </row>
    <row r="2542" spans="1:14">
      <c r="A2542" s="62">
        <v>2027</v>
      </c>
      <c r="B2542" s="62">
        <v>2</v>
      </c>
      <c r="C2542" s="62" t="s">
        <v>8</v>
      </c>
      <c r="D2542" s="62" t="s">
        <v>2</v>
      </c>
      <c r="E2542" s="62">
        <v>504.118</v>
      </c>
      <c r="F2542" s="62">
        <v>91.17789999999999</v>
      </c>
      <c r="I2542" s="62">
        <v>2025</v>
      </c>
      <c r="J2542" s="62">
        <v>4</v>
      </c>
      <c r="K2542" s="62" t="s">
        <v>20</v>
      </c>
      <c r="L2542" s="62" t="s">
        <v>1</v>
      </c>
      <c r="M2542" s="62">
        <v>443.2805</v>
      </c>
      <c r="N2542" s="62">
        <v>376.788425</v>
      </c>
    </row>
    <row r="2543" spans="1:14">
      <c r="A2543" s="62">
        <v>2027</v>
      </c>
      <c r="B2543" s="62">
        <v>3</v>
      </c>
      <c r="C2543" s="62" t="s">
        <v>8</v>
      </c>
      <c r="D2543" s="62" t="s">
        <v>2</v>
      </c>
      <c r="E2543" s="62">
        <v>241.146</v>
      </c>
      <c r="F2543" s="62">
        <v>35.1037</v>
      </c>
      <c r="I2543" s="62">
        <v>2025</v>
      </c>
      <c r="J2543" s="62">
        <v>5</v>
      </c>
      <c r="K2543" s="62" t="s">
        <v>20</v>
      </c>
      <c r="L2543" s="62" t="s">
        <v>1</v>
      </c>
      <c r="M2543" s="62">
        <v>213.1394</v>
      </c>
      <c r="N2543" s="62">
        <v>181.16849</v>
      </c>
    </row>
    <row r="2544" spans="1:14">
      <c r="A2544" s="62">
        <v>2027</v>
      </c>
      <c r="B2544" s="62">
        <v>4</v>
      </c>
      <c r="C2544" s="62" t="s">
        <v>8</v>
      </c>
      <c r="D2544" s="62" t="s">
        <v>2</v>
      </c>
      <c r="E2544" s="62">
        <v>13.559</v>
      </c>
      <c r="F2544" s="62">
        <v>1.210125</v>
      </c>
      <c r="I2544" s="62">
        <v>2025</v>
      </c>
      <c r="J2544" s="62">
        <v>6</v>
      </c>
      <c r="K2544" s="62" t="s">
        <v>20</v>
      </c>
      <c r="L2544" s="62" t="s">
        <v>1</v>
      </c>
      <c r="M2544" s="62">
        <v>90.00749999999999</v>
      </c>
      <c r="N2544" s="62">
        <v>76.50637499999999</v>
      </c>
    </row>
    <row r="2545" spans="1:14">
      <c r="A2545" s="62">
        <v>2027</v>
      </c>
      <c r="B2545" s="62">
        <v>5</v>
      </c>
      <c r="C2545" s="62" t="s">
        <v>8</v>
      </c>
      <c r="D2545" s="62" t="s">
        <v>2</v>
      </c>
      <c r="E2545" s="62">
        <v>51.34</v>
      </c>
      <c r="F2545" s="62">
        <v>8.371999999999998</v>
      </c>
      <c r="I2545" s="62">
        <v>2025</v>
      </c>
      <c r="J2545" s="62">
        <v>7</v>
      </c>
      <c r="K2545" s="62" t="s">
        <v>20</v>
      </c>
      <c r="L2545" s="62" t="s">
        <v>1</v>
      </c>
      <c r="M2545" s="62">
        <v>37.819</v>
      </c>
      <c r="N2545" s="62">
        <v>32.14615</v>
      </c>
    </row>
    <row r="2546" spans="1:14">
      <c r="A2546" s="62">
        <v>2027</v>
      </c>
      <c r="B2546" s="62">
        <v>6</v>
      </c>
      <c r="C2546" s="62" t="s">
        <v>8</v>
      </c>
      <c r="D2546" s="62" t="s">
        <v>2</v>
      </c>
      <c r="E2546" s="62">
        <v>3.5</v>
      </c>
      <c r="F2546" s="62">
        <v>0</v>
      </c>
      <c r="I2546" s="62">
        <v>2025</v>
      </c>
      <c r="J2546" s="62">
        <v>8</v>
      </c>
      <c r="K2546" s="62" t="s">
        <v>20</v>
      </c>
      <c r="L2546" s="62" t="s">
        <v>1</v>
      </c>
      <c r="M2546" s="62">
        <v>87.89999999999999</v>
      </c>
      <c r="N2546" s="62">
        <v>74.715</v>
      </c>
    </row>
    <row r="2547" spans="1:14">
      <c r="A2547" s="62">
        <v>2027</v>
      </c>
      <c r="B2547" s="62">
        <v>7</v>
      </c>
      <c r="C2547" s="62" t="s">
        <v>8</v>
      </c>
      <c r="D2547" s="62" t="s">
        <v>2</v>
      </c>
      <c r="E2547" s="62">
        <v>3.5</v>
      </c>
      <c r="F2547" s="62">
        <v>0</v>
      </c>
      <c r="I2547" s="62">
        <v>2025</v>
      </c>
      <c r="J2547" s="62">
        <v>9</v>
      </c>
      <c r="K2547" s="62" t="s">
        <v>20</v>
      </c>
      <c r="L2547" s="62" t="s">
        <v>1</v>
      </c>
      <c r="M2547" s="62">
        <v>131.7565</v>
      </c>
      <c r="N2547" s="62">
        <v>111.993025</v>
      </c>
    </row>
    <row r="2548" spans="1:14">
      <c r="A2548" s="62">
        <v>2027</v>
      </c>
      <c r="B2548" s="62">
        <v>8</v>
      </c>
      <c r="C2548" s="62" t="s">
        <v>8</v>
      </c>
      <c r="D2548" s="62" t="s">
        <v>2</v>
      </c>
      <c r="E2548" s="62">
        <v>3.5</v>
      </c>
      <c r="F2548" s="62">
        <v>0</v>
      </c>
      <c r="I2548" s="62">
        <v>2025</v>
      </c>
      <c r="J2548" s="62">
        <v>10</v>
      </c>
      <c r="K2548" s="62" t="s">
        <v>20</v>
      </c>
      <c r="L2548" s="62" t="s">
        <v>1</v>
      </c>
      <c r="M2548" s="62">
        <v>379.416</v>
      </c>
      <c r="N2548" s="62">
        <v>322.5036</v>
      </c>
    </row>
    <row r="2549" spans="1:14">
      <c r="A2549" s="62">
        <v>2027</v>
      </c>
      <c r="B2549" s="62">
        <v>9</v>
      </c>
      <c r="C2549" s="62" t="s">
        <v>8</v>
      </c>
      <c r="D2549" s="62" t="s">
        <v>2</v>
      </c>
      <c r="E2549" s="62">
        <v>190.75</v>
      </c>
      <c r="F2549" s="62">
        <v>46.134125</v>
      </c>
      <c r="I2549" s="62">
        <v>2025</v>
      </c>
      <c r="J2549" s="62">
        <v>11</v>
      </c>
      <c r="K2549" s="62" t="s">
        <v>20</v>
      </c>
      <c r="L2549" s="62" t="s">
        <v>1</v>
      </c>
      <c r="M2549" s="62">
        <v>227.8095</v>
      </c>
      <c r="N2549" s="62">
        <v>193.638075</v>
      </c>
    </row>
    <row r="2550" spans="1:14">
      <c r="A2550" s="62">
        <v>2027</v>
      </c>
      <c r="B2550" s="62">
        <v>10</v>
      </c>
      <c r="C2550" s="62" t="s">
        <v>8</v>
      </c>
      <c r="D2550" s="62" t="s">
        <v>2</v>
      </c>
      <c r="E2550" s="62">
        <v>513.04</v>
      </c>
      <c r="F2550" s="62">
        <v>103.2375</v>
      </c>
      <c r="I2550" s="62">
        <v>2025</v>
      </c>
      <c r="J2550" s="62">
        <v>12</v>
      </c>
      <c r="K2550" s="62" t="s">
        <v>20</v>
      </c>
      <c r="L2550" s="62" t="s">
        <v>1</v>
      </c>
      <c r="M2550" s="62">
        <v>25.235</v>
      </c>
      <c r="N2550" s="62">
        <v>21.44975</v>
      </c>
    </row>
    <row r="2551" spans="1:14">
      <c r="A2551" s="62">
        <v>2027</v>
      </c>
      <c r="B2551" s="62">
        <v>11</v>
      </c>
      <c r="C2551" s="62" t="s">
        <v>8</v>
      </c>
      <c r="D2551" s="62" t="s">
        <v>2</v>
      </c>
      <c r="E2551" s="62">
        <v>94.25</v>
      </c>
      <c r="F2551" s="62">
        <v>20.455875</v>
      </c>
      <c r="I2551" s="62">
        <v>2026</v>
      </c>
      <c r="J2551" s="62">
        <v>1</v>
      </c>
      <c r="K2551" s="62" t="s">
        <v>20</v>
      </c>
      <c r="L2551" s="62" t="s">
        <v>1</v>
      </c>
      <c r="M2551" s="62">
        <v>95.4175</v>
      </c>
      <c r="N2551" s="62">
        <v>81.10487499999999</v>
      </c>
    </row>
    <row r="2552" spans="1:14">
      <c r="A2552" s="62">
        <v>2027</v>
      </c>
      <c r="B2552" s="62">
        <v>12</v>
      </c>
      <c r="C2552" s="62" t="s">
        <v>8</v>
      </c>
      <c r="D2552" s="62" t="s">
        <v>2</v>
      </c>
      <c r="E2552" s="62">
        <v>3.5</v>
      </c>
      <c r="F2552" s="62">
        <v>0</v>
      </c>
      <c r="I2552" s="62">
        <v>2026</v>
      </c>
      <c r="J2552" s="62">
        <v>2</v>
      </c>
      <c r="K2552" s="62" t="s">
        <v>20</v>
      </c>
      <c r="L2552" s="62" t="s">
        <v>1</v>
      </c>
      <c r="M2552" s="62">
        <v>210.5685</v>
      </c>
      <c r="N2552" s="62">
        <v>178.983225</v>
      </c>
    </row>
    <row r="2553" spans="1:14">
      <c r="A2553" s="62">
        <v>2014</v>
      </c>
      <c r="B2553" s="62">
        <v>1</v>
      </c>
      <c r="C2553" s="62" t="s">
        <v>8</v>
      </c>
      <c r="D2553" s="62" t="s">
        <v>3</v>
      </c>
      <c r="E2553" s="62">
        <v>2.75</v>
      </c>
      <c r="F2553" s="62">
        <v>0.1375</v>
      </c>
      <c r="I2553" s="62">
        <v>2026</v>
      </c>
      <c r="J2553" s="62">
        <v>3</v>
      </c>
      <c r="K2553" s="62" t="s">
        <v>20</v>
      </c>
      <c r="L2553" s="62" t="s">
        <v>1</v>
      </c>
      <c r="M2553" s="62">
        <v>159.17</v>
      </c>
      <c r="N2553" s="62">
        <v>135.2945</v>
      </c>
    </row>
    <row r="2554" spans="1:14">
      <c r="A2554" s="62">
        <v>2014</v>
      </c>
      <c r="B2554" s="62">
        <v>2</v>
      </c>
      <c r="C2554" s="62" t="s">
        <v>8</v>
      </c>
      <c r="D2554" s="62" t="s">
        <v>3</v>
      </c>
      <c r="E2554" s="62">
        <v>47.615</v>
      </c>
      <c r="F2554" s="62">
        <v>8.437999999999999</v>
      </c>
      <c r="I2554" s="62">
        <v>2026</v>
      </c>
      <c r="J2554" s="62">
        <v>4</v>
      </c>
      <c r="K2554" s="62" t="s">
        <v>20</v>
      </c>
      <c r="L2554" s="62" t="s">
        <v>1</v>
      </c>
      <c r="M2554" s="62">
        <v>154.283</v>
      </c>
      <c r="N2554" s="62">
        <v>131.14055</v>
      </c>
    </row>
    <row r="2555" spans="1:14">
      <c r="A2555" s="62">
        <v>2014</v>
      </c>
      <c r="B2555" s="62">
        <v>3</v>
      </c>
      <c r="C2555" s="62" t="s">
        <v>8</v>
      </c>
      <c r="D2555" s="62" t="s">
        <v>3</v>
      </c>
      <c r="E2555" s="62">
        <v>13.26</v>
      </c>
      <c r="F2555" s="62">
        <v>8.619</v>
      </c>
      <c r="I2555" s="62">
        <v>2026</v>
      </c>
      <c r="J2555" s="62">
        <v>5</v>
      </c>
      <c r="K2555" s="62" t="s">
        <v>20</v>
      </c>
      <c r="L2555" s="62" t="s">
        <v>1</v>
      </c>
      <c r="M2555" s="62">
        <v>157.769</v>
      </c>
      <c r="N2555" s="62">
        <v>134.10365</v>
      </c>
    </row>
    <row r="2556" spans="1:14">
      <c r="A2556" s="62">
        <v>2014</v>
      </c>
      <c r="B2556" s="62">
        <v>4</v>
      </c>
      <c r="C2556" s="62" t="s">
        <v>8</v>
      </c>
      <c r="D2556" s="62" t="s">
        <v>3</v>
      </c>
      <c r="E2556" s="62">
        <v>106.26</v>
      </c>
      <c r="F2556" s="62">
        <v>30.66525</v>
      </c>
      <c r="I2556" s="62">
        <v>2026</v>
      </c>
      <c r="J2556" s="62">
        <v>6</v>
      </c>
      <c r="K2556" s="62" t="s">
        <v>20</v>
      </c>
      <c r="L2556" s="62" t="s">
        <v>1</v>
      </c>
      <c r="M2556" s="62">
        <v>109.95</v>
      </c>
      <c r="N2556" s="62">
        <v>93.4575</v>
      </c>
    </row>
    <row r="2557" spans="1:14">
      <c r="A2557" s="62">
        <v>2014</v>
      </c>
      <c r="B2557" s="62">
        <v>5</v>
      </c>
      <c r="C2557" s="62" t="s">
        <v>8</v>
      </c>
      <c r="D2557" s="62" t="s">
        <v>3</v>
      </c>
      <c r="E2557" s="62">
        <v>42.64</v>
      </c>
      <c r="F2557" s="62">
        <v>23.26425</v>
      </c>
      <c r="I2557" s="62">
        <v>2026</v>
      </c>
      <c r="J2557" s="62">
        <v>7</v>
      </c>
      <c r="K2557" s="62" t="s">
        <v>20</v>
      </c>
      <c r="L2557" s="62" t="s">
        <v>1</v>
      </c>
      <c r="M2557" s="62">
        <v>14.944</v>
      </c>
      <c r="N2557" s="62">
        <v>12.7024</v>
      </c>
    </row>
    <row r="2558" spans="1:14">
      <c r="A2558" s="62">
        <v>2014</v>
      </c>
      <c r="B2558" s="62">
        <v>6</v>
      </c>
      <c r="C2558" s="62" t="s">
        <v>8</v>
      </c>
      <c r="D2558" s="62" t="s">
        <v>3</v>
      </c>
      <c r="E2558" s="62">
        <v>85.64</v>
      </c>
      <c r="F2558" s="62">
        <v>35.11799999999999</v>
      </c>
      <c r="I2558" s="62">
        <v>2026</v>
      </c>
      <c r="J2558" s="62">
        <v>8</v>
      </c>
      <c r="K2558" s="62" t="s">
        <v>20</v>
      </c>
      <c r="L2558" s="62" t="s">
        <v>1</v>
      </c>
      <c r="M2558" s="62">
        <v>9.504999999999999</v>
      </c>
      <c r="N2558" s="62">
        <v>8.07925</v>
      </c>
    </row>
    <row r="2559" spans="1:14">
      <c r="A2559" s="62">
        <v>2014</v>
      </c>
      <c r="B2559" s="62">
        <v>7</v>
      </c>
      <c r="C2559" s="62" t="s">
        <v>8</v>
      </c>
      <c r="D2559" s="62" t="s">
        <v>3</v>
      </c>
      <c r="E2559" s="62">
        <v>45.65</v>
      </c>
      <c r="F2559" s="62">
        <v>25.54825</v>
      </c>
      <c r="I2559" s="62">
        <v>2026</v>
      </c>
      <c r="J2559" s="62">
        <v>9</v>
      </c>
      <c r="K2559" s="62" t="s">
        <v>20</v>
      </c>
      <c r="L2559" s="62" t="s">
        <v>1</v>
      </c>
      <c r="M2559" s="62">
        <v>137.55</v>
      </c>
      <c r="N2559" s="62">
        <v>116.9175</v>
      </c>
    </row>
    <row r="2560" spans="1:14">
      <c r="A2560" s="62">
        <v>2014</v>
      </c>
      <c r="B2560" s="62">
        <v>8</v>
      </c>
      <c r="C2560" s="62" t="s">
        <v>8</v>
      </c>
      <c r="D2560" s="62" t="s">
        <v>3</v>
      </c>
      <c r="E2560" s="62">
        <v>35.91</v>
      </c>
      <c r="F2560" s="62">
        <v>15.288</v>
      </c>
      <c r="I2560" s="62">
        <v>2026</v>
      </c>
      <c r="J2560" s="62">
        <v>10</v>
      </c>
      <c r="K2560" s="62" t="s">
        <v>20</v>
      </c>
      <c r="L2560" s="62" t="s">
        <v>1</v>
      </c>
      <c r="M2560" s="62">
        <v>166.385</v>
      </c>
      <c r="N2560" s="62">
        <v>141.42725</v>
      </c>
    </row>
    <row r="2561" spans="1:14">
      <c r="A2561" s="62">
        <v>2014</v>
      </c>
      <c r="B2561" s="62">
        <v>9</v>
      </c>
      <c r="C2561" s="62" t="s">
        <v>8</v>
      </c>
      <c r="D2561" s="62" t="s">
        <v>3</v>
      </c>
      <c r="E2561" s="62">
        <v>93.30200000000001</v>
      </c>
      <c r="F2561" s="62">
        <v>17.0795</v>
      </c>
      <c r="I2561" s="62">
        <v>2026</v>
      </c>
      <c r="J2561" s="62">
        <v>11</v>
      </c>
      <c r="K2561" s="62" t="s">
        <v>20</v>
      </c>
      <c r="L2561" s="62" t="s">
        <v>1</v>
      </c>
      <c r="M2561" s="62">
        <v>68.09999999999999</v>
      </c>
      <c r="N2561" s="62">
        <v>57.885</v>
      </c>
    </row>
    <row r="2562" spans="1:14">
      <c r="A2562" s="62">
        <v>2014</v>
      </c>
      <c r="B2562" s="62">
        <v>10</v>
      </c>
      <c r="C2562" s="62" t="s">
        <v>8</v>
      </c>
      <c r="D2562" s="62" t="s">
        <v>3</v>
      </c>
      <c r="E2562" s="62">
        <v>20.668</v>
      </c>
      <c r="F2562" s="62">
        <v>2.8834</v>
      </c>
      <c r="I2562" s="62">
        <v>2027</v>
      </c>
      <c r="J2562" s="62">
        <v>1</v>
      </c>
      <c r="K2562" s="62" t="s">
        <v>20</v>
      </c>
      <c r="L2562" s="62" t="s">
        <v>1</v>
      </c>
      <c r="M2562" s="62">
        <v>29.125</v>
      </c>
      <c r="N2562" s="62">
        <v>24.75625</v>
      </c>
    </row>
    <row r="2563" spans="1:14">
      <c r="A2563" s="62">
        <v>2014</v>
      </c>
      <c r="B2563" s="62">
        <v>11</v>
      </c>
      <c r="C2563" s="62" t="s">
        <v>8</v>
      </c>
      <c r="D2563" s="62" t="s">
        <v>3</v>
      </c>
      <c r="E2563" s="62">
        <v>13.2</v>
      </c>
      <c r="F2563" s="62">
        <v>0</v>
      </c>
      <c r="I2563" s="62">
        <v>2027</v>
      </c>
      <c r="J2563" s="62">
        <v>2</v>
      </c>
      <c r="K2563" s="62" t="s">
        <v>20</v>
      </c>
      <c r="L2563" s="62" t="s">
        <v>1</v>
      </c>
      <c r="M2563" s="62">
        <v>68.78</v>
      </c>
      <c r="N2563" s="62">
        <v>58.463</v>
      </c>
    </row>
    <row r="2564" spans="1:14">
      <c r="A2564" s="62">
        <v>2014</v>
      </c>
      <c r="B2564" s="62">
        <v>12</v>
      </c>
      <c r="C2564" s="62" t="s">
        <v>8</v>
      </c>
      <c r="D2564" s="62" t="s">
        <v>3</v>
      </c>
      <c r="E2564" s="62">
        <v>45.81</v>
      </c>
      <c r="F2564" s="62">
        <v>2.695</v>
      </c>
      <c r="I2564" s="62">
        <v>2027</v>
      </c>
      <c r="J2564" s="62">
        <v>3</v>
      </c>
      <c r="K2564" s="62" t="s">
        <v>20</v>
      </c>
      <c r="L2564" s="62" t="s">
        <v>1</v>
      </c>
      <c r="M2564" s="62">
        <v>184.889</v>
      </c>
      <c r="N2564" s="62">
        <v>157.15565</v>
      </c>
    </row>
    <row r="2565" spans="1:14">
      <c r="A2565" s="62">
        <v>2015</v>
      </c>
      <c r="B2565" s="62">
        <v>1</v>
      </c>
      <c r="C2565" s="62" t="s">
        <v>8</v>
      </c>
      <c r="D2565" s="62" t="s">
        <v>3</v>
      </c>
      <c r="E2565" s="62">
        <v>29.93</v>
      </c>
      <c r="F2565" s="62">
        <v>15.748</v>
      </c>
      <c r="I2565" s="62">
        <v>2027</v>
      </c>
      <c r="J2565" s="62">
        <v>4</v>
      </c>
      <c r="K2565" s="62" t="s">
        <v>20</v>
      </c>
      <c r="L2565" s="62" t="s">
        <v>1</v>
      </c>
      <c r="M2565" s="62">
        <v>96.235</v>
      </c>
      <c r="N2565" s="62">
        <v>81.79975</v>
      </c>
    </row>
    <row r="2566" spans="1:14">
      <c r="A2566" s="62">
        <v>2015</v>
      </c>
      <c r="B2566" s="62">
        <v>2</v>
      </c>
      <c r="C2566" s="62" t="s">
        <v>8</v>
      </c>
      <c r="D2566" s="62" t="s">
        <v>3</v>
      </c>
      <c r="E2566" s="62">
        <v>415.36</v>
      </c>
      <c r="F2566" s="62">
        <v>86.136</v>
      </c>
      <c r="I2566" s="62">
        <v>2027</v>
      </c>
      <c r="J2566" s="62">
        <v>5</v>
      </c>
      <c r="K2566" s="62" t="s">
        <v>20</v>
      </c>
      <c r="L2566" s="62" t="s">
        <v>1</v>
      </c>
      <c r="M2566" s="62">
        <v>20.468</v>
      </c>
      <c r="N2566" s="62">
        <v>17.3978</v>
      </c>
    </row>
    <row r="2567" spans="1:14">
      <c r="A2567" s="62">
        <v>2015</v>
      </c>
      <c r="B2567" s="62">
        <v>3</v>
      </c>
      <c r="C2567" s="62" t="s">
        <v>8</v>
      </c>
      <c r="D2567" s="62" t="s">
        <v>3</v>
      </c>
      <c r="E2567" s="62">
        <v>471</v>
      </c>
      <c r="F2567" s="62">
        <v>114.225</v>
      </c>
      <c r="I2567" s="62">
        <v>2027</v>
      </c>
      <c r="J2567" s="62">
        <v>6</v>
      </c>
      <c r="K2567" s="62" t="s">
        <v>20</v>
      </c>
      <c r="L2567" s="62" t="s">
        <v>1</v>
      </c>
      <c r="M2567" s="62">
        <v>0.3</v>
      </c>
      <c r="N2567" s="62">
        <v>0.255</v>
      </c>
    </row>
    <row r="2568" spans="1:14">
      <c r="A2568" s="62">
        <v>2015</v>
      </c>
      <c r="B2568" s="62">
        <v>4</v>
      </c>
      <c r="C2568" s="62" t="s">
        <v>8</v>
      </c>
      <c r="D2568" s="62" t="s">
        <v>3</v>
      </c>
      <c r="E2568" s="62">
        <v>444.1</v>
      </c>
      <c r="F2568" s="62">
        <v>114.5025</v>
      </c>
      <c r="I2568" s="62">
        <v>2027</v>
      </c>
      <c r="J2568" s="62">
        <v>9</v>
      </c>
      <c r="K2568" s="62" t="s">
        <v>20</v>
      </c>
      <c r="L2568" s="62" t="s">
        <v>1</v>
      </c>
      <c r="M2568" s="62">
        <v>112.05</v>
      </c>
      <c r="N2568" s="62">
        <v>95.24249999999999</v>
      </c>
    </row>
    <row r="2569" spans="1:14">
      <c r="A2569" s="62">
        <v>2015</v>
      </c>
      <c r="B2569" s="62">
        <v>5</v>
      </c>
      <c r="C2569" s="62" t="s">
        <v>8</v>
      </c>
      <c r="D2569" s="62" t="s">
        <v>3</v>
      </c>
      <c r="E2569" s="62">
        <v>226.15</v>
      </c>
      <c r="F2569" s="62">
        <v>70.0854375</v>
      </c>
      <c r="I2569" s="62">
        <v>2027</v>
      </c>
      <c r="J2569" s="62">
        <v>10</v>
      </c>
      <c r="K2569" s="62" t="s">
        <v>20</v>
      </c>
      <c r="L2569" s="62" t="s">
        <v>1</v>
      </c>
      <c r="M2569" s="62">
        <v>109.945</v>
      </c>
      <c r="N2569" s="62">
        <v>93.45325</v>
      </c>
    </row>
    <row r="2570" spans="1:14">
      <c r="A2570" s="62">
        <v>2015</v>
      </c>
      <c r="B2570" s="62">
        <v>6</v>
      </c>
      <c r="C2570" s="62" t="s">
        <v>8</v>
      </c>
      <c r="D2570" s="62" t="s">
        <v>3</v>
      </c>
      <c r="E2570" s="62">
        <v>285.58</v>
      </c>
      <c r="F2570" s="62">
        <v>82.99575</v>
      </c>
      <c r="I2570" s="62">
        <v>2027</v>
      </c>
      <c r="J2570" s="62">
        <v>11</v>
      </c>
      <c r="K2570" s="62" t="s">
        <v>20</v>
      </c>
      <c r="L2570" s="62" t="s">
        <v>1</v>
      </c>
      <c r="M2570" s="62">
        <v>20.105</v>
      </c>
      <c r="N2570" s="62">
        <v>17.08925</v>
      </c>
    </row>
    <row r="2571" spans="1:14">
      <c r="A2571" s="62">
        <v>2015</v>
      </c>
      <c r="B2571" s="62">
        <v>7</v>
      </c>
      <c r="C2571" s="62" t="s">
        <v>8</v>
      </c>
      <c r="D2571" s="62" t="s">
        <v>3</v>
      </c>
      <c r="E2571" s="62">
        <v>381.544</v>
      </c>
      <c r="F2571" s="62">
        <v>94.92274999999999</v>
      </c>
      <c r="I2571" s="62">
        <v>2014</v>
      </c>
      <c r="J2571" s="62">
        <v>1</v>
      </c>
      <c r="K2571" s="62" t="s">
        <v>20</v>
      </c>
      <c r="L2571" s="62" t="s">
        <v>2</v>
      </c>
      <c r="M2571" s="62">
        <v>136.43</v>
      </c>
      <c r="N2571" s="62">
        <v>115.9655</v>
      </c>
    </row>
    <row r="2572" spans="1:14">
      <c r="A2572" s="62">
        <v>2015</v>
      </c>
      <c r="B2572" s="62">
        <v>8</v>
      </c>
      <c r="C2572" s="62" t="s">
        <v>8</v>
      </c>
      <c r="D2572" s="62" t="s">
        <v>3</v>
      </c>
      <c r="E2572" s="62">
        <v>300.58</v>
      </c>
      <c r="F2572" s="62">
        <v>78.945375</v>
      </c>
      <c r="I2572" s="62">
        <v>2014</v>
      </c>
      <c r="J2572" s="62">
        <v>2</v>
      </c>
      <c r="K2572" s="62" t="s">
        <v>20</v>
      </c>
      <c r="L2572" s="62" t="s">
        <v>2</v>
      </c>
      <c r="M2572" s="62">
        <v>216.885</v>
      </c>
      <c r="N2572" s="62">
        <v>184.35225</v>
      </c>
    </row>
    <row r="2573" spans="1:14">
      <c r="A2573" s="62">
        <v>2015</v>
      </c>
      <c r="B2573" s="62">
        <v>9</v>
      </c>
      <c r="C2573" s="62" t="s">
        <v>8</v>
      </c>
      <c r="D2573" s="62" t="s">
        <v>3</v>
      </c>
      <c r="E2573" s="62">
        <v>305</v>
      </c>
      <c r="F2573" s="62">
        <v>79.75624999999999</v>
      </c>
      <c r="I2573" s="62">
        <v>2014</v>
      </c>
      <c r="J2573" s="62">
        <v>3</v>
      </c>
      <c r="K2573" s="62" t="s">
        <v>20</v>
      </c>
      <c r="L2573" s="62" t="s">
        <v>2</v>
      </c>
      <c r="M2573" s="62">
        <v>257.075</v>
      </c>
      <c r="N2573" s="62">
        <v>218.51375</v>
      </c>
    </row>
    <row r="2574" spans="1:14">
      <c r="A2574" s="62">
        <v>2015</v>
      </c>
      <c r="B2574" s="62">
        <v>10</v>
      </c>
      <c r="C2574" s="62" t="s">
        <v>8</v>
      </c>
      <c r="D2574" s="62" t="s">
        <v>3</v>
      </c>
      <c r="E2574" s="62">
        <v>326.47</v>
      </c>
      <c r="F2574" s="62">
        <v>86.93825</v>
      </c>
      <c r="I2574" s="62">
        <v>2014</v>
      </c>
      <c r="J2574" s="62">
        <v>4</v>
      </c>
      <c r="K2574" s="62" t="s">
        <v>20</v>
      </c>
      <c r="L2574" s="62" t="s">
        <v>2</v>
      </c>
      <c r="M2574" s="62">
        <v>127.246</v>
      </c>
      <c r="N2574" s="62">
        <v>108.1591</v>
      </c>
    </row>
    <row r="2575" spans="1:14">
      <c r="A2575" s="62">
        <v>2015</v>
      </c>
      <c r="B2575" s="62">
        <v>11</v>
      </c>
      <c r="C2575" s="62" t="s">
        <v>8</v>
      </c>
      <c r="D2575" s="62" t="s">
        <v>3</v>
      </c>
      <c r="E2575" s="62">
        <v>369.41</v>
      </c>
      <c r="F2575" s="62">
        <v>108.08775</v>
      </c>
      <c r="I2575" s="62">
        <v>2014</v>
      </c>
      <c r="J2575" s="62">
        <v>5</v>
      </c>
      <c r="K2575" s="62" t="s">
        <v>20</v>
      </c>
      <c r="L2575" s="62" t="s">
        <v>2</v>
      </c>
      <c r="M2575" s="62">
        <v>92.78200000000001</v>
      </c>
      <c r="N2575" s="62">
        <v>78.8647</v>
      </c>
    </row>
    <row r="2576" spans="1:14">
      <c r="A2576" s="62">
        <v>2015</v>
      </c>
      <c r="B2576" s="62">
        <v>12</v>
      </c>
      <c r="C2576" s="62" t="s">
        <v>8</v>
      </c>
      <c r="D2576" s="62" t="s">
        <v>3</v>
      </c>
      <c r="E2576" s="62">
        <v>523.4400000000001</v>
      </c>
      <c r="F2576" s="62">
        <v>179.01025</v>
      </c>
      <c r="I2576" s="62">
        <v>2014</v>
      </c>
      <c r="J2576" s="62">
        <v>6</v>
      </c>
      <c r="K2576" s="62" t="s">
        <v>20</v>
      </c>
      <c r="L2576" s="62" t="s">
        <v>2</v>
      </c>
      <c r="M2576" s="62">
        <v>113.98</v>
      </c>
      <c r="N2576" s="62">
        <v>96.883</v>
      </c>
    </row>
    <row r="2577" spans="1:14">
      <c r="A2577" s="62">
        <v>2016</v>
      </c>
      <c r="B2577" s="62">
        <v>1</v>
      </c>
      <c r="C2577" s="62" t="s">
        <v>8</v>
      </c>
      <c r="D2577" s="62" t="s">
        <v>3</v>
      </c>
      <c r="E2577" s="62">
        <v>315.981</v>
      </c>
      <c r="F2577" s="62">
        <v>99.4162</v>
      </c>
      <c r="I2577" s="62">
        <v>2014</v>
      </c>
      <c r="J2577" s="62">
        <v>7</v>
      </c>
      <c r="K2577" s="62" t="s">
        <v>20</v>
      </c>
      <c r="L2577" s="62" t="s">
        <v>2</v>
      </c>
      <c r="M2577" s="62">
        <v>59.33</v>
      </c>
      <c r="N2577" s="62">
        <v>50.4305</v>
      </c>
    </row>
    <row r="2578" spans="1:14">
      <c r="A2578" s="62">
        <v>2016</v>
      </c>
      <c r="B2578" s="62">
        <v>2</v>
      </c>
      <c r="C2578" s="62" t="s">
        <v>8</v>
      </c>
      <c r="D2578" s="62" t="s">
        <v>3</v>
      </c>
      <c r="E2578" s="62">
        <v>254</v>
      </c>
      <c r="F2578" s="62">
        <v>70.40000000000001</v>
      </c>
      <c r="I2578" s="62">
        <v>2014</v>
      </c>
      <c r="J2578" s="62">
        <v>8</v>
      </c>
      <c r="K2578" s="62" t="s">
        <v>20</v>
      </c>
      <c r="L2578" s="62" t="s">
        <v>2</v>
      </c>
      <c r="M2578" s="62">
        <v>42.7</v>
      </c>
      <c r="N2578" s="62">
        <v>36.295</v>
      </c>
    </row>
    <row r="2579" spans="1:14">
      <c r="A2579" s="62">
        <v>2016</v>
      </c>
      <c r="B2579" s="62">
        <v>3</v>
      </c>
      <c r="C2579" s="62" t="s">
        <v>8</v>
      </c>
      <c r="D2579" s="62" t="s">
        <v>3</v>
      </c>
      <c r="E2579" s="62">
        <v>285.59</v>
      </c>
      <c r="F2579" s="62">
        <v>79.3775</v>
      </c>
      <c r="I2579" s="62">
        <v>2014</v>
      </c>
      <c r="J2579" s="62">
        <v>9</v>
      </c>
      <c r="K2579" s="62" t="s">
        <v>20</v>
      </c>
      <c r="L2579" s="62" t="s">
        <v>2</v>
      </c>
      <c r="M2579" s="62">
        <v>105.715</v>
      </c>
      <c r="N2579" s="62">
        <v>89.85775</v>
      </c>
    </row>
    <row r="2580" spans="1:14">
      <c r="A2580" s="62">
        <v>2016</v>
      </c>
      <c r="B2580" s="62">
        <v>4</v>
      </c>
      <c r="C2580" s="62" t="s">
        <v>8</v>
      </c>
      <c r="D2580" s="62" t="s">
        <v>3</v>
      </c>
      <c r="E2580" s="62">
        <v>377.05</v>
      </c>
      <c r="F2580" s="62">
        <v>136.0825</v>
      </c>
      <c r="I2580" s="62">
        <v>2014</v>
      </c>
      <c r="J2580" s="62">
        <v>10</v>
      </c>
      <c r="K2580" s="62" t="s">
        <v>20</v>
      </c>
      <c r="L2580" s="62" t="s">
        <v>2</v>
      </c>
      <c r="M2580" s="62">
        <v>306.51</v>
      </c>
      <c r="N2580" s="62">
        <v>260.5335</v>
      </c>
    </row>
    <row r="2581" spans="1:14">
      <c r="A2581" s="62">
        <v>2016</v>
      </c>
      <c r="B2581" s="62">
        <v>5</v>
      </c>
      <c r="C2581" s="62" t="s">
        <v>8</v>
      </c>
      <c r="D2581" s="62" t="s">
        <v>3</v>
      </c>
      <c r="E2581" s="62">
        <v>154.82</v>
      </c>
      <c r="F2581" s="62">
        <v>74.721</v>
      </c>
      <c r="I2581" s="62">
        <v>2014</v>
      </c>
      <c r="J2581" s="62">
        <v>11</v>
      </c>
      <c r="K2581" s="62" t="s">
        <v>20</v>
      </c>
      <c r="L2581" s="62" t="s">
        <v>2</v>
      </c>
      <c r="M2581" s="62">
        <v>232.565</v>
      </c>
      <c r="N2581" s="62">
        <v>197.68025</v>
      </c>
    </row>
    <row r="2582" spans="1:14">
      <c r="A2582" s="62">
        <v>2016</v>
      </c>
      <c r="B2582" s="62">
        <v>6</v>
      </c>
      <c r="C2582" s="62" t="s">
        <v>8</v>
      </c>
      <c r="D2582" s="62" t="s">
        <v>3</v>
      </c>
      <c r="E2582" s="62">
        <v>74.15000000000001</v>
      </c>
      <c r="F2582" s="62">
        <v>27.2925</v>
      </c>
      <c r="I2582" s="62">
        <v>2014</v>
      </c>
      <c r="J2582" s="62">
        <v>12</v>
      </c>
      <c r="K2582" s="62" t="s">
        <v>20</v>
      </c>
      <c r="L2582" s="62" t="s">
        <v>2</v>
      </c>
      <c r="M2582" s="62">
        <v>79.078</v>
      </c>
      <c r="N2582" s="62">
        <v>67.2163</v>
      </c>
    </row>
    <row r="2583" spans="1:14">
      <c r="A2583" s="62">
        <v>2016</v>
      </c>
      <c r="B2583" s="62">
        <v>7</v>
      </c>
      <c r="C2583" s="62" t="s">
        <v>8</v>
      </c>
      <c r="D2583" s="62" t="s">
        <v>3</v>
      </c>
      <c r="E2583" s="62">
        <v>72.3</v>
      </c>
      <c r="F2583" s="62">
        <v>29.25</v>
      </c>
      <c r="I2583" s="62">
        <v>2015</v>
      </c>
      <c r="J2583" s="62">
        <v>1</v>
      </c>
      <c r="K2583" s="62" t="s">
        <v>20</v>
      </c>
      <c r="L2583" s="62" t="s">
        <v>2</v>
      </c>
      <c r="M2583" s="62">
        <v>117.058</v>
      </c>
      <c r="N2583" s="62">
        <v>99.49930000000001</v>
      </c>
    </row>
    <row r="2584" spans="1:14">
      <c r="A2584" s="62">
        <v>2016</v>
      </c>
      <c r="B2584" s="62">
        <v>8</v>
      </c>
      <c r="C2584" s="62" t="s">
        <v>8</v>
      </c>
      <c r="D2584" s="62" t="s">
        <v>3</v>
      </c>
      <c r="E2584" s="62">
        <v>11.5</v>
      </c>
      <c r="F2584" s="62">
        <v>7.475000000000001</v>
      </c>
      <c r="I2584" s="62">
        <v>2015</v>
      </c>
      <c r="J2584" s="62">
        <v>2</v>
      </c>
      <c r="K2584" s="62" t="s">
        <v>20</v>
      </c>
      <c r="L2584" s="62" t="s">
        <v>2</v>
      </c>
      <c r="M2584" s="62">
        <v>169.622</v>
      </c>
      <c r="N2584" s="62">
        <v>144.1787</v>
      </c>
    </row>
    <row r="2585" spans="1:14">
      <c r="A2585" s="62">
        <v>2016</v>
      </c>
      <c r="B2585" s="62">
        <v>9</v>
      </c>
      <c r="C2585" s="62" t="s">
        <v>8</v>
      </c>
      <c r="D2585" s="62" t="s">
        <v>3</v>
      </c>
      <c r="E2585" s="62">
        <v>115.37</v>
      </c>
      <c r="F2585" s="62">
        <v>37.42325</v>
      </c>
      <c r="I2585" s="62">
        <v>2015</v>
      </c>
      <c r="J2585" s="62">
        <v>3</v>
      </c>
      <c r="K2585" s="62" t="s">
        <v>20</v>
      </c>
      <c r="L2585" s="62" t="s">
        <v>2</v>
      </c>
      <c r="M2585" s="62">
        <v>261.399</v>
      </c>
      <c r="N2585" s="62">
        <v>222.18915</v>
      </c>
    </row>
    <row r="2586" spans="1:14">
      <c r="A2586" s="62">
        <v>2016</v>
      </c>
      <c r="B2586" s="62">
        <v>10</v>
      </c>
      <c r="C2586" s="62" t="s">
        <v>8</v>
      </c>
      <c r="D2586" s="62" t="s">
        <v>3</v>
      </c>
      <c r="E2586" s="62">
        <v>293.39</v>
      </c>
      <c r="F2586" s="62">
        <v>62.88675</v>
      </c>
      <c r="I2586" s="62">
        <v>2015</v>
      </c>
      <c r="J2586" s="62">
        <v>4</v>
      </c>
      <c r="K2586" s="62" t="s">
        <v>20</v>
      </c>
      <c r="L2586" s="62" t="s">
        <v>2</v>
      </c>
      <c r="M2586" s="62">
        <v>201.816</v>
      </c>
      <c r="N2586" s="62">
        <v>171.5436</v>
      </c>
    </row>
    <row r="2587" spans="1:14">
      <c r="A2587" s="62">
        <v>2016</v>
      </c>
      <c r="B2587" s="62">
        <v>11</v>
      </c>
      <c r="C2587" s="62" t="s">
        <v>8</v>
      </c>
      <c r="D2587" s="62" t="s">
        <v>3</v>
      </c>
      <c r="E2587" s="62">
        <v>271.223</v>
      </c>
      <c r="F2587" s="62">
        <v>75.082275</v>
      </c>
      <c r="I2587" s="62">
        <v>2015</v>
      </c>
      <c r="J2587" s="62">
        <v>5</v>
      </c>
      <c r="K2587" s="62" t="s">
        <v>20</v>
      </c>
      <c r="L2587" s="62" t="s">
        <v>2</v>
      </c>
      <c r="M2587" s="62">
        <v>320.228</v>
      </c>
      <c r="N2587" s="62">
        <v>272.1938</v>
      </c>
    </row>
    <row r="2588" spans="1:14">
      <c r="A2588" s="62">
        <v>2016</v>
      </c>
      <c r="B2588" s="62">
        <v>12</v>
      </c>
      <c r="C2588" s="62" t="s">
        <v>8</v>
      </c>
      <c r="D2588" s="62" t="s">
        <v>3</v>
      </c>
      <c r="E2588" s="62">
        <v>114.7274</v>
      </c>
      <c r="F2588" s="62">
        <v>19.315075</v>
      </c>
      <c r="I2588" s="62">
        <v>2015</v>
      </c>
      <c r="J2588" s="62">
        <v>6</v>
      </c>
      <c r="K2588" s="62" t="s">
        <v>20</v>
      </c>
      <c r="L2588" s="62" t="s">
        <v>2</v>
      </c>
      <c r="M2588" s="62">
        <v>291.601</v>
      </c>
      <c r="N2588" s="62">
        <v>247.86085</v>
      </c>
    </row>
    <row r="2589" spans="1:14">
      <c r="A2589" s="62">
        <v>2017</v>
      </c>
      <c r="B2589" s="62">
        <v>1</v>
      </c>
      <c r="C2589" s="62" t="s">
        <v>8</v>
      </c>
      <c r="D2589" s="62" t="s">
        <v>3</v>
      </c>
      <c r="E2589" s="62">
        <v>83.3792</v>
      </c>
      <c r="F2589" s="62">
        <v>12.9128</v>
      </c>
      <c r="I2589" s="62">
        <v>2015</v>
      </c>
      <c r="J2589" s="62">
        <v>7</v>
      </c>
      <c r="K2589" s="62" t="s">
        <v>20</v>
      </c>
      <c r="L2589" s="62" t="s">
        <v>2</v>
      </c>
      <c r="M2589" s="62">
        <v>145.75</v>
      </c>
      <c r="N2589" s="62">
        <v>123.8875</v>
      </c>
    </row>
    <row r="2590" spans="1:14">
      <c r="A2590" s="62">
        <v>2017</v>
      </c>
      <c r="B2590" s="62">
        <v>2</v>
      </c>
      <c r="C2590" s="62" t="s">
        <v>8</v>
      </c>
      <c r="D2590" s="62" t="s">
        <v>3</v>
      </c>
      <c r="E2590" s="62">
        <v>128.91</v>
      </c>
      <c r="F2590" s="62">
        <v>30.90775</v>
      </c>
      <c r="I2590" s="62">
        <v>2015</v>
      </c>
      <c r="J2590" s="62">
        <v>8</v>
      </c>
      <c r="K2590" s="62" t="s">
        <v>20</v>
      </c>
      <c r="L2590" s="62" t="s">
        <v>2</v>
      </c>
      <c r="M2590" s="62">
        <v>60.04</v>
      </c>
      <c r="N2590" s="62">
        <v>51.034</v>
      </c>
    </row>
    <row r="2591" spans="1:14">
      <c r="A2591" s="62">
        <v>2017</v>
      </c>
      <c r="B2591" s="62">
        <v>3</v>
      </c>
      <c r="C2591" s="62" t="s">
        <v>8</v>
      </c>
      <c r="D2591" s="62" t="s">
        <v>3</v>
      </c>
      <c r="E2591" s="62">
        <v>114.86</v>
      </c>
      <c r="F2591" s="62">
        <v>30.90875</v>
      </c>
      <c r="I2591" s="62">
        <v>2015</v>
      </c>
      <c r="J2591" s="62">
        <v>9</v>
      </c>
      <c r="K2591" s="62" t="s">
        <v>20</v>
      </c>
      <c r="L2591" s="62" t="s">
        <v>2</v>
      </c>
      <c r="M2591" s="62">
        <v>104.859</v>
      </c>
      <c r="N2591" s="62">
        <v>89.13015</v>
      </c>
    </row>
    <row r="2592" spans="1:14">
      <c r="A2592" s="62">
        <v>2017</v>
      </c>
      <c r="B2592" s="62">
        <v>4</v>
      </c>
      <c r="C2592" s="62" t="s">
        <v>8</v>
      </c>
      <c r="D2592" s="62" t="s">
        <v>3</v>
      </c>
      <c r="E2592" s="62">
        <v>131.97</v>
      </c>
      <c r="F2592" s="62">
        <v>62.71149999999999</v>
      </c>
      <c r="I2592" s="62">
        <v>2015</v>
      </c>
      <c r="J2592" s="62">
        <v>10</v>
      </c>
      <c r="K2592" s="62" t="s">
        <v>20</v>
      </c>
      <c r="L2592" s="62" t="s">
        <v>2</v>
      </c>
      <c r="M2592" s="62">
        <v>151.4025</v>
      </c>
      <c r="N2592" s="62">
        <v>128.692125</v>
      </c>
    </row>
    <row r="2593" spans="1:14">
      <c r="A2593" s="62">
        <v>2017</v>
      </c>
      <c r="B2593" s="62">
        <v>5</v>
      </c>
      <c r="C2593" s="62" t="s">
        <v>8</v>
      </c>
      <c r="D2593" s="62" t="s">
        <v>3</v>
      </c>
      <c r="E2593" s="62">
        <v>377.458</v>
      </c>
      <c r="F2593" s="62">
        <v>134.4395</v>
      </c>
      <c r="I2593" s="62">
        <v>2015</v>
      </c>
      <c r="J2593" s="62">
        <v>11</v>
      </c>
      <c r="K2593" s="62" t="s">
        <v>20</v>
      </c>
      <c r="L2593" s="62" t="s">
        <v>2</v>
      </c>
      <c r="M2593" s="62">
        <v>105.5225</v>
      </c>
      <c r="N2593" s="62">
        <v>89.694125</v>
      </c>
    </row>
    <row r="2594" spans="1:14">
      <c r="A2594" s="62">
        <v>2017</v>
      </c>
      <c r="B2594" s="62">
        <v>6</v>
      </c>
      <c r="C2594" s="62" t="s">
        <v>8</v>
      </c>
      <c r="D2594" s="62" t="s">
        <v>3</v>
      </c>
      <c r="E2594" s="62">
        <v>53.27</v>
      </c>
      <c r="F2594" s="62">
        <v>11.847</v>
      </c>
      <c r="I2594" s="62">
        <v>2015</v>
      </c>
      <c r="J2594" s="62">
        <v>12</v>
      </c>
      <c r="K2594" s="62" t="s">
        <v>20</v>
      </c>
      <c r="L2594" s="62" t="s">
        <v>2</v>
      </c>
      <c r="M2594" s="62">
        <v>83.74299999999999</v>
      </c>
      <c r="N2594" s="62">
        <v>71.18155</v>
      </c>
    </row>
    <row r="2595" spans="1:14">
      <c r="A2595" s="62">
        <v>2017</v>
      </c>
      <c r="B2595" s="62">
        <v>7</v>
      </c>
      <c r="C2595" s="62" t="s">
        <v>8</v>
      </c>
      <c r="D2595" s="62" t="s">
        <v>3</v>
      </c>
      <c r="E2595" s="62">
        <v>24.8504</v>
      </c>
      <c r="F2595" s="62">
        <v>2.4539</v>
      </c>
      <c r="I2595" s="62">
        <v>2016</v>
      </c>
      <c r="J2595" s="62">
        <v>1</v>
      </c>
      <c r="K2595" s="62" t="s">
        <v>20</v>
      </c>
      <c r="L2595" s="62" t="s">
        <v>2</v>
      </c>
      <c r="M2595" s="62">
        <v>112.8105</v>
      </c>
      <c r="N2595" s="62">
        <v>95.888925</v>
      </c>
    </row>
    <row r="2596" spans="1:14">
      <c r="A2596" s="62">
        <v>2017</v>
      </c>
      <c r="B2596" s="62">
        <v>8</v>
      </c>
      <c r="C2596" s="62" t="s">
        <v>8</v>
      </c>
      <c r="D2596" s="62" t="s">
        <v>3</v>
      </c>
      <c r="E2596" s="62">
        <v>9.469999999999999</v>
      </c>
      <c r="F2596" s="62">
        <v>1.036</v>
      </c>
      <c r="I2596" s="62">
        <v>2016</v>
      </c>
      <c r="J2596" s="62">
        <v>2</v>
      </c>
      <c r="K2596" s="62" t="s">
        <v>20</v>
      </c>
      <c r="L2596" s="62" t="s">
        <v>2</v>
      </c>
      <c r="M2596" s="62">
        <v>254.24</v>
      </c>
      <c r="N2596" s="62">
        <v>216.104</v>
      </c>
    </row>
    <row r="2597" spans="1:14">
      <c r="A2597" s="62">
        <v>2017</v>
      </c>
      <c r="B2597" s="62">
        <v>9</v>
      </c>
      <c r="C2597" s="62" t="s">
        <v>8</v>
      </c>
      <c r="D2597" s="62" t="s">
        <v>3</v>
      </c>
      <c r="E2597" s="62">
        <v>86.09999999999999</v>
      </c>
      <c r="F2597" s="62">
        <v>45.73425</v>
      </c>
      <c r="I2597" s="62">
        <v>2016</v>
      </c>
      <c r="J2597" s="62">
        <v>3</v>
      </c>
      <c r="K2597" s="62" t="s">
        <v>20</v>
      </c>
      <c r="L2597" s="62" t="s">
        <v>2</v>
      </c>
      <c r="M2597" s="62">
        <v>154.615</v>
      </c>
      <c r="N2597" s="62">
        <v>131.42275</v>
      </c>
    </row>
    <row r="2598" spans="1:14">
      <c r="A2598" s="62">
        <v>2017</v>
      </c>
      <c r="B2598" s="62">
        <v>10</v>
      </c>
      <c r="C2598" s="62" t="s">
        <v>8</v>
      </c>
      <c r="D2598" s="62" t="s">
        <v>3</v>
      </c>
      <c r="E2598" s="62">
        <v>171.1266</v>
      </c>
      <c r="F2598" s="62">
        <v>33.3781</v>
      </c>
      <c r="I2598" s="62">
        <v>2016</v>
      </c>
      <c r="J2598" s="62">
        <v>4</v>
      </c>
      <c r="K2598" s="62" t="s">
        <v>20</v>
      </c>
      <c r="L2598" s="62" t="s">
        <v>2</v>
      </c>
      <c r="M2598" s="62">
        <v>200.516</v>
      </c>
      <c r="N2598" s="62">
        <v>170.4386</v>
      </c>
    </row>
    <row r="2599" spans="1:14">
      <c r="A2599" s="62">
        <v>2017</v>
      </c>
      <c r="B2599" s="62">
        <v>11</v>
      </c>
      <c r="C2599" s="62" t="s">
        <v>8</v>
      </c>
      <c r="D2599" s="62" t="s">
        <v>3</v>
      </c>
      <c r="E2599" s="62">
        <v>68.25999999999999</v>
      </c>
      <c r="F2599" s="62">
        <v>23.884</v>
      </c>
      <c r="I2599" s="62">
        <v>2016</v>
      </c>
      <c r="J2599" s="62">
        <v>5</v>
      </c>
      <c r="K2599" s="62" t="s">
        <v>20</v>
      </c>
      <c r="L2599" s="62" t="s">
        <v>2</v>
      </c>
      <c r="M2599" s="62">
        <v>192.634</v>
      </c>
      <c r="N2599" s="62">
        <v>163.7389</v>
      </c>
    </row>
    <row r="2600" spans="1:14">
      <c r="A2600" s="62">
        <v>2017</v>
      </c>
      <c r="B2600" s="62">
        <v>12</v>
      </c>
      <c r="C2600" s="62" t="s">
        <v>8</v>
      </c>
      <c r="D2600" s="62" t="s">
        <v>3</v>
      </c>
      <c r="E2600" s="62">
        <v>23.5</v>
      </c>
      <c r="F2600" s="62">
        <v>15</v>
      </c>
      <c r="I2600" s="62">
        <v>2016</v>
      </c>
      <c r="J2600" s="62">
        <v>6</v>
      </c>
      <c r="K2600" s="62" t="s">
        <v>20</v>
      </c>
      <c r="L2600" s="62" t="s">
        <v>2</v>
      </c>
      <c r="M2600" s="62">
        <v>122.36</v>
      </c>
      <c r="N2600" s="62">
        <v>104.006</v>
      </c>
    </row>
    <row r="2601" spans="1:14">
      <c r="A2601" s="62">
        <v>2018</v>
      </c>
      <c r="B2601" s="62">
        <v>1</v>
      </c>
      <c r="C2601" s="62" t="s">
        <v>8</v>
      </c>
      <c r="D2601" s="62" t="s">
        <v>3</v>
      </c>
      <c r="E2601" s="62">
        <v>95.63</v>
      </c>
      <c r="F2601" s="62">
        <v>22.9775</v>
      </c>
      <c r="I2601" s="62">
        <v>2016</v>
      </c>
      <c r="J2601" s="62">
        <v>7</v>
      </c>
      <c r="K2601" s="62" t="s">
        <v>20</v>
      </c>
      <c r="L2601" s="62" t="s">
        <v>2</v>
      </c>
      <c r="M2601" s="62">
        <v>113.86</v>
      </c>
      <c r="N2601" s="62">
        <v>96.78100000000001</v>
      </c>
    </row>
    <row r="2602" spans="1:14">
      <c r="A2602" s="62">
        <v>2018</v>
      </c>
      <c r="B2602" s="62">
        <v>2</v>
      </c>
      <c r="C2602" s="62" t="s">
        <v>8</v>
      </c>
      <c r="D2602" s="62" t="s">
        <v>3</v>
      </c>
      <c r="E2602" s="62">
        <v>97.55800000000001</v>
      </c>
      <c r="F2602" s="62">
        <v>0.8700000000000001</v>
      </c>
      <c r="I2602" s="62">
        <v>2016</v>
      </c>
      <c r="J2602" s="62">
        <v>8</v>
      </c>
      <c r="K2602" s="62" t="s">
        <v>20</v>
      </c>
      <c r="L2602" s="62" t="s">
        <v>2</v>
      </c>
      <c r="M2602" s="62">
        <v>80.27500000000001</v>
      </c>
      <c r="N2602" s="62">
        <v>68.23375</v>
      </c>
    </row>
    <row r="2603" spans="1:14">
      <c r="A2603" s="62">
        <v>2018</v>
      </c>
      <c r="B2603" s="62">
        <v>3</v>
      </c>
      <c r="C2603" s="62" t="s">
        <v>8</v>
      </c>
      <c r="D2603" s="62" t="s">
        <v>3</v>
      </c>
      <c r="E2603" s="62">
        <v>55.124</v>
      </c>
      <c r="F2603" s="62">
        <v>8.84</v>
      </c>
      <c r="I2603" s="62">
        <v>2016</v>
      </c>
      <c r="J2603" s="62">
        <v>9</v>
      </c>
      <c r="K2603" s="62" t="s">
        <v>20</v>
      </c>
      <c r="L2603" s="62" t="s">
        <v>2</v>
      </c>
      <c r="M2603" s="62">
        <v>138.5704</v>
      </c>
      <c r="N2603" s="62">
        <v>117.78484</v>
      </c>
    </row>
    <row r="2604" spans="1:14">
      <c r="A2604" s="62">
        <v>2018</v>
      </c>
      <c r="B2604" s="62">
        <v>4</v>
      </c>
      <c r="C2604" s="62" t="s">
        <v>8</v>
      </c>
      <c r="D2604" s="62" t="s">
        <v>3</v>
      </c>
      <c r="E2604" s="62">
        <v>162.28</v>
      </c>
      <c r="F2604" s="62">
        <v>64.15174999999999</v>
      </c>
      <c r="I2604" s="62">
        <v>2016</v>
      </c>
      <c r="J2604" s="62">
        <v>10</v>
      </c>
      <c r="K2604" s="62" t="s">
        <v>20</v>
      </c>
      <c r="L2604" s="62" t="s">
        <v>2</v>
      </c>
      <c r="M2604" s="62">
        <v>253.1045</v>
      </c>
      <c r="N2604" s="62">
        <v>215.138825</v>
      </c>
    </row>
    <row r="2605" spans="1:14">
      <c r="A2605" s="62">
        <v>2018</v>
      </c>
      <c r="B2605" s="62">
        <v>5</v>
      </c>
      <c r="C2605" s="62" t="s">
        <v>8</v>
      </c>
      <c r="D2605" s="62" t="s">
        <v>3</v>
      </c>
      <c r="E2605" s="62">
        <v>23.67</v>
      </c>
      <c r="F2605" s="62">
        <v>14.8405</v>
      </c>
      <c r="I2605" s="62">
        <v>2016</v>
      </c>
      <c r="J2605" s="62">
        <v>11</v>
      </c>
      <c r="K2605" s="62" t="s">
        <v>20</v>
      </c>
      <c r="L2605" s="62" t="s">
        <v>2</v>
      </c>
      <c r="M2605" s="62">
        <v>96.72199999999999</v>
      </c>
      <c r="N2605" s="62">
        <v>82.2137</v>
      </c>
    </row>
    <row r="2606" spans="1:14">
      <c r="A2606" s="62">
        <v>2018</v>
      </c>
      <c r="B2606" s="62">
        <v>6</v>
      </c>
      <c r="C2606" s="62" t="s">
        <v>8</v>
      </c>
      <c r="D2606" s="62" t="s">
        <v>3</v>
      </c>
      <c r="E2606" s="62">
        <v>9.09</v>
      </c>
      <c r="F2606" s="62">
        <v>4.9605</v>
      </c>
      <c r="I2606" s="62">
        <v>2016</v>
      </c>
      <c r="J2606" s="62">
        <v>12</v>
      </c>
      <c r="K2606" s="62" t="s">
        <v>20</v>
      </c>
      <c r="L2606" s="62" t="s">
        <v>2</v>
      </c>
      <c r="M2606" s="62">
        <v>92.34999999999999</v>
      </c>
      <c r="N2606" s="62">
        <v>78.4975</v>
      </c>
    </row>
    <row r="2607" spans="1:14">
      <c r="A2607" s="62">
        <v>2018</v>
      </c>
      <c r="B2607" s="62">
        <v>7</v>
      </c>
      <c r="C2607" s="62" t="s">
        <v>8</v>
      </c>
      <c r="D2607" s="62" t="s">
        <v>3</v>
      </c>
      <c r="E2607" s="62">
        <v>102.768</v>
      </c>
      <c r="F2607" s="62">
        <v>38.39</v>
      </c>
      <c r="I2607" s="62">
        <v>2017</v>
      </c>
      <c r="J2607" s="62">
        <v>1</v>
      </c>
      <c r="K2607" s="62" t="s">
        <v>20</v>
      </c>
      <c r="L2607" s="62" t="s">
        <v>2</v>
      </c>
      <c r="M2607" s="62">
        <v>225.32</v>
      </c>
      <c r="N2607" s="62">
        <v>191.522</v>
      </c>
    </row>
    <row r="2608" spans="1:14">
      <c r="A2608" s="62">
        <v>2018</v>
      </c>
      <c r="B2608" s="62">
        <v>8</v>
      </c>
      <c r="C2608" s="62" t="s">
        <v>8</v>
      </c>
      <c r="D2608" s="62" t="s">
        <v>3</v>
      </c>
      <c r="E2608" s="62">
        <v>90.788</v>
      </c>
      <c r="F2608" s="62">
        <v>61.2927</v>
      </c>
      <c r="I2608" s="62">
        <v>2017</v>
      </c>
      <c r="J2608" s="62">
        <v>2</v>
      </c>
      <c r="K2608" s="62" t="s">
        <v>20</v>
      </c>
      <c r="L2608" s="62" t="s">
        <v>2</v>
      </c>
      <c r="M2608" s="62">
        <v>261.73</v>
      </c>
      <c r="N2608" s="62">
        <v>222.4705</v>
      </c>
    </row>
    <row r="2609" spans="1:14">
      <c r="A2609" s="62">
        <v>2018</v>
      </c>
      <c r="B2609" s="62">
        <v>9</v>
      </c>
      <c r="C2609" s="62" t="s">
        <v>8</v>
      </c>
      <c r="D2609" s="62" t="s">
        <v>3</v>
      </c>
      <c r="E2609" s="62">
        <v>66.405</v>
      </c>
      <c r="F2609" s="62">
        <v>30.01525</v>
      </c>
      <c r="I2609" s="62">
        <v>2017</v>
      </c>
      <c r="J2609" s="62">
        <v>3</v>
      </c>
      <c r="K2609" s="62" t="s">
        <v>20</v>
      </c>
      <c r="L2609" s="62" t="s">
        <v>2</v>
      </c>
      <c r="M2609" s="62">
        <v>202.645</v>
      </c>
      <c r="N2609" s="62">
        <v>172.24825</v>
      </c>
    </row>
    <row r="2610" spans="1:14">
      <c r="A2610" s="62">
        <v>2018</v>
      </c>
      <c r="B2610" s="62">
        <v>10</v>
      </c>
      <c r="C2610" s="62" t="s">
        <v>8</v>
      </c>
      <c r="D2610" s="62" t="s">
        <v>3</v>
      </c>
      <c r="E2610" s="62">
        <v>285.6435</v>
      </c>
      <c r="F2610" s="62">
        <v>44.761125</v>
      </c>
      <c r="I2610" s="62">
        <v>2017</v>
      </c>
      <c r="J2610" s="62">
        <v>4</v>
      </c>
      <c r="K2610" s="62" t="s">
        <v>20</v>
      </c>
      <c r="L2610" s="62" t="s">
        <v>2</v>
      </c>
      <c r="M2610" s="62">
        <v>147.517</v>
      </c>
      <c r="N2610" s="62">
        <v>125.38945</v>
      </c>
    </row>
    <row r="2611" spans="1:14">
      <c r="A2611" s="62">
        <v>2018</v>
      </c>
      <c r="B2611" s="62">
        <v>11</v>
      </c>
      <c r="C2611" s="62" t="s">
        <v>8</v>
      </c>
      <c r="D2611" s="62" t="s">
        <v>3</v>
      </c>
      <c r="E2611" s="62">
        <v>139.19</v>
      </c>
      <c r="F2611" s="62">
        <v>16.1025</v>
      </c>
      <c r="I2611" s="62">
        <v>2017</v>
      </c>
      <c r="J2611" s="62">
        <v>5</v>
      </c>
      <c r="K2611" s="62" t="s">
        <v>20</v>
      </c>
      <c r="L2611" s="62" t="s">
        <v>2</v>
      </c>
      <c r="M2611" s="62">
        <v>94.9885</v>
      </c>
      <c r="N2611" s="62">
        <v>80.740225</v>
      </c>
    </row>
    <row r="2612" spans="1:14">
      <c r="A2612" s="62">
        <v>2018</v>
      </c>
      <c r="B2612" s="62">
        <v>12</v>
      </c>
      <c r="C2612" s="62" t="s">
        <v>8</v>
      </c>
      <c r="D2612" s="62" t="s">
        <v>3</v>
      </c>
      <c r="E2612" s="62">
        <v>56.665</v>
      </c>
      <c r="F2612" s="62">
        <v>9.080249999999999</v>
      </c>
      <c r="I2612" s="62">
        <v>2017</v>
      </c>
      <c r="J2612" s="62">
        <v>6</v>
      </c>
      <c r="K2612" s="62" t="s">
        <v>20</v>
      </c>
      <c r="L2612" s="62" t="s">
        <v>2</v>
      </c>
      <c r="M2612" s="62">
        <v>74.301</v>
      </c>
      <c r="N2612" s="62">
        <v>63.15585</v>
      </c>
    </row>
    <row r="2613" spans="1:14">
      <c r="A2613" s="62">
        <v>2019</v>
      </c>
      <c r="B2613" s="62">
        <v>1</v>
      </c>
      <c r="C2613" s="62" t="s">
        <v>8</v>
      </c>
      <c r="D2613" s="62" t="s">
        <v>3</v>
      </c>
      <c r="E2613" s="62">
        <v>115.035</v>
      </c>
      <c r="F2613" s="62">
        <v>37.23125</v>
      </c>
      <c r="I2613" s="62">
        <v>2017</v>
      </c>
      <c r="J2613" s="62">
        <v>7</v>
      </c>
      <c r="K2613" s="62" t="s">
        <v>20</v>
      </c>
      <c r="L2613" s="62" t="s">
        <v>2</v>
      </c>
      <c r="M2613" s="62">
        <v>97.111</v>
      </c>
      <c r="N2613" s="62">
        <v>82.54435000000001</v>
      </c>
    </row>
    <row r="2614" spans="1:14">
      <c r="A2614" s="62">
        <v>2019</v>
      </c>
      <c r="B2614" s="62">
        <v>2</v>
      </c>
      <c r="C2614" s="62" t="s">
        <v>8</v>
      </c>
      <c r="D2614" s="62" t="s">
        <v>3</v>
      </c>
      <c r="E2614" s="62">
        <v>311.442</v>
      </c>
      <c r="F2614" s="62">
        <v>77.23587499999999</v>
      </c>
      <c r="I2614" s="62">
        <v>2017</v>
      </c>
      <c r="J2614" s="62">
        <v>8</v>
      </c>
      <c r="K2614" s="62" t="s">
        <v>20</v>
      </c>
      <c r="L2614" s="62" t="s">
        <v>2</v>
      </c>
      <c r="M2614" s="62">
        <v>89.75999999999999</v>
      </c>
      <c r="N2614" s="62">
        <v>76.29599999999999</v>
      </c>
    </row>
    <row r="2615" spans="1:14">
      <c r="A2615" s="62">
        <v>2019</v>
      </c>
      <c r="B2615" s="62">
        <v>3</v>
      </c>
      <c r="C2615" s="62" t="s">
        <v>8</v>
      </c>
      <c r="D2615" s="62" t="s">
        <v>3</v>
      </c>
      <c r="E2615" s="62">
        <v>297.203</v>
      </c>
      <c r="F2615" s="62">
        <v>61.2843</v>
      </c>
      <c r="I2615" s="62">
        <v>2017</v>
      </c>
      <c r="J2615" s="62">
        <v>9</v>
      </c>
      <c r="K2615" s="62" t="s">
        <v>20</v>
      </c>
      <c r="L2615" s="62" t="s">
        <v>2</v>
      </c>
      <c r="M2615" s="62">
        <v>15.94</v>
      </c>
      <c r="N2615" s="62">
        <v>13.549</v>
      </c>
    </row>
    <row r="2616" spans="1:14">
      <c r="A2616" s="62">
        <v>2019</v>
      </c>
      <c r="B2616" s="62">
        <v>4</v>
      </c>
      <c r="C2616" s="62" t="s">
        <v>8</v>
      </c>
      <c r="D2616" s="62" t="s">
        <v>3</v>
      </c>
      <c r="E2616" s="62">
        <v>981.0699999999999</v>
      </c>
      <c r="F2616" s="62">
        <v>217.3435</v>
      </c>
      <c r="I2616" s="62">
        <v>2017</v>
      </c>
      <c r="J2616" s="62">
        <v>10</v>
      </c>
      <c r="K2616" s="62" t="s">
        <v>20</v>
      </c>
      <c r="L2616" s="62" t="s">
        <v>2</v>
      </c>
      <c r="M2616" s="62">
        <v>94.916</v>
      </c>
      <c r="N2616" s="62">
        <v>80.67859999999999</v>
      </c>
    </row>
    <row r="2617" spans="1:14">
      <c r="A2617" s="62">
        <v>2019</v>
      </c>
      <c r="B2617" s="62">
        <v>5</v>
      </c>
      <c r="C2617" s="62" t="s">
        <v>8</v>
      </c>
      <c r="D2617" s="62" t="s">
        <v>3</v>
      </c>
      <c r="E2617" s="62">
        <v>384.185</v>
      </c>
      <c r="F2617" s="62">
        <v>102.6712</v>
      </c>
      <c r="I2617" s="62">
        <v>2017</v>
      </c>
      <c r="J2617" s="62">
        <v>11</v>
      </c>
      <c r="K2617" s="62" t="s">
        <v>20</v>
      </c>
      <c r="L2617" s="62" t="s">
        <v>2</v>
      </c>
      <c r="M2617" s="62">
        <v>102.15</v>
      </c>
      <c r="N2617" s="62">
        <v>86.8275</v>
      </c>
    </row>
    <row r="2618" spans="1:14">
      <c r="A2618" s="62">
        <v>2019</v>
      </c>
      <c r="B2618" s="62">
        <v>6</v>
      </c>
      <c r="C2618" s="62" t="s">
        <v>8</v>
      </c>
      <c r="D2618" s="62" t="s">
        <v>3</v>
      </c>
      <c r="E2618" s="62">
        <v>91.003</v>
      </c>
      <c r="F2618" s="62">
        <v>20.4156</v>
      </c>
      <c r="I2618" s="62">
        <v>2017</v>
      </c>
      <c r="J2618" s="62">
        <v>12</v>
      </c>
      <c r="K2618" s="62" t="s">
        <v>20</v>
      </c>
      <c r="L2618" s="62" t="s">
        <v>2</v>
      </c>
      <c r="M2618" s="62">
        <v>15.995</v>
      </c>
      <c r="N2618" s="62">
        <v>13.59575</v>
      </c>
    </row>
    <row r="2619" spans="1:14">
      <c r="A2619" s="62">
        <v>2019</v>
      </c>
      <c r="B2619" s="62">
        <v>7</v>
      </c>
      <c r="C2619" s="62" t="s">
        <v>8</v>
      </c>
      <c r="D2619" s="62" t="s">
        <v>3</v>
      </c>
      <c r="E2619" s="62">
        <v>85.31</v>
      </c>
      <c r="F2619" s="62">
        <v>4.0575</v>
      </c>
      <c r="I2619" s="62">
        <v>2018</v>
      </c>
      <c r="J2619" s="62">
        <v>1</v>
      </c>
      <c r="K2619" s="62" t="s">
        <v>20</v>
      </c>
      <c r="L2619" s="62" t="s">
        <v>2</v>
      </c>
      <c r="M2619" s="62">
        <v>143.79</v>
      </c>
      <c r="N2619" s="62">
        <v>122.2215</v>
      </c>
    </row>
    <row r="2620" spans="1:14">
      <c r="A2620" s="62">
        <v>2019</v>
      </c>
      <c r="B2620" s="62">
        <v>8</v>
      </c>
      <c r="C2620" s="62" t="s">
        <v>8</v>
      </c>
      <c r="D2620" s="62" t="s">
        <v>3</v>
      </c>
      <c r="E2620" s="62">
        <v>18.47</v>
      </c>
      <c r="F2620" s="62">
        <v>0.3180000000000001</v>
      </c>
      <c r="I2620" s="62">
        <v>2018</v>
      </c>
      <c r="J2620" s="62">
        <v>2</v>
      </c>
      <c r="K2620" s="62" t="s">
        <v>20</v>
      </c>
      <c r="L2620" s="62" t="s">
        <v>2</v>
      </c>
      <c r="M2620" s="62">
        <v>316.715</v>
      </c>
      <c r="N2620" s="62">
        <v>269.20775</v>
      </c>
    </row>
    <row r="2621" spans="1:14">
      <c r="A2621" s="62">
        <v>2019</v>
      </c>
      <c r="B2621" s="62">
        <v>9</v>
      </c>
      <c r="C2621" s="62" t="s">
        <v>8</v>
      </c>
      <c r="D2621" s="62" t="s">
        <v>3</v>
      </c>
      <c r="E2621" s="62">
        <v>144.115</v>
      </c>
      <c r="F2621" s="62">
        <v>38.197</v>
      </c>
      <c r="I2621" s="62">
        <v>2018</v>
      </c>
      <c r="J2621" s="62">
        <v>3</v>
      </c>
      <c r="K2621" s="62" t="s">
        <v>20</v>
      </c>
      <c r="L2621" s="62" t="s">
        <v>2</v>
      </c>
      <c r="M2621" s="62">
        <v>270.566</v>
      </c>
      <c r="N2621" s="62">
        <v>229.9811</v>
      </c>
    </row>
    <row r="2622" spans="1:14">
      <c r="A2622" s="62">
        <v>2019</v>
      </c>
      <c r="B2622" s="62">
        <v>10</v>
      </c>
      <c r="C2622" s="62" t="s">
        <v>8</v>
      </c>
      <c r="D2622" s="62" t="s">
        <v>3</v>
      </c>
      <c r="E2622" s="62">
        <v>226.863</v>
      </c>
      <c r="F2622" s="62">
        <v>58.214</v>
      </c>
      <c r="I2622" s="62">
        <v>2018</v>
      </c>
      <c r="J2622" s="62">
        <v>4</v>
      </c>
      <c r="K2622" s="62" t="s">
        <v>20</v>
      </c>
      <c r="L2622" s="62" t="s">
        <v>2</v>
      </c>
      <c r="M2622" s="62">
        <v>137.813</v>
      </c>
      <c r="N2622" s="62">
        <v>117.14105</v>
      </c>
    </row>
    <row r="2623" spans="1:14">
      <c r="A2623" s="62">
        <v>2019</v>
      </c>
      <c r="B2623" s="62">
        <v>11</v>
      </c>
      <c r="C2623" s="62" t="s">
        <v>8</v>
      </c>
      <c r="D2623" s="62" t="s">
        <v>3</v>
      </c>
      <c r="E2623" s="62">
        <v>288.785</v>
      </c>
      <c r="F2623" s="62">
        <v>88.072625</v>
      </c>
      <c r="I2623" s="62">
        <v>2018</v>
      </c>
      <c r="J2623" s="62">
        <v>5</v>
      </c>
      <c r="K2623" s="62" t="s">
        <v>20</v>
      </c>
      <c r="L2623" s="62" t="s">
        <v>2</v>
      </c>
      <c r="M2623" s="62">
        <v>144.122</v>
      </c>
      <c r="N2623" s="62">
        <v>122.5037</v>
      </c>
    </row>
    <row r="2624" spans="1:14">
      <c r="A2624" s="62">
        <v>2019</v>
      </c>
      <c r="B2624" s="62">
        <v>12</v>
      </c>
      <c r="C2624" s="62" t="s">
        <v>8</v>
      </c>
      <c r="D2624" s="62" t="s">
        <v>3</v>
      </c>
      <c r="E2624" s="62">
        <v>64.72320000000001</v>
      </c>
      <c r="F2624" s="62">
        <v>22.2056</v>
      </c>
      <c r="I2624" s="62">
        <v>2018</v>
      </c>
      <c r="J2624" s="62">
        <v>6</v>
      </c>
      <c r="K2624" s="62" t="s">
        <v>20</v>
      </c>
      <c r="L2624" s="62" t="s">
        <v>2</v>
      </c>
      <c r="M2624" s="62">
        <v>19.76</v>
      </c>
      <c r="N2624" s="62">
        <v>16.796</v>
      </c>
    </row>
    <row r="2625" spans="1:14">
      <c r="A2625" s="62">
        <v>2020</v>
      </c>
      <c r="B2625" s="62">
        <v>1</v>
      </c>
      <c r="C2625" s="62" t="s">
        <v>8</v>
      </c>
      <c r="D2625" s="62" t="s">
        <v>3</v>
      </c>
      <c r="E2625" s="62">
        <v>204.4142</v>
      </c>
      <c r="F2625" s="62">
        <v>56.1598</v>
      </c>
      <c r="I2625" s="62">
        <v>2018</v>
      </c>
      <c r="J2625" s="62">
        <v>7</v>
      </c>
      <c r="K2625" s="62" t="s">
        <v>20</v>
      </c>
      <c r="L2625" s="62" t="s">
        <v>2</v>
      </c>
      <c r="M2625" s="62">
        <v>20.07</v>
      </c>
      <c r="N2625" s="62">
        <v>17.0595</v>
      </c>
    </row>
    <row r="2626" spans="1:14">
      <c r="A2626" s="62">
        <v>2020</v>
      </c>
      <c r="B2626" s="62">
        <v>2</v>
      </c>
      <c r="C2626" s="62" t="s">
        <v>8</v>
      </c>
      <c r="D2626" s="62" t="s">
        <v>3</v>
      </c>
      <c r="E2626" s="62">
        <v>159.64</v>
      </c>
      <c r="F2626" s="62">
        <v>59.5075</v>
      </c>
      <c r="I2626" s="62">
        <v>2018</v>
      </c>
      <c r="J2626" s="62">
        <v>8</v>
      </c>
      <c r="K2626" s="62" t="s">
        <v>20</v>
      </c>
      <c r="L2626" s="62" t="s">
        <v>2</v>
      </c>
      <c r="M2626" s="62">
        <v>12.5</v>
      </c>
      <c r="N2626" s="62">
        <v>10.625</v>
      </c>
    </row>
    <row r="2627" spans="1:14">
      <c r="A2627" s="62">
        <v>2020</v>
      </c>
      <c r="B2627" s="62">
        <v>3</v>
      </c>
      <c r="C2627" s="62" t="s">
        <v>8</v>
      </c>
      <c r="D2627" s="62" t="s">
        <v>3</v>
      </c>
      <c r="E2627" s="62">
        <v>388.0114</v>
      </c>
      <c r="F2627" s="62">
        <v>96.21589999999999</v>
      </c>
      <c r="I2627" s="62">
        <v>2018</v>
      </c>
      <c r="J2627" s="62">
        <v>9</v>
      </c>
      <c r="K2627" s="62" t="s">
        <v>20</v>
      </c>
      <c r="L2627" s="62" t="s">
        <v>2</v>
      </c>
      <c r="M2627" s="62">
        <v>110.456</v>
      </c>
      <c r="N2627" s="62">
        <v>93.88759999999999</v>
      </c>
    </row>
    <row r="2628" spans="1:14">
      <c r="A2628" s="62">
        <v>2020</v>
      </c>
      <c r="B2628" s="62">
        <v>4</v>
      </c>
      <c r="C2628" s="62" t="s">
        <v>8</v>
      </c>
      <c r="D2628" s="62" t="s">
        <v>3</v>
      </c>
      <c r="E2628" s="62">
        <v>2450.1294</v>
      </c>
      <c r="F2628" s="62">
        <v>473.28563</v>
      </c>
      <c r="I2628" s="62">
        <v>2018</v>
      </c>
      <c r="J2628" s="62">
        <v>10</v>
      </c>
      <c r="K2628" s="62" t="s">
        <v>20</v>
      </c>
      <c r="L2628" s="62" t="s">
        <v>2</v>
      </c>
      <c r="M2628" s="62">
        <v>231.54</v>
      </c>
      <c r="N2628" s="62">
        <v>196.809</v>
      </c>
    </row>
    <row r="2629" spans="1:14">
      <c r="A2629" s="62">
        <v>2020</v>
      </c>
      <c r="B2629" s="62">
        <v>5</v>
      </c>
      <c r="C2629" s="62" t="s">
        <v>8</v>
      </c>
      <c r="D2629" s="62" t="s">
        <v>3</v>
      </c>
      <c r="E2629" s="62">
        <v>2679.866</v>
      </c>
      <c r="F2629" s="62">
        <v>539.95905</v>
      </c>
      <c r="I2629" s="62">
        <v>2018</v>
      </c>
      <c r="J2629" s="62">
        <v>11</v>
      </c>
      <c r="K2629" s="62" t="s">
        <v>20</v>
      </c>
      <c r="L2629" s="62" t="s">
        <v>2</v>
      </c>
      <c r="M2629" s="62">
        <v>178.588</v>
      </c>
      <c r="N2629" s="62">
        <v>151.7998</v>
      </c>
    </row>
    <row r="2630" spans="1:14">
      <c r="A2630" s="62">
        <v>2020</v>
      </c>
      <c r="B2630" s="62">
        <v>6</v>
      </c>
      <c r="C2630" s="62" t="s">
        <v>8</v>
      </c>
      <c r="D2630" s="62" t="s">
        <v>3</v>
      </c>
      <c r="E2630" s="62">
        <v>2623.3966</v>
      </c>
      <c r="F2630" s="62">
        <v>522.12816</v>
      </c>
      <c r="I2630" s="62">
        <v>2018</v>
      </c>
      <c r="J2630" s="62">
        <v>12</v>
      </c>
      <c r="K2630" s="62" t="s">
        <v>20</v>
      </c>
      <c r="L2630" s="62" t="s">
        <v>2</v>
      </c>
      <c r="M2630" s="62">
        <v>41.243</v>
      </c>
      <c r="N2630" s="62">
        <v>35.05655</v>
      </c>
    </row>
    <row r="2631" spans="1:14">
      <c r="A2631" s="62">
        <v>2020</v>
      </c>
      <c r="B2631" s="62">
        <v>7</v>
      </c>
      <c r="C2631" s="62" t="s">
        <v>8</v>
      </c>
      <c r="D2631" s="62" t="s">
        <v>3</v>
      </c>
      <c r="E2631" s="62">
        <v>2653.6262</v>
      </c>
      <c r="F2631" s="62">
        <v>548.5294699999999</v>
      </c>
      <c r="I2631" s="62">
        <v>2019</v>
      </c>
      <c r="J2631" s="62">
        <v>1</v>
      </c>
      <c r="K2631" s="62" t="s">
        <v>20</v>
      </c>
      <c r="L2631" s="62" t="s">
        <v>2</v>
      </c>
      <c r="M2631" s="62">
        <v>87.01000000000001</v>
      </c>
      <c r="N2631" s="62">
        <v>73.9585</v>
      </c>
    </row>
    <row r="2632" spans="1:14">
      <c r="A2632" s="62">
        <v>2020</v>
      </c>
      <c r="B2632" s="62">
        <v>8</v>
      </c>
      <c r="C2632" s="62" t="s">
        <v>8</v>
      </c>
      <c r="D2632" s="62" t="s">
        <v>3</v>
      </c>
      <c r="E2632" s="62">
        <v>2136.958</v>
      </c>
      <c r="F2632" s="62">
        <v>420.69615</v>
      </c>
      <c r="I2632" s="62">
        <v>2019</v>
      </c>
      <c r="J2632" s="62">
        <v>2</v>
      </c>
      <c r="K2632" s="62" t="s">
        <v>20</v>
      </c>
      <c r="L2632" s="62" t="s">
        <v>2</v>
      </c>
      <c r="M2632" s="62">
        <v>113.69</v>
      </c>
      <c r="N2632" s="62">
        <v>96.6365</v>
      </c>
    </row>
    <row r="2633" spans="1:14">
      <c r="A2633" s="62">
        <v>2020</v>
      </c>
      <c r="B2633" s="62">
        <v>9</v>
      </c>
      <c r="C2633" s="62" t="s">
        <v>8</v>
      </c>
      <c r="D2633" s="62" t="s">
        <v>3</v>
      </c>
      <c r="E2633" s="62">
        <v>1997.6166</v>
      </c>
      <c r="F2633" s="62">
        <v>404.161515</v>
      </c>
      <c r="I2633" s="62">
        <v>2019</v>
      </c>
      <c r="J2633" s="62">
        <v>3</v>
      </c>
      <c r="K2633" s="62" t="s">
        <v>20</v>
      </c>
      <c r="L2633" s="62" t="s">
        <v>2</v>
      </c>
      <c r="M2633" s="62">
        <v>151.736</v>
      </c>
      <c r="N2633" s="62">
        <v>128.9756</v>
      </c>
    </row>
    <row r="2634" spans="1:14">
      <c r="A2634" s="62">
        <v>2020</v>
      </c>
      <c r="B2634" s="62">
        <v>10</v>
      </c>
      <c r="C2634" s="62" t="s">
        <v>8</v>
      </c>
      <c r="D2634" s="62" t="s">
        <v>3</v>
      </c>
      <c r="E2634" s="62">
        <v>2042.0582</v>
      </c>
      <c r="F2634" s="62">
        <v>405.62605</v>
      </c>
      <c r="I2634" s="62">
        <v>2019</v>
      </c>
      <c r="J2634" s="62">
        <v>4</v>
      </c>
      <c r="K2634" s="62" t="s">
        <v>20</v>
      </c>
      <c r="L2634" s="62" t="s">
        <v>2</v>
      </c>
      <c r="M2634" s="62">
        <v>182.934</v>
      </c>
      <c r="N2634" s="62">
        <v>155.4939</v>
      </c>
    </row>
    <row r="2635" spans="1:14">
      <c r="A2635" s="62">
        <v>2020</v>
      </c>
      <c r="B2635" s="62">
        <v>11</v>
      </c>
      <c r="C2635" s="62" t="s">
        <v>8</v>
      </c>
      <c r="D2635" s="62" t="s">
        <v>3</v>
      </c>
      <c r="E2635" s="62">
        <v>2128.3616</v>
      </c>
      <c r="F2635" s="62">
        <v>436.92407</v>
      </c>
      <c r="I2635" s="62">
        <v>2019</v>
      </c>
      <c r="J2635" s="62">
        <v>5</v>
      </c>
      <c r="K2635" s="62" t="s">
        <v>20</v>
      </c>
      <c r="L2635" s="62" t="s">
        <v>2</v>
      </c>
      <c r="M2635" s="62">
        <v>68.54000000000001</v>
      </c>
      <c r="N2635" s="62">
        <v>58.259</v>
      </c>
    </row>
    <row r="2636" spans="1:14">
      <c r="A2636" s="62">
        <v>2020</v>
      </c>
      <c r="B2636" s="62">
        <v>12</v>
      </c>
      <c r="C2636" s="62" t="s">
        <v>8</v>
      </c>
      <c r="D2636" s="62" t="s">
        <v>3</v>
      </c>
      <c r="E2636" s="62">
        <v>2154.5</v>
      </c>
      <c r="F2636" s="62">
        <v>411.272</v>
      </c>
      <c r="I2636" s="62">
        <v>2019</v>
      </c>
      <c r="J2636" s="62">
        <v>6</v>
      </c>
      <c r="K2636" s="62" t="s">
        <v>20</v>
      </c>
      <c r="L2636" s="62" t="s">
        <v>2</v>
      </c>
      <c r="M2636" s="62">
        <v>25.52</v>
      </c>
      <c r="N2636" s="62">
        <v>21.692</v>
      </c>
    </row>
    <row r="2637" spans="1:14">
      <c r="A2637" s="62">
        <v>2021</v>
      </c>
      <c r="B2637" s="62">
        <v>1</v>
      </c>
      <c r="C2637" s="62" t="s">
        <v>8</v>
      </c>
      <c r="D2637" s="62" t="s">
        <v>3</v>
      </c>
      <c r="E2637" s="62">
        <v>2157.7558</v>
      </c>
      <c r="F2637" s="62">
        <v>396.063705</v>
      </c>
      <c r="I2637" s="62">
        <v>2019</v>
      </c>
      <c r="J2637" s="62">
        <v>7</v>
      </c>
      <c r="K2637" s="62" t="s">
        <v>20</v>
      </c>
      <c r="L2637" s="62" t="s">
        <v>2</v>
      </c>
      <c r="M2637" s="62">
        <v>20.808</v>
      </c>
      <c r="N2637" s="62">
        <v>17.6868</v>
      </c>
    </row>
    <row r="2638" spans="1:14">
      <c r="A2638" s="62">
        <v>2021</v>
      </c>
      <c r="B2638" s="62">
        <v>2</v>
      </c>
      <c r="C2638" s="62" t="s">
        <v>8</v>
      </c>
      <c r="D2638" s="62" t="s">
        <v>3</v>
      </c>
      <c r="E2638" s="62">
        <v>2253.2245</v>
      </c>
      <c r="F2638" s="62">
        <v>432.2144</v>
      </c>
      <c r="I2638" s="62">
        <v>2019</v>
      </c>
      <c r="J2638" s="62">
        <v>8</v>
      </c>
      <c r="K2638" s="62" t="s">
        <v>20</v>
      </c>
      <c r="L2638" s="62" t="s">
        <v>2</v>
      </c>
      <c r="M2638" s="62">
        <v>34</v>
      </c>
      <c r="N2638" s="62">
        <v>28.9</v>
      </c>
    </row>
    <row r="2639" spans="1:14">
      <c r="A2639" s="62">
        <v>2021</v>
      </c>
      <c r="B2639" s="62">
        <v>3</v>
      </c>
      <c r="C2639" s="62" t="s">
        <v>8</v>
      </c>
      <c r="D2639" s="62" t="s">
        <v>3</v>
      </c>
      <c r="E2639" s="62">
        <v>1687.942</v>
      </c>
      <c r="F2639" s="62">
        <v>314.27597</v>
      </c>
      <c r="I2639" s="62">
        <v>2019</v>
      </c>
      <c r="J2639" s="62">
        <v>9</v>
      </c>
      <c r="K2639" s="62" t="s">
        <v>20</v>
      </c>
      <c r="L2639" s="62" t="s">
        <v>2</v>
      </c>
      <c r="M2639" s="62">
        <v>162.601</v>
      </c>
      <c r="N2639" s="62">
        <v>138.21085</v>
      </c>
    </row>
    <row r="2640" spans="1:14">
      <c r="A2640" s="62">
        <v>2021</v>
      </c>
      <c r="B2640" s="62">
        <v>4</v>
      </c>
      <c r="C2640" s="62" t="s">
        <v>8</v>
      </c>
      <c r="D2640" s="62" t="s">
        <v>3</v>
      </c>
      <c r="E2640" s="62">
        <v>1064.9355</v>
      </c>
      <c r="F2640" s="62">
        <v>213.943685</v>
      </c>
      <c r="I2640" s="62">
        <v>2019</v>
      </c>
      <c r="J2640" s="62">
        <v>10</v>
      </c>
      <c r="K2640" s="62" t="s">
        <v>20</v>
      </c>
      <c r="L2640" s="62" t="s">
        <v>2</v>
      </c>
      <c r="M2640" s="62">
        <v>355.695</v>
      </c>
      <c r="N2640" s="62">
        <v>302.34075</v>
      </c>
    </row>
    <row r="2641" spans="1:14">
      <c r="A2641" s="62">
        <v>2021</v>
      </c>
      <c r="B2641" s="62">
        <v>5</v>
      </c>
      <c r="C2641" s="62" t="s">
        <v>8</v>
      </c>
      <c r="D2641" s="62" t="s">
        <v>3</v>
      </c>
      <c r="E2641" s="62">
        <v>519.9989</v>
      </c>
      <c r="F2641" s="62">
        <v>101.93384</v>
      </c>
      <c r="I2641" s="62">
        <v>2019</v>
      </c>
      <c r="J2641" s="62">
        <v>11</v>
      </c>
      <c r="K2641" s="62" t="s">
        <v>20</v>
      </c>
      <c r="L2641" s="62" t="s">
        <v>2</v>
      </c>
      <c r="M2641" s="62">
        <v>250.18</v>
      </c>
      <c r="N2641" s="62">
        <v>212.653</v>
      </c>
    </row>
    <row r="2642" spans="1:14">
      <c r="A2642" s="62">
        <v>2021</v>
      </c>
      <c r="B2642" s="62">
        <v>6</v>
      </c>
      <c r="C2642" s="62" t="s">
        <v>8</v>
      </c>
      <c r="D2642" s="62" t="s">
        <v>3</v>
      </c>
      <c r="E2642" s="62">
        <v>302.221</v>
      </c>
      <c r="F2642" s="62">
        <v>60.542</v>
      </c>
      <c r="I2642" s="62">
        <v>2019</v>
      </c>
      <c r="J2642" s="62">
        <v>12</v>
      </c>
      <c r="K2642" s="62" t="s">
        <v>20</v>
      </c>
      <c r="L2642" s="62" t="s">
        <v>2</v>
      </c>
      <c r="M2642" s="62">
        <v>61.99</v>
      </c>
      <c r="N2642" s="62">
        <v>52.6915</v>
      </c>
    </row>
    <row r="2643" spans="1:14">
      <c r="A2643" s="62">
        <v>2021</v>
      </c>
      <c r="B2643" s="62">
        <v>7</v>
      </c>
      <c r="C2643" s="62" t="s">
        <v>8</v>
      </c>
      <c r="D2643" s="62" t="s">
        <v>3</v>
      </c>
      <c r="E2643" s="62">
        <v>201.6</v>
      </c>
      <c r="F2643" s="62">
        <v>15.03225</v>
      </c>
      <c r="I2643" s="62">
        <v>2020</v>
      </c>
      <c r="J2643" s="62">
        <v>1</v>
      </c>
      <c r="K2643" s="62" t="s">
        <v>20</v>
      </c>
      <c r="L2643" s="62" t="s">
        <v>2</v>
      </c>
      <c r="M2643" s="62">
        <v>158.48</v>
      </c>
      <c r="N2643" s="62">
        <v>134.708</v>
      </c>
    </row>
    <row r="2644" spans="1:14">
      <c r="A2644" s="62">
        <v>2021</v>
      </c>
      <c r="B2644" s="62">
        <v>8</v>
      </c>
      <c r="C2644" s="62" t="s">
        <v>8</v>
      </c>
      <c r="D2644" s="62" t="s">
        <v>3</v>
      </c>
      <c r="E2644" s="62">
        <v>96.38</v>
      </c>
      <c r="F2644" s="62">
        <v>13.96125</v>
      </c>
      <c r="I2644" s="62">
        <v>2020</v>
      </c>
      <c r="J2644" s="62">
        <v>2</v>
      </c>
      <c r="K2644" s="62" t="s">
        <v>20</v>
      </c>
      <c r="L2644" s="62" t="s">
        <v>2</v>
      </c>
      <c r="M2644" s="62">
        <v>284.645</v>
      </c>
      <c r="N2644" s="62">
        <v>241.94825</v>
      </c>
    </row>
    <row r="2645" spans="1:14">
      <c r="A2645" s="62">
        <v>2021</v>
      </c>
      <c r="B2645" s="62">
        <v>9</v>
      </c>
      <c r="C2645" s="62" t="s">
        <v>8</v>
      </c>
      <c r="D2645" s="62" t="s">
        <v>3</v>
      </c>
      <c r="E2645" s="62">
        <v>186.3662</v>
      </c>
      <c r="F2645" s="62">
        <v>43.18925</v>
      </c>
      <c r="I2645" s="62">
        <v>2020</v>
      </c>
      <c r="J2645" s="62">
        <v>3</v>
      </c>
      <c r="K2645" s="62" t="s">
        <v>20</v>
      </c>
      <c r="L2645" s="62" t="s">
        <v>2</v>
      </c>
      <c r="M2645" s="62">
        <v>257.625</v>
      </c>
      <c r="N2645" s="62">
        <v>218.98125</v>
      </c>
    </row>
    <row r="2646" spans="1:14">
      <c r="A2646" s="62">
        <v>2021</v>
      </c>
      <c r="B2646" s="62">
        <v>10</v>
      </c>
      <c r="C2646" s="62" t="s">
        <v>8</v>
      </c>
      <c r="D2646" s="62" t="s">
        <v>3</v>
      </c>
      <c r="E2646" s="62">
        <v>303.1492</v>
      </c>
      <c r="F2646" s="62">
        <v>70.86404999999999</v>
      </c>
      <c r="I2646" s="62">
        <v>2020</v>
      </c>
      <c r="J2646" s="62">
        <v>4</v>
      </c>
      <c r="K2646" s="62" t="s">
        <v>20</v>
      </c>
      <c r="L2646" s="62" t="s">
        <v>2</v>
      </c>
      <c r="M2646" s="62">
        <v>155.8975</v>
      </c>
      <c r="N2646" s="62">
        <v>132.512875</v>
      </c>
    </row>
    <row r="2647" spans="1:14">
      <c r="A2647" s="62">
        <v>2021</v>
      </c>
      <c r="B2647" s="62">
        <v>11</v>
      </c>
      <c r="C2647" s="62" t="s">
        <v>8</v>
      </c>
      <c r="D2647" s="62" t="s">
        <v>3</v>
      </c>
      <c r="E2647" s="62">
        <v>145.398</v>
      </c>
      <c r="F2647" s="62">
        <v>44.279</v>
      </c>
      <c r="I2647" s="62">
        <v>2020</v>
      </c>
      <c r="J2647" s="62">
        <v>5</v>
      </c>
      <c r="K2647" s="62" t="s">
        <v>20</v>
      </c>
      <c r="L2647" s="62" t="s">
        <v>2</v>
      </c>
      <c r="M2647" s="62">
        <v>137.92</v>
      </c>
      <c r="N2647" s="62">
        <v>117.232</v>
      </c>
    </row>
    <row r="2648" spans="1:14">
      <c r="A2648" s="62">
        <v>2021</v>
      </c>
      <c r="B2648" s="62">
        <v>12</v>
      </c>
      <c r="C2648" s="62" t="s">
        <v>8</v>
      </c>
      <c r="D2648" s="62" t="s">
        <v>3</v>
      </c>
      <c r="E2648" s="62">
        <v>137.17</v>
      </c>
      <c r="F2648" s="62">
        <v>34.757125</v>
      </c>
      <c r="I2648" s="62">
        <v>2020</v>
      </c>
      <c r="J2648" s="62">
        <v>6</v>
      </c>
      <c r="K2648" s="62" t="s">
        <v>20</v>
      </c>
      <c r="L2648" s="62" t="s">
        <v>2</v>
      </c>
      <c r="M2648" s="62">
        <v>103.24</v>
      </c>
      <c r="N2648" s="62">
        <v>87.75399999999999</v>
      </c>
    </row>
    <row r="2649" spans="1:14">
      <c r="A2649" s="62">
        <v>2022</v>
      </c>
      <c r="B2649" s="62">
        <v>1</v>
      </c>
      <c r="C2649" s="62" t="s">
        <v>8</v>
      </c>
      <c r="D2649" s="62" t="s">
        <v>3</v>
      </c>
      <c r="E2649" s="62">
        <v>488.26</v>
      </c>
      <c r="F2649" s="62">
        <v>112.7655</v>
      </c>
      <c r="I2649" s="62">
        <v>2020</v>
      </c>
      <c r="J2649" s="62">
        <v>7</v>
      </c>
      <c r="K2649" s="62" t="s">
        <v>20</v>
      </c>
      <c r="L2649" s="62" t="s">
        <v>2</v>
      </c>
      <c r="M2649" s="62">
        <v>75.92</v>
      </c>
      <c r="N2649" s="62">
        <v>64.532</v>
      </c>
    </row>
    <row r="2650" spans="1:14">
      <c r="A2650" s="62">
        <v>2022</v>
      </c>
      <c r="B2650" s="62">
        <v>2</v>
      </c>
      <c r="C2650" s="62" t="s">
        <v>8</v>
      </c>
      <c r="D2650" s="62" t="s">
        <v>3</v>
      </c>
      <c r="E2650" s="62">
        <v>251.28</v>
      </c>
      <c r="F2650" s="62">
        <v>23.29225</v>
      </c>
      <c r="I2650" s="62">
        <v>2020</v>
      </c>
      <c r="J2650" s="62">
        <v>8</v>
      </c>
      <c r="K2650" s="62" t="s">
        <v>20</v>
      </c>
      <c r="L2650" s="62" t="s">
        <v>2</v>
      </c>
      <c r="M2650" s="62">
        <v>48.27</v>
      </c>
      <c r="N2650" s="62">
        <v>41.0295</v>
      </c>
    </row>
    <row r="2651" spans="1:14">
      <c r="A2651" s="62">
        <v>2022</v>
      </c>
      <c r="B2651" s="62">
        <v>3</v>
      </c>
      <c r="C2651" s="62" t="s">
        <v>8</v>
      </c>
      <c r="D2651" s="62" t="s">
        <v>3</v>
      </c>
      <c r="E2651" s="62">
        <v>184.6805</v>
      </c>
      <c r="F2651" s="62">
        <v>34.470625</v>
      </c>
      <c r="I2651" s="62">
        <v>2020</v>
      </c>
      <c r="J2651" s="62">
        <v>9</v>
      </c>
      <c r="K2651" s="62" t="s">
        <v>20</v>
      </c>
      <c r="L2651" s="62" t="s">
        <v>2</v>
      </c>
      <c r="M2651" s="62">
        <v>92.902</v>
      </c>
      <c r="N2651" s="62">
        <v>78.9667</v>
      </c>
    </row>
    <row r="2652" spans="1:14">
      <c r="A2652" s="62">
        <v>2022</v>
      </c>
      <c r="B2652" s="62">
        <v>4</v>
      </c>
      <c r="C2652" s="62" t="s">
        <v>8</v>
      </c>
      <c r="D2652" s="62" t="s">
        <v>3</v>
      </c>
      <c r="E2652" s="62">
        <v>417.9255</v>
      </c>
      <c r="F2652" s="62">
        <v>115.767125</v>
      </c>
      <c r="I2652" s="62">
        <v>2020</v>
      </c>
      <c r="J2652" s="62">
        <v>10</v>
      </c>
      <c r="K2652" s="62" t="s">
        <v>20</v>
      </c>
      <c r="L2652" s="62" t="s">
        <v>2</v>
      </c>
      <c r="M2652" s="62">
        <v>89.36799999999999</v>
      </c>
      <c r="N2652" s="62">
        <v>75.9628</v>
      </c>
    </row>
    <row r="2653" spans="1:14">
      <c r="A2653" s="62">
        <v>2022</v>
      </c>
      <c r="B2653" s="62">
        <v>5</v>
      </c>
      <c r="C2653" s="62" t="s">
        <v>8</v>
      </c>
      <c r="D2653" s="62" t="s">
        <v>3</v>
      </c>
      <c r="E2653" s="62">
        <v>254.614</v>
      </c>
      <c r="F2653" s="62">
        <v>79.0993</v>
      </c>
      <c r="I2653" s="62">
        <v>2020</v>
      </c>
      <c r="J2653" s="62">
        <v>11</v>
      </c>
      <c r="K2653" s="62" t="s">
        <v>20</v>
      </c>
      <c r="L2653" s="62" t="s">
        <v>2</v>
      </c>
      <c r="M2653" s="62">
        <v>113.8</v>
      </c>
      <c r="N2653" s="62">
        <v>96.72999999999999</v>
      </c>
    </row>
    <row r="2654" spans="1:14">
      <c r="A2654" s="62">
        <v>2022</v>
      </c>
      <c r="B2654" s="62">
        <v>6</v>
      </c>
      <c r="C2654" s="62" t="s">
        <v>8</v>
      </c>
      <c r="D2654" s="62" t="s">
        <v>3</v>
      </c>
      <c r="E2654" s="62">
        <v>335.0338</v>
      </c>
      <c r="F2654" s="62">
        <v>102.9135</v>
      </c>
      <c r="I2654" s="62">
        <v>2020</v>
      </c>
      <c r="J2654" s="62">
        <v>12</v>
      </c>
      <c r="K2654" s="62" t="s">
        <v>20</v>
      </c>
      <c r="L2654" s="62" t="s">
        <v>2</v>
      </c>
      <c r="M2654" s="62">
        <v>166.46</v>
      </c>
      <c r="N2654" s="62">
        <v>141.491</v>
      </c>
    </row>
    <row r="2655" spans="1:14">
      <c r="A2655" s="62">
        <v>2022</v>
      </c>
      <c r="B2655" s="62">
        <v>7</v>
      </c>
      <c r="C2655" s="62" t="s">
        <v>8</v>
      </c>
      <c r="D2655" s="62" t="s">
        <v>3</v>
      </c>
      <c r="E2655" s="62">
        <v>474.537</v>
      </c>
      <c r="F2655" s="62">
        <v>117.384175</v>
      </c>
      <c r="I2655" s="62">
        <v>2021</v>
      </c>
      <c r="J2655" s="62">
        <v>1</v>
      </c>
      <c r="K2655" s="62" t="s">
        <v>20</v>
      </c>
      <c r="L2655" s="62" t="s">
        <v>2</v>
      </c>
      <c r="M2655" s="62">
        <v>144.412</v>
      </c>
      <c r="N2655" s="62">
        <v>122.7502</v>
      </c>
    </row>
    <row r="2656" spans="1:14">
      <c r="A2656" s="62">
        <v>2022</v>
      </c>
      <c r="B2656" s="62">
        <v>8</v>
      </c>
      <c r="C2656" s="62" t="s">
        <v>8</v>
      </c>
      <c r="D2656" s="62" t="s">
        <v>3</v>
      </c>
      <c r="E2656" s="62">
        <v>234.294</v>
      </c>
      <c r="F2656" s="62">
        <v>63.2225</v>
      </c>
      <c r="I2656" s="62">
        <v>2021</v>
      </c>
      <c r="J2656" s="62">
        <v>2</v>
      </c>
      <c r="K2656" s="62" t="s">
        <v>20</v>
      </c>
      <c r="L2656" s="62" t="s">
        <v>2</v>
      </c>
      <c r="M2656" s="62">
        <v>132.115</v>
      </c>
      <c r="N2656" s="62">
        <v>112.29775</v>
      </c>
    </row>
    <row r="2657" spans="1:14">
      <c r="A2657" s="62">
        <v>2022</v>
      </c>
      <c r="B2657" s="62">
        <v>9</v>
      </c>
      <c r="C2657" s="62" t="s">
        <v>8</v>
      </c>
      <c r="D2657" s="62" t="s">
        <v>3</v>
      </c>
      <c r="E2657" s="62">
        <v>84.922</v>
      </c>
      <c r="F2657" s="62">
        <v>17.9875</v>
      </c>
      <c r="I2657" s="62">
        <v>2021</v>
      </c>
      <c r="J2657" s="62">
        <v>3</v>
      </c>
      <c r="K2657" s="62" t="s">
        <v>20</v>
      </c>
      <c r="L2657" s="62" t="s">
        <v>2</v>
      </c>
      <c r="M2657" s="62">
        <v>208.736</v>
      </c>
      <c r="N2657" s="62">
        <v>177.4256</v>
      </c>
    </row>
    <row r="2658" spans="1:14">
      <c r="A2658" s="62">
        <v>2022</v>
      </c>
      <c r="B2658" s="62">
        <v>10</v>
      </c>
      <c r="C2658" s="62" t="s">
        <v>8</v>
      </c>
      <c r="D2658" s="62" t="s">
        <v>3</v>
      </c>
      <c r="E2658" s="62">
        <v>98.908</v>
      </c>
      <c r="F2658" s="62">
        <v>20.1291</v>
      </c>
      <c r="I2658" s="62">
        <v>2021</v>
      </c>
      <c r="J2658" s="62">
        <v>4</v>
      </c>
      <c r="K2658" s="62" t="s">
        <v>20</v>
      </c>
      <c r="L2658" s="62" t="s">
        <v>2</v>
      </c>
      <c r="M2658" s="62">
        <v>148.57</v>
      </c>
      <c r="N2658" s="62">
        <v>126.2845</v>
      </c>
    </row>
    <row r="2659" spans="1:14">
      <c r="A2659" s="62">
        <v>2022</v>
      </c>
      <c r="B2659" s="62">
        <v>11</v>
      </c>
      <c r="C2659" s="62" t="s">
        <v>8</v>
      </c>
      <c r="D2659" s="62" t="s">
        <v>3</v>
      </c>
      <c r="E2659" s="62">
        <v>79.8</v>
      </c>
      <c r="F2659" s="62">
        <v>23.13025</v>
      </c>
      <c r="I2659" s="62">
        <v>2021</v>
      </c>
      <c r="J2659" s="62">
        <v>5</v>
      </c>
      <c r="K2659" s="62" t="s">
        <v>20</v>
      </c>
      <c r="L2659" s="62" t="s">
        <v>2</v>
      </c>
      <c r="M2659" s="62">
        <v>188.711</v>
      </c>
      <c r="N2659" s="62">
        <v>160.40435</v>
      </c>
    </row>
    <row r="2660" spans="1:14">
      <c r="A2660" s="62">
        <v>2022</v>
      </c>
      <c r="B2660" s="62">
        <v>12</v>
      </c>
      <c r="C2660" s="62" t="s">
        <v>8</v>
      </c>
      <c r="D2660" s="62" t="s">
        <v>3</v>
      </c>
      <c r="E2660" s="62">
        <v>111.92</v>
      </c>
      <c r="F2660" s="62">
        <v>15.66825</v>
      </c>
      <c r="I2660" s="62">
        <v>2021</v>
      </c>
      <c r="J2660" s="62">
        <v>6</v>
      </c>
      <c r="K2660" s="62" t="s">
        <v>20</v>
      </c>
      <c r="L2660" s="62" t="s">
        <v>2</v>
      </c>
      <c r="M2660" s="62">
        <v>98.52</v>
      </c>
      <c r="N2660" s="62">
        <v>83.74199999999999</v>
      </c>
    </row>
    <row r="2661" spans="1:14">
      <c r="A2661" s="62">
        <v>2023</v>
      </c>
      <c r="B2661" s="62">
        <v>1</v>
      </c>
      <c r="C2661" s="62" t="s">
        <v>8</v>
      </c>
      <c r="D2661" s="62" t="s">
        <v>3</v>
      </c>
      <c r="E2661" s="62">
        <v>323.7198</v>
      </c>
      <c r="F2661" s="62">
        <v>60.73849999999999</v>
      </c>
      <c r="I2661" s="62">
        <v>2021</v>
      </c>
      <c r="J2661" s="62">
        <v>7</v>
      </c>
      <c r="K2661" s="62" t="s">
        <v>20</v>
      </c>
      <c r="L2661" s="62" t="s">
        <v>2</v>
      </c>
      <c r="M2661" s="62">
        <v>119.9475</v>
      </c>
      <c r="N2661" s="62">
        <v>101.955375</v>
      </c>
    </row>
    <row r="2662" spans="1:14">
      <c r="A2662" s="62">
        <v>2023</v>
      </c>
      <c r="B2662" s="62">
        <v>2</v>
      </c>
      <c r="C2662" s="62" t="s">
        <v>8</v>
      </c>
      <c r="D2662" s="62" t="s">
        <v>3</v>
      </c>
      <c r="E2662" s="62">
        <v>597.7217000000001</v>
      </c>
      <c r="F2662" s="62">
        <v>124.885125</v>
      </c>
      <c r="I2662" s="62">
        <v>2021</v>
      </c>
      <c r="J2662" s="62">
        <v>8</v>
      </c>
      <c r="K2662" s="62" t="s">
        <v>20</v>
      </c>
      <c r="L2662" s="62" t="s">
        <v>2</v>
      </c>
      <c r="M2662" s="62">
        <v>163.472</v>
      </c>
      <c r="N2662" s="62">
        <v>138.9512</v>
      </c>
    </row>
    <row r="2663" spans="1:14">
      <c r="A2663" s="62">
        <v>2023</v>
      </c>
      <c r="B2663" s="62">
        <v>3</v>
      </c>
      <c r="C2663" s="62" t="s">
        <v>8</v>
      </c>
      <c r="D2663" s="62" t="s">
        <v>3</v>
      </c>
      <c r="E2663" s="62">
        <v>483.6194</v>
      </c>
      <c r="F2663" s="62">
        <v>104.6575</v>
      </c>
      <c r="I2663" s="62">
        <v>2021</v>
      </c>
      <c r="J2663" s="62">
        <v>9</v>
      </c>
      <c r="K2663" s="62" t="s">
        <v>20</v>
      </c>
      <c r="L2663" s="62" t="s">
        <v>2</v>
      </c>
      <c r="M2663" s="62">
        <v>237.617</v>
      </c>
      <c r="N2663" s="62">
        <v>201.97445</v>
      </c>
    </row>
    <row r="2664" spans="1:14">
      <c r="A2664" s="62">
        <v>2023</v>
      </c>
      <c r="B2664" s="62">
        <v>4</v>
      </c>
      <c r="C2664" s="62" t="s">
        <v>8</v>
      </c>
      <c r="D2664" s="62" t="s">
        <v>3</v>
      </c>
      <c r="E2664" s="62">
        <v>196.195</v>
      </c>
      <c r="F2664" s="62">
        <v>44.49625</v>
      </c>
      <c r="I2664" s="62">
        <v>2021</v>
      </c>
      <c r="J2664" s="62">
        <v>10</v>
      </c>
      <c r="K2664" s="62" t="s">
        <v>20</v>
      </c>
      <c r="L2664" s="62" t="s">
        <v>2</v>
      </c>
      <c r="M2664" s="62">
        <v>283.374</v>
      </c>
      <c r="N2664" s="62">
        <v>240.8679</v>
      </c>
    </row>
    <row r="2665" spans="1:14">
      <c r="A2665" s="62">
        <v>2023</v>
      </c>
      <c r="B2665" s="62">
        <v>5</v>
      </c>
      <c r="C2665" s="62" t="s">
        <v>8</v>
      </c>
      <c r="D2665" s="62" t="s">
        <v>3</v>
      </c>
      <c r="E2665" s="62">
        <v>188.155</v>
      </c>
      <c r="F2665" s="62">
        <v>60.53675</v>
      </c>
      <c r="I2665" s="62">
        <v>2021</v>
      </c>
      <c r="J2665" s="62">
        <v>11</v>
      </c>
      <c r="K2665" s="62" t="s">
        <v>20</v>
      </c>
      <c r="L2665" s="62" t="s">
        <v>2</v>
      </c>
      <c r="M2665" s="62">
        <v>105.44</v>
      </c>
      <c r="N2665" s="62">
        <v>89.62400000000001</v>
      </c>
    </row>
    <row r="2666" spans="1:14">
      <c r="A2666" s="62">
        <v>2023</v>
      </c>
      <c r="B2666" s="62">
        <v>6</v>
      </c>
      <c r="C2666" s="62" t="s">
        <v>8</v>
      </c>
      <c r="D2666" s="62" t="s">
        <v>3</v>
      </c>
      <c r="E2666" s="62">
        <v>38.1712</v>
      </c>
      <c r="F2666" s="62">
        <v>7.43481</v>
      </c>
      <c r="I2666" s="62">
        <v>2021</v>
      </c>
      <c r="J2666" s="62">
        <v>12</v>
      </c>
      <c r="K2666" s="62" t="s">
        <v>20</v>
      </c>
      <c r="L2666" s="62" t="s">
        <v>2</v>
      </c>
      <c r="M2666" s="62">
        <v>58.1</v>
      </c>
      <c r="N2666" s="62">
        <v>49.38500000000001</v>
      </c>
    </row>
    <row r="2667" spans="1:14">
      <c r="A2667" s="62">
        <v>2023</v>
      </c>
      <c r="B2667" s="62">
        <v>7</v>
      </c>
      <c r="C2667" s="62" t="s">
        <v>8</v>
      </c>
      <c r="D2667" s="62" t="s">
        <v>3</v>
      </c>
      <c r="E2667" s="62">
        <v>96.7664</v>
      </c>
      <c r="F2667" s="62">
        <v>24.09637</v>
      </c>
      <c r="I2667" s="62">
        <v>2022</v>
      </c>
      <c r="J2667" s="62">
        <v>1</v>
      </c>
      <c r="K2667" s="62" t="s">
        <v>20</v>
      </c>
      <c r="L2667" s="62" t="s">
        <v>2</v>
      </c>
      <c r="M2667" s="62">
        <v>106.625</v>
      </c>
      <c r="N2667" s="62">
        <v>90.63125000000001</v>
      </c>
    </row>
    <row r="2668" spans="1:14">
      <c r="A2668" s="62">
        <v>2023</v>
      </c>
      <c r="B2668" s="62">
        <v>8</v>
      </c>
      <c r="C2668" s="62" t="s">
        <v>8</v>
      </c>
      <c r="D2668" s="62" t="s">
        <v>3</v>
      </c>
      <c r="E2668" s="62">
        <v>87.715</v>
      </c>
      <c r="F2668" s="62">
        <v>40.1985</v>
      </c>
      <c r="I2668" s="62">
        <v>2022</v>
      </c>
      <c r="J2668" s="62">
        <v>2</v>
      </c>
      <c r="K2668" s="62" t="s">
        <v>20</v>
      </c>
      <c r="L2668" s="62" t="s">
        <v>2</v>
      </c>
      <c r="M2668" s="62">
        <v>128.69</v>
      </c>
      <c r="N2668" s="62">
        <v>109.3865</v>
      </c>
    </row>
    <row r="2669" spans="1:14">
      <c r="A2669" s="62">
        <v>2023</v>
      </c>
      <c r="B2669" s="62">
        <v>9</v>
      </c>
      <c r="C2669" s="62" t="s">
        <v>8</v>
      </c>
      <c r="D2669" s="62" t="s">
        <v>3</v>
      </c>
      <c r="E2669" s="62">
        <v>39.195</v>
      </c>
      <c r="F2669" s="62">
        <v>9.981750000000002</v>
      </c>
      <c r="I2669" s="62">
        <v>2022</v>
      </c>
      <c r="J2669" s="62">
        <v>3</v>
      </c>
      <c r="K2669" s="62" t="s">
        <v>20</v>
      </c>
      <c r="L2669" s="62" t="s">
        <v>2</v>
      </c>
      <c r="M2669" s="62">
        <v>156.525</v>
      </c>
      <c r="N2669" s="62">
        <v>133.04625</v>
      </c>
    </row>
    <row r="2670" spans="1:14">
      <c r="A2670" s="62">
        <v>2023</v>
      </c>
      <c r="B2670" s="62">
        <v>10</v>
      </c>
      <c r="C2670" s="62" t="s">
        <v>8</v>
      </c>
      <c r="D2670" s="62" t="s">
        <v>3</v>
      </c>
      <c r="E2670" s="62">
        <v>252.87</v>
      </c>
      <c r="F2670" s="62">
        <v>47.063125</v>
      </c>
      <c r="I2670" s="62">
        <v>2022</v>
      </c>
      <c r="J2670" s="62">
        <v>4</v>
      </c>
      <c r="K2670" s="62" t="s">
        <v>20</v>
      </c>
      <c r="L2670" s="62" t="s">
        <v>2</v>
      </c>
      <c r="M2670" s="62">
        <v>208.279</v>
      </c>
      <c r="N2670" s="62">
        <v>177.03715</v>
      </c>
    </row>
    <row r="2671" spans="1:14">
      <c r="A2671" s="62">
        <v>2023</v>
      </c>
      <c r="B2671" s="62">
        <v>11</v>
      </c>
      <c r="C2671" s="62" t="s">
        <v>8</v>
      </c>
      <c r="D2671" s="62" t="s">
        <v>3</v>
      </c>
      <c r="E2671" s="62">
        <v>359.57</v>
      </c>
      <c r="F2671" s="62">
        <v>104.21075</v>
      </c>
      <c r="I2671" s="62">
        <v>2022</v>
      </c>
      <c r="J2671" s="62">
        <v>5</v>
      </c>
      <c r="K2671" s="62" t="s">
        <v>20</v>
      </c>
      <c r="L2671" s="62" t="s">
        <v>2</v>
      </c>
      <c r="M2671" s="62">
        <v>157.775</v>
      </c>
      <c r="N2671" s="62">
        <v>134.10875</v>
      </c>
    </row>
    <row r="2672" spans="1:14">
      <c r="A2672" s="62">
        <v>2023</v>
      </c>
      <c r="B2672" s="62">
        <v>12</v>
      </c>
      <c r="C2672" s="62" t="s">
        <v>8</v>
      </c>
      <c r="D2672" s="62" t="s">
        <v>3</v>
      </c>
      <c r="E2672" s="62">
        <v>208.929</v>
      </c>
      <c r="F2672" s="62">
        <v>46.075</v>
      </c>
      <c r="I2672" s="62">
        <v>2022</v>
      </c>
      <c r="J2672" s="62">
        <v>6</v>
      </c>
      <c r="K2672" s="62" t="s">
        <v>20</v>
      </c>
      <c r="L2672" s="62" t="s">
        <v>2</v>
      </c>
      <c r="M2672" s="62">
        <v>110.485</v>
      </c>
      <c r="N2672" s="62">
        <v>93.91225</v>
      </c>
    </row>
    <row r="2673" spans="1:14">
      <c r="A2673" s="62">
        <v>2024</v>
      </c>
      <c r="B2673" s="62">
        <v>1</v>
      </c>
      <c r="C2673" s="62" t="s">
        <v>8</v>
      </c>
      <c r="D2673" s="62" t="s">
        <v>3</v>
      </c>
      <c r="E2673" s="62">
        <v>169.5</v>
      </c>
      <c r="F2673" s="62">
        <v>56.178</v>
      </c>
      <c r="I2673" s="62">
        <v>2022</v>
      </c>
      <c r="J2673" s="62">
        <v>7</v>
      </c>
      <c r="K2673" s="62" t="s">
        <v>20</v>
      </c>
      <c r="L2673" s="62" t="s">
        <v>2</v>
      </c>
      <c r="M2673" s="62">
        <v>127.885</v>
      </c>
      <c r="N2673" s="62">
        <v>108.70225</v>
      </c>
    </row>
    <row r="2674" spans="1:14">
      <c r="A2674" s="62">
        <v>2024</v>
      </c>
      <c r="B2674" s="62">
        <v>2</v>
      </c>
      <c r="C2674" s="62" t="s">
        <v>8</v>
      </c>
      <c r="D2674" s="62" t="s">
        <v>3</v>
      </c>
      <c r="E2674" s="62">
        <v>633.6985</v>
      </c>
      <c r="F2674" s="62">
        <v>199.402975</v>
      </c>
      <c r="I2674" s="62">
        <v>2022</v>
      </c>
      <c r="J2674" s="62">
        <v>8</v>
      </c>
      <c r="K2674" s="62" t="s">
        <v>20</v>
      </c>
      <c r="L2674" s="62" t="s">
        <v>2</v>
      </c>
      <c r="M2674" s="62">
        <v>58.04</v>
      </c>
      <c r="N2674" s="62">
        <v>49.334</v>
      </c>
    </row>
    <row r="2675" spans="1:14">
      <c r="A2675" s="62">
        <v>2024</v>
      </c>
      <c r="B2675" s="62">
        <v>3</v>
      </c>
      <c r="C2675" s="62" t="s">
        <v>8</v>
      </c>
      <c r="D2675" s="62" t="s">
        <v>3</v>
      </c>
      <c r="E2675" s="62">
        <v>236.837</v>
      </c>
      <c r="F2675" s="62">
        <v>52.5242</v>
      </c>
      <c r="I2675" s="62">
        <v>2022</v>
      </c>
      <c r="J2675" s="62">
        <v>9</v>
      </c>
      <c r="K2675" s="62" t="s">
        <v>20</v>
      </c>
      <c r="L2675" s="62" t="s">
        <v>2</v>
      </c>
      <c r="M2675" s="62">
        <v>114.101</v>
      </c>
      <c r="N2675" s="62">
        <v>96.98585</v>
      </c>
    </row>
    <row r="2676" spans="1:14">
      <c r="A2676" s="62">
        <v>2024</v>
      </c>
      <c r="B2676" s="62">
        <v>4</v>
      </c>
      <c r="C2676" s="62" t="s">
        <v>8</v>
      </c>
      <c r="D2676" s="62" t="s">
        <v>3</v>
      </c>
      <c r="E2676" s="62">
        <v>322.985</v>
      </c>
      <c r="F2676" s="62">
        <v>75.71944999999999</v>
      </c>
      <c r="I2676" s="62">
        <v>2022</v>
      </c>
      <c r="J2676" s="62">
        <v>10</v>
      </c>
      <c r="K2676" s="62" t="s">
        <v>20</v>
      </c>
      <c r="L2676" s="62" t="s">
        <v>2</v>
      </c>
      <c r="M2676" s="62">
        <v>193.331</v>
      </c>
      <c r="N2676" s="62">
        <v>164.33135</v>
      </c>
    </row>
    <row r="2677" spans="1:14">
      <c r="A2677" s="62">
        <v>2024</v>
      </c>
      <c r="B2677" s="62">
        <v>5</v>
      </c>
      <c r="C2677" s="62" t="s">
        <v>8</v>
      </c>
      <c r="D2677" s="62" t="s">
        <v>3</v>
      </c>
      <c r="E2677" s="62">
        <v>137.62</v>
      </c>
      <c r="F2677" s="62">
        <v>22.4535</v>
      </c>
      <c r="I2677" s="62">
        <v>2022</v>
      </c>
      <c r="J2677" s="62">
        <v>11</v>
      </c>
      <c r="K2677" s="62" t="s">
        <v>20</v>
      </c>
      <c r="L2677" s="62" t="s">
        <v>2</v>
      </c>
      <c r="M2677" s="62">
        <v>116.22</v>
      </c>
      <c r="N2677" s="62">
        <v>98.78700000000001</v>
      </c>
    </row>
    <row r="2678" spans="1:14">
      <c r="A2678" s="62">
        <v>2024</v>
      </c>
      <c r="B2678" s="62">
        <v>6</v>
      </c>
      <c r="C2678" s="62" t="s">
        <v>8</v>
      </c>
      <c r="D2678" s="62" t="s">
        <v>3</v>
      </c>
      <c r="E2678" s="62">
        <v>262.91</v>
      </c>
      <c r="F2678" s="62">
        <v>94.70175</v>
      </c>
      <c r="I2678" s="62">
        <v>2022</v>
      </c>
      <c r="J2678" s="62">
        <v>12</v>
      </c>
      <c r="K2678" s="62" t="s">
        <v>20</v>
      </c>
      <c r="L2678" s="62" t="s">
        <v>2</v>
      </c>
      <c r="M2678" s="62">
        <v>67.01000000000001</v>
      </c>
      <c r="N2678" s="62">
        <v>56.9585</v>
      </c>
    </row>
    <row r="2679" spans="1:14">
      <c r="A2679" s="62">
        <v>2024</v>
      </c>
      <c r="B2679" s="62">
        <v>7</v>
      </c>
      <c r="C2679" s="62" t="s">
        <v>8</v>
      </c>
      <c r="D2679" s="62" t="s">
        <v>3</v>
      </c>
      <c r="E2679" s="62">
        <v>37.76</v>
      </c>
      <c r="F2679" s="62">
        <v>10.567</v>
      </c>
      <c r="I2679" s="62">
        <v>2023</v>
      </c>
      <c r="J2679" s="62">
        <v>1</v>
      </c>
      <c r="K2679" s="62" t="s">
        <v>20</v>
      </c>
      <c r="L2679" s="62" t="s">
        <v>2</v>
      </c>
      <c r="M2679" s="62">
        <v>146.745</v>
      </c>
      <c r="N2679" s="62">
        <v>124.73325</v>
      </c>
    </row>
    <row r="2680" spans="1:14">
      <c r="A2680" s="62">
        <v>2024</v>
      </c>
      <c r="B2680" s="62">
        <v>8</v>
      </c>
      <c r="C2680" s="62" t="s">
        <v>8</v>
      </c>
      <c r="D2680" s="62" t="s">
        <v>3</v>
      </c>
      <c r="E2680" s="62">
        <v>53.19</v>
      </c>
      <c r="F2680" s="62">
        <v>23.4045</v>
      </c>
      <c r="I2680" s="62">
        <v>2023</v>
      </c>
      <c r="J2680" s="62">
        <v>2</v>
      </c>
      <c r="K2680" s="62" t="s">
        <v>20</v>
      </c>
      <c r="L2680" s="62" t="s">
        <v>2</v>
      </c>
      <c r="M2680" s="62">
        <v>291.6</v>
      </c>
      <c r="N2680" s="62">
        <v>247.86</v>
      </c>
    </row>
    <row r="2681" spans="1:14">
      <c r="A2681" s="62">
        <v>2024</v>
      </c>
      <c r="B2681" s="62">
        <v>9</v>
      </c>
      <c r="C2681" s="62" t="s">
        <v>8</v>
      </c>
      <c r="D2681" s="62" t="s">
        <v>3</v>
      </c>
      <c r="E2681" s="62">
        <v>368.999</v>
      </c>
      <c r="F2681" s="62">
        <v>160.269</v>
      </c>
      <c r="I2681" s="62">
        <v>2023</v>
      </c>
      <c r="J2681" s="62">
        <v>3</v>
      </c>
      <c r="K2681" s="62" t="s">
        <v>20</v>
      </c>
      <c r="L2681" s="62" t="s">
        <v>2</v>
      </c>
      <c r="M2681" s="62">
        <v>264.446</v>
      </c>
      <c r="N2681" s="62">
        <v>224.7791</v>
      </c>
    </row>
    <row r="2682" spans="1:14">
      <c r="A2682" s="62">
        <v>2024</v>
      </c>
      <c r="B2682" s="62">
        <v>10</v>
      </c>
      <c r="C2682" s="62" t="s">
        <v>8</v>
      </c>
      <c r="D2682" s="62" t="s">
        <v>3</v>
      </c>
      <c r="E2682" s="62">
        <v>434.15</v>
      </c>
      <c r="F2682" s="62">
        <v>136.62425</v>
      </c>
      <c r="I2682" s="62">
        <v>2023</v>
      </c>
      <c r="J2682" s="62">
        <v>4</v>
      </c>
      <c r="K2682" s="62" t="s">
        <v>20</v>
      </c>
      <c r="L2682" s="62" t="s">
        <v>2</v>
      </c>
      <c r="M2682" s="62">
        <v>301.567</v>
      </c>
      <c r="N2682" s="62">
        <v>256.33195</v>
      </c>
    </row>
    <row r="2683" spans="1:14">
      <c r="A2683" s="62">
        <v>2024</v>
      </c>
      <c r="B2683" s="62">
        <v>11</v>
      </c>
      <c r="C2683" s="62" t="s">
        <v>8</v>
      </c>
      <c r="D2683" s="62" t="s">
        <v>3</v>
      </c>
      <c r="E2683" s="62">
        <v>195.12</v>
      </c>
      <c r="F2683" s="62">
        <v>53.22024999999999</v>
      </c>
      <c r="I2683" s="62">
        <v>2023</v>
      </c>
      <c r="J2683" s="62">
        <v>5</v>
      </c>
      <c r="K2683" s="62" t="s">
        <v>20</v>
      </c>
      <c r="L2683" s="62" t="s">
        <v>2</v>
      </c>
      <c r="M2683" s="62">
        <v>159.882</v>
      </c>
      <c r="N2683" s="62">
        <v>135.8997</v>
      </c>
    </row>
    <row r="2684" spans="1:14">
      <c r="A2684" s="62">
        <v>2024</v>
      </c>
      <c r="B2684" s="62">
        <v>12</v>
      </c>
      <c r="C2684" s="62" t="s">
        <v>8</v>
      </c>
      <c r="D2684" s="62" t="s">
        <v>3</v>
      </c>
      <c r="E2684" s="62">
        <v>157.14</v>
      </c>
      <c r="F2684" s="62">
        <v>33.96</v>
      </c>
      <c r="I2684" s="62">
        <v>2023</v>
      </c>
      <c r="J2684" s="62">
        <v>6</v>
      </c>
      <c r="K2684" s="62" t="s">
        <v>20</v>
      </c>
      <c r="L2684" s="62" t="s">
        <v>2</v>
      </c>
      <c r="M2684" s="62">
        <v>14.658</v>
      </c>
      <c r="N2684" s="62">
        <v>12.4593</v>
      </c>
    </row>
    <row r="2685" spans="1:14">
      <c r="A2685" s="62">
        <v>2025</v>
      </c>
      <c r="B2685" s="62">
        <v>1</v>
      </c>
      <c r="C2685" s="62" t="s">
        <v>8</v>
      </c>
      <c r="D2685" s="62" t="s">
        <v>3</v>
      </c>
      <c r="E2685" s="62">
        <v>269.22</v>
      </c>
      <c r="F2685" s="62">
        <v>41.34575</v>
      </c>
      <c r="I2685" s="62">
        <v>2023</v>
      </c>
      <c r="J2685" s="62">
        <v>7</v>
      </c>
      <c r="K2685" s="62" t="s">
        <v>20</v>
      </c>
      <c r="L2685" s="62" t="s">
        <v>2</v>
      </c>
      <c r="M2685" s="62">
        <v>6.935</v>
      </c>
      <c r="N2685" s="62">
        <v>5.894749999999999</v>
      </c>
    </row>
    <row r="2686" spans="1:14">
      <c r="A2686" s="62">
        <v>2025</v>
      </c>
      <c r="B2686" s="62">
        <v>2</v>
      </c>
      <c r="C2686" s="62" t="s">
        <v>8</v>
      </c>
      <c r="D2686" s="62" t="s">
        <v>3</v>
      </c>
      <c r="E2686" s="62">
        <v>777.3150000000001</v>
      </c>
      <c r="F2686" s="62">
        <v>110.639375</v>
      </c>
      <c r="I2686" s="62">
        <v>2023</v>
      </c>
      <c r="J2686" s="62">
        <v>8</v>
      </c>
      <c r="K2686" s="62" t="s">
        <v>20</v>
      </c>
      <c r="L2686" s="62" t="s">
        <v>2</v>
      </c>
      <c r="M2686" s="62">
        <v>52.3</v>
      </c>
      <c r="N2686" s="62">
        <v>44.455</v>
      </c>
    </row>
    <row r="2687" spans="1:14">
      <c r="A2687" s="62">
        <v>2025</v>
      </c>
      <c r="B2687" s="62">
        <v>3</v>
      </c>
      <c r="C2687" s="62" t="s">
        <v>8</v>
      </c>
      <c r="D2687" s="62" t="s">
        <v>3</v>
      </c>
      <c r="E2687" s="62">
        <v>1122.066</v>
      </c>
      <c r="F2687" s="62">
        <v>208.9168</v>
      </c>
      <c r="I2687" s="62">
        <v>2023</v>
      </c>
      <c r="J2687" s="62">
        <v>9</v>
      </c>
      <c r="K2687" s="62" t="s">
        <v>20</v>
      </c>
      <c r="L2687" s="62" t="s">
        <v>2</v>
      </c>
      <c r="M2687" s="62">
        <v>100.49</v>
      </c>
      <c r="N2687" s="62">
        <v>85.4165</v>
      </c>
    </row>
    <row r="2688" spans="1:14">
      <c r="A2688" s="62">
        <v>2025</v>
      </c>
      <c r="B2688" s="62">
        <v>4</v>
      </c>
      <c r="C2688" s="62" t="s">
        <v>8</v>
      </c>
      <c r="D2688" s="62" t="s">
        <v>3</v>
      </c>
      <c r="E2688" s="62">
        <v>1431.83</v>
      </c>
      <c r="F2688" s="62">
        <v>324.39425</v>
      </c>
      <c r="I2688" s="62">
        <v>2023</v>
      </c>
      <c r="J2688" s="62">
        <v>10</v>
      </c>
      <c r="K2688" s="62" t="s">
        <v>20</v>
      </c>
      <c r="L2688" s="62" t="s">
        <v>2</v>
      </c>
      <c r="M2688" s="62">
        <v>331.49</v>
      </c>
      <c r="N2688" s="62">
        <v>281.7665</v>
      </c>
    </row>
    <row r="2689" spans="1:14">
      <c r="A2689" s="62">
        <v>2025</v>
      </c>
      <c r="B2689" s="62">
        <v>5</v>
      </c>
      <c r="C2689" s="62" t="s">
        <v>8</v>
      </c>
      <c r="D2689" s="62" t="s">
        <v>3</v>
      </c>
      <c r="E2689" s="62">
        <v>863.3969999999999</v>
      </c>
      <c r="F2689" s="62">
        <v>191.38806</v>
      </c>
      <c r="I2689" s="62">
        <v>2023</v>
      </c>
      <c r="J2689" s="62">
        <v>11</v>
      </c>
      <c r="K2689" s="62" t="s">
        <v>20</v>
      </c>
      <c r="L2689" s="62" t="s">
        <v>2</v>
      </c>
      <c r="M2689" s="62">
        <v>182.17</v>
      </c>
      <c r="N2689" s="62">
        <v>154.8445</v>
      </c>
    </row>
    <row r="2690" spans="1:14">
      <c r="A2690" s="62">
        <v>2025</v>
      </c>
      <c r="B2690" s="62">
        <v>6</v>
      </c>
      <c r="C2690" s="62" t="s">
        <v>8</v>
      </c>
      <c r="D2690" s="62" t="s">
        <v>3</v>
      </c>
      <c r="E2690" s="62">
        <v>631.49</v>
      </c>
      <c r="F2690" s="62">
        <v>151.2765</v>
      </c>
      <c r="I2690" s="62">
        <v>2023</v>
      </c>
      <c r="J2690" s="62">
        <v>12</v>
      </c>
      <c r="K2690" s="62" t="s">
        <v>20</v>
      </c>
      <c r="L2690" s="62" t="s">
        <v>2</v>
      </c>
      <c r="M2690" s="62">
        <v>7</v>
      </c>
      <c r="N2690" s="62">
        <v>5.95</v>
      </c>
    </row>
    <row r="2691" spans="1:14">
      <c r="A2691" s="62">
        <v>2025</v>
      </c>
      <c r="B2691" s="62">
        <v>7</v>
      </c>
      <c r="C2691" s="62" t="s">
        <v>8</v>
      </c>
      <c r="D2691" s="62" t="s">
        <v>3</v>
      </c>
      <c r="E2691" s="62">
        <v>363.5</v>
      </c>
      <c r="F2691" s="62">
        <v>78.55574999999999</v>
      </c>
      <c r="I2691" s="62">
        <v>2024</v>
      </c>
      <c r="J2691" s="62">
        <v>1</v>
      </c>
      <c r="K2691" s="62" t="s">
        <v>20</v>
      </c>
      <c r="L2691" s="62" t="s">
        <v>2</v>
      </c>
      <c r="M2691" s="62">
        <v>165.055</v>
      </c>
      <c r="N2691" s="62">
        <v>140.29675</v>
      </c>
    </row>
    <row r="2692" spans="1:14">
      <c r="A2692" s="62">
        <v>2025</v>
      </c>
      <c r="B2692" s="62">
        <v>8</v>
      </c>
      <c r="C2692" s="62" t="s">
        <v>8</v>
      </c>
      <c r="D2692" s="62" t="s">
        <v>3</v>
      </c>
      <c r="E2692" s="62">
        <v>360.36</v>
      </c>
      <c r="F2692" s="62">
        <v>81.07374999999999</v>
      </c>
      <c r="I2692" s="62">
        <v>2024</v>
      </c>
      <c r="J2692" s="62">
        <v>2</v>
      </c>
      <c r="K2692" s="62" t="s">
        <v>20</v>
      </c>
      <c r="L2692" s="62" t="s">
        <v>2</v>
      </c>
      <c r="M2692" s="62">
        <v>358.25</v>
      </c>
      <c r="N2692" s="62">
        <v>304.5125</v>
      </c>
    </row>
    <row r="2693" spans="1:14">
      <c r="A2693" s="62">
        <v>2025</v>
      </c>
      <c r="B2693" s="62">
        <v>9</v>
      </c>
      <c r="C2693" s="62" t="s">
        <v>8</v>
      </c>
      <c r="D2693" s="62" t="s">
        <v>3</v>
      </c>
      <c r="E2693" s="62">
        <v>403.59</v>
      </c>
      <c r="F2693" s="62">
        <v>74.90525</v>
      </c>
      <c r="I2693" s="62">
        <v>2024</v>
      </c>
      <c r="J2693" s="62">
        <v>3</v>
      </c>
      <c r="K2693" s="62" t="s">
        <v>20</v>
      </c>
      <c r="L2693" s="62" t="s">
        <v>2</v>
      </c>
      <c r="M2693" s="62">
        <v>250.5308</v>
      </c>
      <c r="N2693" s="62">
        <v>212.95118</v>
      </c>
    </row>
    <row r="2694" spans="1:14">
      <c r="A2694" s="62">
        <v>2025</v>
      </c>
      <c r="B2694" s="62">
        <v>10</v>
      </c>
      <c r="C2694" s="62" t="s">
        <v>8</v>
      </c>
      <c r="D2694" s="62" t="s">
        <v>3</v>
      </c>
      <c r="E2694" s="62">
        <v>883.3128</v>
      </c>
      <c r="F2694" s="62">
        <v>199.3100975</v>
      </c>
      <c r="I2694" s="62">
        <v>2024</v>
      </c>
      <c r="J2694" s="62">
        <v>4</v>
      </c>
      <c r="K2694" s="62" t="s">
        <v>20</v>
      </c>
      <c r="L2694" s="62" t="s">
        <v>2</v>
      </c>
      <c r="M2694" s="62">
        <v>137.7309</v>
      </c>
      <c r="N2694" s="62">
        <v>117.071265</v>
      </c>
    </row>
    <row r="2695" spans="1:14">
      <c r="A2695" s="62">
        <v>2025</v>
      </c>
      <c r="B2695" s="62">
        <v>11</v>
      </c>
      <c r="C2695" s="62" t="s">
        <v>8</v>
      </c>
      <c r="D2695" s="62" t="s">
        <v>3</v>
      </c>
      <c r="E2695" s="62">
        <v>729.429</v>
      </c>
      <c r="F2695" s="62">
        <v>197.1184125</v>
      </c>
      <c r="I2695" s="62">
        <v>2024</v>
      </c>
      <c r="J2695" s="62">
        <v>5</v>
      </c>
      <c r="K2695" s="62" t="s">
        <v>20</v>
      </c>
      <c r="L2695" s="62" t="s">
        <v>2</v>
      </c>
      <c r="M2695" s="62">
        <v>109.91</v>
      </c>
      <c r="N2695" s="62">
        <v>93.42349999999999</v>
      </c>
    </row>
    <row r="2696" spans="1:14">
      <c r="A2696" s="62">
        <v>2025</v>
      </c>
      <c r="B2696" s="62">
        <v>12</v>
      </c>
      <c r="C2696" s="62" t="s">
        <v>8</v>
      </c>
      <c r="D2696" s="62" t="s">
        <v>3</v>
      </c>
      <c r="E2696" s="62">
        <v>626.7</v>
      </c>
      <c r="F2696" s="62">
        <v>112.757</v>
      </c>
      <c r="I2696" s="62">
        <v>2024</v>
      </c>
      <c r="J2696" s="62">
        <v>6</v>
      </c>
      <c r="K2696" s="62" t="s">
        <v>20</v>
      </c>
      <c r="L2696" s="62" t="s">
        <v>2</v>
      </c>
      <c r="M2696" s="62">
        <v>72.739</v>
      </c>
      <c r="N2696" s="62">
        <v>61.82815</v>
      </c>
    </row>
    <row r="2697" spans="1:14">
      <c r="A2697" s="62">
        <v>2026</v>
      </c>
      <c r="B2697" s="62">
        <v>1</v>
      </c>
      <c r="C2697" s="62" t="s">
        <v>8</v>
      </c>
      <c r="D2697" s="62" t="s">
        <v>3</v>
      </c>
      <c r="E2697" s="62">
        <v>320.38</v>
      </c>
      <c r="F2697" s="62">
        <v>87.40174999999999</v>
      </c>
      <c r="I2697" s="62">
        <v>2024</v>
      </c>
      <c r="J2697" s="62">
        <v>7</v>
      </c>
      <c r="K2697" s="62" t="s">
        <v>20</v>
      </c>
      <c r="L2697" s="62" t="s">
        <v>2</v>
      </c>
      <c r="M2697" s="62">
        <v>19.65</v>
      </c>
      <c r="N2697" s="62">
        <v>16.7025</v>
      </c>
    </row>
    <row r="2698" spans="1:14">
      <c r="A2698" s="62">
        <v>2026</v>
      </c>
      <c r="B2698" s="62">
        <v>2</v>
      </c>
      <c r="C2698" s="62" t="s">
        <v>8</v>
      </c>
      <c r="D2698" s="62" t="s">
        <v>3</v>
      </c>
      <c r="E2698" s="62">
        <v>364.98</v>
      </c>
      <c r="F2698" s="62">
        <v>113.53775</v>
      </c>
      <c r="I2698" s="62">
        <v>2024</v>
      </c>
      <c r="J2698" s="62">
        <v>8</v>
      </c>
      <c r="K2698" s="62" t="s">
        <v>20</v>
      </c>
      <c r="L2698" s="62" t="s">
        <v>2</v>
      </c>
      <c r="M2698" s="62">
        <v>34.54</v>
      </c>
      <c r="N2698" s="62">
        <v>29.359</v>
      </c>
    </row>
    <row r="2699" spans="1:14">
      <c r="A2699" s="62">
        <v>2026</v>
      </c>
      <c r="B2699" s="62">
        <v>3</v>
      </c>
      <c r="C2699" s="62" t="s">
        <v>8</v>
      </c>
      <c r="D2699" s="62" t="s">
        <v>3</v>
      </c>
      <c r="E2699" s="62">
        <v>287.466</v>
      </c>
      <c r="F2699" s="62">
        <v>78.4738375</v>
      </c>
      <c r="I2699" s="62">
        <v>2024</v>
      </c>
      <c r="J2699" s="62">
        <v>9</v>
      </c>
      <c r="K2699" s="62" t="s">
        <v>20</v>
      </c>
      <c r="L2699" s="62" t="s">
        <v>2</v>
      </c>
      <c r="M2699" s="62">
        <v>105.9175</v>
      </c>
      <c r="N2699" s="62">
        <v>90.029875</v>
      </c>
    </row>
    <row r="2700" spans="1:14">
      <c r="A2700" s="62">
        <v>2026</v>
      </c>
      <c r="B2700" s="62">
        <v>4</v>
      </c>
      <c r="C2700" s="62" t="s">
        <v>8</v>
      </c>
      <c r="D2700" s="62" t="s">
        <v>3</v>
      </c>
      <c r="E2700" s="62">
        <v>674.1609999999999</v>
      </c>
      <c r="F2700" s="62">
        <v>181.1142</v>
      </c>
      <c r="I2700" s="62">
        <v>2024</v>
      </c>
      <c r="J2700" s="62">
        <v>10</v>
      </c>
      <c r="K2700" s="62" t="s">
        <v>20</v>
      </c>
      <c r="L2700" s="62" t="s">
        <v>2</v>
      </c>
      <c r="M2700" s="62">
        <v>295.998</v>
      </c>
      <c r="N2700" s="62">
        <v>251.5983</v>
      </c>
    </row>
    <row r="2701" spans="1:14">
      <c r="A2701" s="62">
        <v>2026</v>
      </c>
      <c r="B2701" s="62">
        <v>5</v>
      </c>
      <c r="C2701" s="62" t="s">
        <v>8</v>
      </c>
      <c r="D2701" s="62" t="s">
        <v>3</v>
      </c>
      <c r="E2701" s="62">
        <v>198.49</v>
      </c>
      <c r="F2701" s="62">
        <v>59.731625</v>
      </c>
      <c r="I2701" s="62">
        <v>2024</v>
      </c>
      <c r="J2701" s="62">
        <v>11</v>
      </c>
      <c r="K2701" s="62" t="s">
        <v>20</v>
      </c>
      <c r="L2701" s="62" t="s">
        <v>2</v>
      </c>
      <c r="M2701" s="62">
        <v>122.2255</v>
      </c>
      <c r="N2701" s="62">
        <v>103.891675</v>
      </c>
    </row>
    <row r="2702" spans="1:14">
      <c r="I2702" s="62">
        <v>2024</v>
      </c>
      <c r="J2702" s="62">
        <v>12</v>
      </c>
      <c r="K2702" s="62" t="s">
        <v>20</v>
      </c>
      <c r="L2702" s="62" t="s">
        <v>2</v>
      </c>
      <c r="M2702" s="62">
        <v>3.64</v>
      </c>
      <c r="N2702" s="62">
        <v>3.094</v>
      </c>
    </row>
    <row r="2703" spans="1:14">
      <c r="I2703" s="62">
        <v>2025</v>
      </c>
      <c r="J2703" s="62">
        <v>1</v>
      </c>
      <c r="K2703" s="62" t="s">
        <v>20</v>
      </c>
      <c r="L2703" s="62" t="s">
        <v>2</v>
      </c>
      <c r="M2703" s="62">
        <v>78.46600000000001</v>
      </c>
      <c r="N2703" s="62">
        <v>66.6961</v>
      </c>
    </row>
    <row r="2704" spans="1:14">
      <c r="I2704" s="62">
        <v>2025</v>
      </c>
      <c r="J2704" s="62">
        <v>2</v>
      </c>
      <c r="K2704" s="62" t="s">
        <v>20</v>
      </c>
      <c r="L2704" s="62" t="s">
        <v>2</v>
      </c>
      <c r="M2704" s="62">
        <v>145.75</v>
      </c>
      <c r="N2704" s="62">
        <v>123.8875</v>
      </c>
    </row>
    <row r="2705" spans="9:14">
      <c r="I2705" s="62">
        <v>2025</v>
      </c>
      <c r="J2705" s="62">
        <v>3</v>
      </c>
      <c r="K2705" s="62" t="s">
        <v>20</v>
      </c>
      <c r="L2705" s="62" t="s">
        <v>2</v>
      </c>
      <c r="M2705" s="62">
        <v>160.432</v>
      </c>
      <c r="N2705" s="62">
        <v>136.3672</v>
      </c>
    </row>
    <row r="2706" spans="9:14">
      <c r="I2706" s="62">
        <v>2025</v>
      </c>
      <c r="J2706" s="62">
        <v>4</v>
      </c>
      <c r="K2706" s="62" t="s">
        <v>20</v>
      </c>
      <c r="L2706" s="62" t="s">
        <v>2</v>
      </c>
      <c r="M2706" s="62">
        <v>202.358</v>
      </c>
      <c r="N2706" s="62">
        <v>172.0043</v>
      </c>
    </row>
    <row r="2707" spans="9:14">
      <c r="I2707" s="62">
        <v>2025</v>
      </c>
      <c r="J2707" s="62">
        <v>5</v>
      </c>
      <c r="K2707" s="62" t="s">
        <v>20</v>
      </c>
      <c r="L2707" s="62" t="s">
        <v>2</v>
      </c>
      <c r="M2707" s="62">
        <v>113.691</v>
      </c>
      <c r="N2707" s="62">
        <v>96.63735</v>
      </c>
    </row>
    <row r="2708" spans="9:14">
      <c r="I2708" s="62">
        <v>2025</v>
      </c>
      <c r="J2708" s="62">
        <v>6</v>
      </c>
      <c r="K2708" s="62" t="s">
        <v>20</v>
      </c>
      <c r="L2708" s="62" t="s">
        <v>2</v>
      </c>
      <c r="M2708" s="62">
        <v>43.806</v>
      </c>
      <c r="N2708" s="62">
        <v>37.2351</v>
      </c>
    </row>
    <row r="2709" spans="9:14">
      <c r="I2709" s="62">
        <v>2025</v>
      </c>
      <c r="J2709" s="62">
        <v>7</v>
      </c>
      <c r="K2709" s="62" t="s">
        <v>20</v>
      </c>
      <c r="L2709" s="62" t="s">
        <v>2</v>
      </c>
      <c r="M2709" s="62">
        <v>8.968</v>
      </c>
      <c r="N2709" s="62">
        <v>7.6228</v>
      </c>
    </row>
    <row r="2710" spans="9:14">
      <c r="I2710" s="62">
        <v>2025</v>
      </c>
      <c r="J2710" s="62">
        <v>8</v>
      </c>
      <c r="K2710" s="62" t="s">
        <v>20</v>
      </c>
      <c r="L2710" s="62" t="s">
        <v>2</v>
      </c>
      <c r="M2710" s="62">
        <v>41.8</v>
      </c>
      <c r="N2710" s="62">
        <v>35.53</v>
      </c>
    </row>
    <row r="2711" spans="9:14">
      <c r="I2711" s="62">
        <v>2025</v>
      </c>
      <c r="J2711" s="62">
        <v>9</v>
      </c>
      <c r="K2711" s="62" t="s">
        <v>20</v>
      </c>
      <c r="L2711" s="62" t="s">
        <v>2</v>
      </c>
      <c r="M2711" s="62">
        <v>69.744</v>
      </c>
      <c r="N2711" s="62">
        <v>59.2824</v>
      </c>
    </row>
    <row r="2712" spans="9:14">
      <c r="I2712" s="62">
        <v>2025</v>
      </c>
      <c r="J2712" s="62">
        <v>10</v>
      </c>
      <c r="K2712" s="62" t="s">
        <v>20</v>
      </c>
      <c r="L2712" s="62" t="s">
        <v>2</v>
      </c>
      <c r="M2712" s="62">
        <v>201.016</v>
      </c>
      <c r="N2712" s="62">
        <v>170.8636</v>
      </c>
    </row>
    <row r="2713" spans="9:14">
      <c r="I2713" s="62">
        <v>2025</v>
      </c>
      <c r="J2713" s="62">
        <v>11</v>
      </c>
      <c r="K2713" s="62" t="s">
        <v>20</v>
      </c>
      <c r="L2713" s="62" t="s">
        <v>2</v>
      </c>
      <c r="M2713" s="62">
        <v>114.777</v>
      </c>
      <c r="N2713" s="62">
        <v>97.56045</v>
      </c>
    </row>
    <row r="2714" spans="9:14">
      <c r="I2714" s="62">
        <v>2026</v>
      </c>
      <c r="J2714" s="62">
        <v>1</v>
      </c>
      <c r="K2714" s="62" t="s">
        <v>20</v>
      </c>
      <c r="L2714" s="62" t="s">
        <v>2</v>
      </c>
      <c r="M2714" s="62">
        <v>44.665</v>
      </c>
      <c r="N2714" s="62">
        <v>37.96525</v>
      </c>
    </row>
    <row r="2715" spans="9:14">
      <c r="I2715" s="62">
        <v>2026</v>
      </c>
      <c r="J2715" s="62">
        <v>2</v>
      </c>
      <c r="K2715" s="62" t="s">
        <v>20</v>
      </c>
      <c r="L2715" s="62" t="s">
        <v>2</v>
      </c>
      <c r="M2715" s="62">
        <v>60.616</v>
      </c>
      <c r="N2715" s="62">
        <v>51.5236</v>
      </c>
    </row>
    <row r="2716" spans="9:14">
      <c r="I2716" s="62">
        <v>2026</v>
      </c>
      <c r="J2716" s="62">
        <v>3</v>
      </c>
      <c r="K2716" s="62" t="s">
        <v>20</v>
      </c>
      <c r="L2716" s="62" t="s">
        <v>2</v>
      </c>
      <c r="M2716" s="62">
        <v>85.93000000000001</v>
      </c>
      <c r="N2716" s="62">
        <v>73.04049999999999</v>
      </c>
    </row>
    <row r="2717" spans="9:14">
      <c r="I2717" s="62">
        <v>2026</v>
      </c>
      <c r="J2717" s="62">
        <v>4</v>
      </c>
      <c r="K2717" s="62" t="s">
        <v>20</v>
      </c>
      <c r="L2717" s="62" t="s">
        <v>2</v>
      </c>
      <c r="M2717" s="62">
        <v>92.17999999999999</v>
      </c>
      <c r="N2717" s="62">
        <v>78.35299999999999</v>
      </c>
    </row>
    <row r="2718" spans="9:14">
      <c r="I2718" s="62">
        <v>2026</v>
      </c>
      <c r="J2718" s="62">
        <v>5</v>
      </c>
      <c r="K2718" s="62" t="s">
        <v>20</v>
      </c>
      <c r="L2718" s="62" t="s">
        <v>2</v>
      </c>
      <c r="M2718" s="62">
        <v>51.27</v>
      </c>
      <c r="N2718" s="62">
        <v>43.5795</v>
      </c>
    </row>
    <row r="2719" spans="9:14">
      <c r="I2719" s="62">
        <v>2026</v>
      </c>
      <c r="J2719" s="62">
        <v>6</v>
      </c>
      <c r="K2719" s="62" t="s">
        <v>20</v>
      </c>
      <c r="L2719" s="62" t="s">
        <v>2</v>
      </c>
      <c r="M2719" s="62">
        <v>6.5</v>
      </c>
      <c r="N2719" s="62">
        <v>5.524999999999999</v>
      </c>
    </row>
    <row r="2720" spans="9:14">
      <c r="I2720" s="62">
        <v>2026</v>
      </c>
      <c r="J2720" s="62">
        <v>7</v>
      </c>
      <c r="K2720" s="62" t="s">
        <v>20</v>
      </c>
      <c r="L2720" s="62" t="s">
        <v>2</v>
      </c>
      <c r="M2720" s="62">
        <v>6.24</v>
      </c>
      <c r="N2720" s="62">
        <v>5.304</v>
      </c>
    </row>
    <row r="2721" spans="9:14">
      <c r="I2721" s="62">
        <v>2026</v>
      </c>
      <c r="J2721" s="62">
        <v>8</v>
      </c>
      <c r="K2721" s="62" t="s">
        <v>20</v>
      </c>
      <c r="L2721" s="62" t="s">
        <v>2</v>
      </c>
      <c r="M2721" s="62">
        <v>9.504999999999999</v>
      </c>
      <c r="N2721" s="62">
        <v>8.07925</v>
      </c>
    </row>
    <row r="2722" spans="9:14">
      <c r="I2722" s="62">
        <v>2026</v>
      </c>
      <c r="J2722" s="62">
        <v>9</v>
      </c>
      <c r="K2722" s="62" t="s">
        <v>20</v>
      </c>
      <c r="L2722" s="62" t="s">
        <v>2</v>
      </c>
      <c r="M2722" s="62">
        <v>137.55</v>
      </c>
      <c r="N2722" s="62">
        <v>116.9175</v>
      </c>
    </row>
    <row r="2723" spans="9:14">
      <c r="I2723" s="62">
        <v>2026</v>
      </c>
      <c r="J2723" s="62">
        <v>10</v>
      </c>
      <c r="K2723" s="62" t="s">
        <v>20</v>
      </c>
      <c r="L2723" s="62" t="s">
        <v>2</v>
      </c>
      <c r="M2723" s="62">
        <v>166.385</v>
      </c>
      <c r="N2723" s="62">
        <v>141.42725</v>
      </c>
    </row>
    <row r="2724" spans="9:14">
      <c r="I2724" s="62">
        <v>2026</v>
      </c>
      <c r="J2724" s="62">
        <v>11</v>
      </c>
      <c r="K2724" s="62" t="s">
        <v>20</v>
      </c>
      <c r="L2724" s="62" t="s">
        <v>2</v>
      </c>
      <c r="M2724" s="62">
        <v>68.09999999999999</v>
      </c>
      <c r="N2724" s="62">
        <v>57.885</v>
      </c>
    </row>
    <row r="2725" spans="9:14">
      <c r="I2725" s="62">
        <v>2027</v>
      </c>
      <c r="J2725" s="62">
        <v>1</v>
      </c>
      <c r="K2725" s="62" t="s">
        <v>20</v>
      </c>
      <c r="L2725" s="62" t="s">
        <v>2</v>
      </c>
      <c r="M2725" s="62">
        <v>29.125</v>
      </c>
      <c r="N2725" s="62">
        <v>24.75625</v>
      </c>
    </row>
    <row r="2726" spans="9:14">
      <c r="I2726" s="62">
        <v>2027</v>
      </c>
      <c r="J2726" s="62">
        <v>2</v>
      </c>
      <c r="K2726" s="62" t="s">
        <v>20</v>
      </c>
      <c r="L2726" s="62" t="s">
        <v>2</v>
      </c>
      <c r="M2726" s="62">
        <v>68.78</v>
      </c>
      <c r="N2726" s="62">
        <v>58.463</v>
      </c>
    </row>
    <row r="2727" spans="9:14">
      <c r="I2727" s="62">
        <v>2027</v>
      </c>
      <c r="J2727" s="62">
        <v>3</v>
      </c>
      <c r="K2727" s="62" t="s">
        <v>20</v>
      </c>
      <c r="L2727" s="62" t="s">
        <v>2</v>
      </c>
      <c r="M2727" s="62">
        <v>184.889</v>
      </c>
      <c r="N2727" s="62">
        <v>157.15565</v>
      </c>
    </row>
    <row r="2728" spans="9:14">
      <c r="I2728" s="62">
        <v>2027</v>
      </c>
      <c r="J2728" s="62">
        <v>4</v>
      </c>
      <c r="K2728" s="62" t="s">
        <v>20</v>
      </c>
      <c r="L2728" s="62" t="s">
        <v>2</v>
      </c>
      <c r="M2728" s="62">
        <v>96.235</v>
      </c>
      <c r="N2728" s="62">
        <v>81.79975</v>
      </c>
    </row>
    <row r="2729" spans="9:14">
      <c r="I2729" s="62">
        <v>2027</v>
      </c>
      <c r="J2729" s="62">
        <v>5</v>
      </c>
      <c r="K2729" s="62" t="s">
        <v>20</v>
      </c>
      <c r="L2729" s="62" t="s">
        <v>2</v>
      </c>
      <c r="M2729" s="62">
        <v>20.468</v>
      </c>
      <c r="N2729" s="62">
        <v>17.3978</v>
      </c>
    </row>
    <row r="2730" spans="9:14">
      <c r="I2730" s="62">
        <v>2027</v>
      </c>
      <c r="J2730" s="62">
        <v>6</v>
      </c>
      <c r="K2730" s="62" t="s">
        <v>20</v>
      </c>
      <c r="L2730" s="62" t="s">
        <v>2</v>
      </c>
      <c r="M2730" s="62">
        <v>0.3</v>
      </c>
      <c r="N2730" s="62">
        <v>0.255</v>
      </c>
    </row>
    <row r="2731" spans="9:14">
      <c r="I2731" s="62">
        <v>2027</v>
      </c>
      <c r="J2731" s="62">
        <v>9</v>
      </c>
      <c r="K2731" s="62" t="s">
        <v>20</v>
      </c>
      <c r="L2731" s="62" t="s">
        <v>2</v>
      </c>
      <c r="M2731" s="62">
        <v>112.05</v>
      </c>
      <c r="N2731" s="62">
        <v>95.24249999999999</v>
      </c>
    </row>
    <row r="2732" spans="9:14">
      <c r="I2732" s="62">
        <v>2027</v>
      </c>
      <c r="J2732" s="62">
        <v>10</v>
      </c>
      <c r="K2732" s="62" t="s">
        <v>20</v>
      </c>
      <c r="L2732" s="62" t="s">
        <v>2</v>
      </c>
      <c r="M2732" s="62">
        <v>109.945</v>
      </c>
      <c r="N2732" s="62">
        <v>93.45325</v>
      </c>
    </row>
    <row r="2733" spans="9:14">
      <c r="I2733" s="62">
        <v>2027</v>
      </c>
      <c r="J2733" s="62">
        <v>11</v>
      </c>
      <c r="K2733" s="62" t="s">
        <v>20</v>
      </c>
      <c r="L2733" s="62" t="s">
        <v>2</v>
      </c>
      <c r="M2733" s="62">
        <v>20.105</v>
      </c>
      <c r="N2733" s="62">
        <v>17.08925</v>
      </c>
    </row>
    <row r="2734" spans="9:14">
      <c r="I2734" s="62">
        <v>2014</v>
      </c>
      <c r="J2734" s="62">
        <v>1</v>
      </c>
      <c r="K2734" s="62" t="s">
        <v>20</v>
      </c>
      <c r="L2734" s="62" t="s">
        <v>3</v>
      </c>
      <c r="M2734" s="62">
        <v>63.69</v>
      </c>
      <c r="N2734" s="62">
        <v>54.1365</v>
      </c>
    </row>
    <row r="2735" spans="9:14">
      <c r="I2735" s="62">
        <v>2014</v>
      </c>
      <c r="J2735" s="62">
        <v>2</v>
      </c>
      <c r="K2735" s="62" t="s">
        <v>20</v>
      </c>
      <c r="L2735" s="62" t="s">
        <v>3</v>
      </c>
      <c r="M2735" s="62">
        <v>10.185</v>
      </c>
      <c r="N2735" s="62">
        <v>8.657249999999999</v>
      </c>
    </row>
    <row r="2736" spans="9:14">
      <c r="I2736" s="62">
        <v>2014</v>
      </c>
      <c r="J2736" s="62">
        <v>3</v>
      </c>
      <c r="K2736" s="62" t="s">
        <v>20</v>
      </c>
      <c r="L2736" s="62" t="s">
        <v>3</v>
      </c>
      <c r="M2736" s="62">
        <v>17.0082</v>
      </c>
      <c r="N2736" s="62">
        <v>14.45697</v>
      </c>
    </row>
    <row r="2737" spans="9:14">
      <c r="I2737" s="62">
        <v>2014</v>
      </c>
      <c r="J2737" s="62">
        <v>4</v>
      </c>
      <c r="K2737" s="62" t="s">
        <v>20</v>
      </c>
      <c r="L2737" s="62" t="s">
        <v>3</v>
      </c>
      <c r="M2737" s="62">
        <v>15.083</v>
      </c>
      <c r="N2737" s="62">
        <v>12.82055</v>
      </c>
    </row>
    <row r="2738" spans="9:14">
      <c r="I2738" s="62">
        <v>2014</v>
      </c>
      <c r="J2738" s="62">
        <v>5</v>
      </c>
      <c r="K2738" s="62" t="s">
        <v>20</v>
      </c>
      <c r="L2738" s="62" t="s">
        <v>3</v>
      </c>
      <c r="M2738" s="62">
        <v>35.896</v>
      </c>
      <c r="N2738" s="62">
        <v>30.5116</v>
      </c>
    </row>
    <row r="2739" spans="9:14">
      <c r="I2739" s="62">
        <v>2014</v>
      </c>
      <c r="J2739" s="62">
        <v>6</v>
      </c>
      <c r="K2739" s="62" t="s">
        <v>20</v>
      </c>
      <c r="L2739" s="62" t="s">
        <v>3</v>
      </c>
      <c r="M2739" s="62">
        <v>121.0024</v>
      </c>
      <c r="N2739" s="62">
        <v>102.85204</v>
      </c>
    </row>
    <row r="2740" spans="9:14">
      <c r="I2740" s="62">
        <v>2014</v>
      </c>
      <c r="J2740" s="62">
        <v>7</v>
      </c>
      <c r="K2740" s="62" t="s">
        <v>20</v>
      </c>
      <c r="L2740" s="62" t="s">
        <v>3</v>
      </c>
      <c r="M2740" s="62">
        <v>7.05</v>
      </c>
      <c r="N2740" s="62">
        <v>5.9925</v>
      </c>
    </row>
    <row r="2741" spans="9:14">
      <c r="I2741" s="62">
        <v>2014</v>
      </c>
      <c r="J2741" s="62">
        <v>8</v>
      </c>
      <c r="K2741" s="62" t="s">
        <v>20</v>
      </c>
      <c r="L2741" s="62" t="s">
        <v>3</v>
      </c>
      <c r="M2741" s="62">
        <v>24.537</v>
      </c>
      <c r="N2741" s="62">
        <v>20.85645</v>
      </c>
    </row>
    <row r="2742" spans="9:14">
      <c r="I2742" s="62">
        <v>2014</v>
      </c>
      <c r="J2742" s="62">
        <v>9</v>
      </c>
      <c r="K2742" s="62" t="s">
        <v>20</v>
      </c>
      <c r="L2742" s="62" t="s">
        <v>3</v>
      </c>
      <c r="M2742" s="62">
        <v>47.92</v>
      </c>
      <c r="N2742" s="62">
        <v>40.732</v>
      </c>
    </row>
    <row r="2743" spans="9:14">
      <c r="I2743" s="62">
        <v>2014</v>
      </c>
      <c r="J2743" s="62">
        <v>10</v>
      </c>
      <c r="K2743" s="62" t="s">
        <v>20</v>
      </c>
      <c r="L2743" s="62" t="s">
        <v>3</v>
      </c>
      <c r="M2743" s="62">
        <v>23.36</v>
      </c>
      <c r="N2743" s="62">
        <v>19.856</v>
      </c>
    </row>
    <row r="2744" spans="9:14">
      <c r="I2744" s="62">
        <v>2014</v>
      </c>
      <c r="J2744" s="62">
        <v>11</v>
      </c>
      <c r="K2744" s="62" t="s">
        <v>20</v>
      </c>
      <c r="L2744" s="62" t="s">
        <v>3</v>
      </c>
      <c r="M2744" s="62">
        <v>12.45</v>
      </c>
      <c r="N2744" s="62">
        <v>10.5825</v>
      </c>
    </row>
    <row r="2745" spans="9:14">
      <c r="I2745" s="62">
        <v>2014</v>
      </c>
      <c r="J2745" s="62">
        <v>12</v>
      </c>
      <c r="K2745" s="62" t="s">
        <v>20</v>
      </c>
      <c r="L2745" s="62" t="s">
        <v>3</v>
      </c>
      <c r="M2745" s="62">
        <v>23.4</v>
      </c>
      <c r="N2745" s="62">
        <v>19.89</v>
      </c>
    </row>
    <row r="2746" spans="9:14">
      <c r="I2746" s="62">
        <v>2015</v>
      </c>
      <c r="J2746" s="62">
        <v>1</v>
      </c>
      <c r="K2746" s="62" t="s">
        <v>20</v>
      </c>
      <c r="L2746" s="62" t="s">
        <v>3</v>
      </c>
      <c r="M2746" s="62">
        <v>81.765</v>
      </c>
      <c r="N2746" s="62">
        <v>69.50024999999999</v>
      </c>
    </row>
    <row r="2747" spans="9:14">
      <c r="I2747" s="62">
        <v>2015</v>
      </c>
      <c r="J2747" s="62">
        <v>2</v>
      </c>
      <c r="K2747" s="62" t="s">
        <v>20</v>
      </c>
      <c r="L2747" s="62" t="s">
        <v>3</v>
      </c>
      <c r="M2747" s="62">
        <v>23.12</v>
      </c>
      <c r="N2747" s="62">
        <v>19.652</v>
      </c>
    </row>
    <row r="2748" spans="9:14">
      <c r="I2748" s="62">
        <v>2015</v>
      </c>
      <c r="J2748" s="62">
        <v>3</v>
      </c>
      <c r="K2748" s="62" t="s">
        <v>20</v>
      </c>
      <c r="L2748" s="62" t="s">
        <v>3</v>
      </c>
      <c r="M2748" s="62">
        <v>26.62</v>
      </c>
      <c r="N2748" s="62">
        <v>22.627</v>
      </c>
    </row>
    <row r="2749" spans="9:14">
      <c r="I2749" s="62">
        <v>2015</v>
      </c>
      <c r="J2749" s="62">
        <v>4</v>
      </c>
      <c r="K2749" s="62" t="s">
        <v>20</v>
      </c>
      <c r="L2749" s="62" t="s">
        <v>3</v>
      </c>
      <c r="M2749" s="62">
        <v>39.367</v>
      </c>
      <c r="N2749" s="62">
        <v>33.46195</v>
      </c>
    </row>
    <row r="2750" spans="9:14">
      <c r="I2750" s="62">
        <v>2015</v>
      </c>
      <c r="J2750" s="62">
        <v>5</v>
      </c>
      <c r="K2750" s="62" t="s">
        <v>20</v>
      </c>
      <c r="L2750" s="62" t="s">
        <v>3</v>
      </c>
      <c r="M2750" s="62">
        <v>24.96</v>
      </c>
      <c r="N2750" s="62">
        <v>21.216</v>
      </c>
    </row>
    <row r="2751" spans="9:14">
      <c r="I2751" s="62">
        <v>2015</v>
      </c>
      <c r="J2751" s="62">
        <v>6</v>
      </c>
      <c r="K2751" s="62" t="s">
        <v>20</v>
      </c>
      <c r="L2751" s="62" t="s">
        <v>3</v>
      </c>
      <c r="M2751" s="62">
        <v>55.1516</v>
      </c>
      <c r="N2751" s="62">
        <v>46.87886</v>
      </c>
    </row>
    <row r="2752" spans="9:14">
      <c r="I2752" s="62">
        <v>2015</v>
      </c>
      <c r="J2752" s="62">
        <v>7</v>
      </c>
      <c r="K2752" s="62" t="s">
        <v>20</v>
      </c>
      <c r="L2752" s="62" t="s">
        <v>3</v>
      </c>
      <c r="M2752" s="62">
        <v>84.69</v>
      </c>
      <c r="N2752" s="62">
        <v>71.98649999999999</v>
      </c>
    </row>
    <row r="2753" spans="9:14">
      <c r="I2753" s="62">
        <v>2015</v>
      </c>
      <c r="J2753" s="62">
        <v>8</v>
      </c>
      <c r="K2753" s="62" t="s">
        <v>20</v>
      </c>
      <c r="L2753" s="62" t="s">
        <v>3</v>
      </c>
      <c r="M2753" s="62">
        <v>93.22</v>
      </c>
      <c r="N2753" s="62">
        <v>79.23699999999999</v>
      </c>
    </row>
    <row r="2754" spans="9:14">
      <c r="I2754" s="62">
        <v>2015</v>
      </c>
      <c r="J2754" s="62">
        <v>9</v>
      </c>
      <c r="K2754" s="62" t="s">
        <v>20</v>
      </c>
      <c r="L2754" s="62" t="s">
        <v>3</v>
      </c>
      <c r="M2754" s="62">
        <v>186.802</v>
      </c>
      <c r="N2754" s="62">
        <v>158.7817</v>
      </c>
    </row>
    <row r="2755" spans="9:14">
      <c r="I2755" s="62">
        <v>2015</v>
      </c>
      <c r="J2755" s="62">
        <v>10</v>
      </c>
      <c r="K2755" s="62" t="s">
        <v>20</v>
      </c>
      <c r="L2755" s="62" t="s">
        <v>3</v>
      </c>
      <c r="M2755" s="62">
        <v>119.33</v>
      </c>
      <c r="N2755" s="62">
        <v>101.4305</v>
      </c>
    </row>
    <row r="2756" spans="9:14">
      <c r="I2756" s="62">
        <v>2015</v>
      </c>
      <c r="J2756" s="62">
        <v>11</v>
      </c>
      <c r="K2756" s="62" t="s">
        <v>20</v>
      </c>
      <c r="L2756" s="62" t="s">
        <v>3</v>
      </c>
      <c r="M2756" s="62">
        <v>45.455</v>
      </c>
      <c r="N2756" s="62">
        <v>38.63675</v>
      </c>
    </row>
    <row r="2757" spans="9:14">
      <c r="I2757" s="62">
        <v>2015</v>
      </c>
      <c r="J2757" s="62">
        <v>12</v>
      </c>
      <c r="K2757" s="62" t="s">
        <v>20</v>
      </c>
      <c r="L2757" s="62" t="s">
        <v>3</v>
      </c>
      <c r="M2757" s="62">
        <v>44.52</v>
      </c>
      <c r="N2757" s="62">
        <v>37.842</v>
      </c>
    </row>
    <row r="2758" spans="9:14">
      <c r="I2758" s="62">
        <v>2016</v>
      </c>
      <c r="J2758" s="62">
        <v>1</v>
      </c>
      <c r="K2758" s="62" t="s">
        <v>20</v>
      </c>
      <c r="L2758" s="62" t="s">
        <v>3</v>
      </c>
      <c r="M2758" s="62">
        <v>162.504</v>
      </c>
      <c r="N2758" s="62">
        <v>138.1284</v>
      </c>
    </row>
    <row r="2759" spans="9:14">
      <c r="I2759" s="62">
        <v>2016</v>
      </c>
      <c r="J2759" s="62">
        <v>2</v>
      </c>
      <c r="K2759" s="62" t="s">
        <v>20</v>
      </c>
      <c r="L2759" s="62" t="s">
        <v>3</v>
      </c>
      <c r="M2759" s="62">
        <v>84.06999999999999</v>
      </c>
      <c r="N2759" s="62">
        <v>71.45950000000001</v>
      </c>
    </row>
    <row r="2760" spans="9:14">
      <c r="I2760" s="62">
        <v>2016</v>
      </c>
      <c r="J2760" s="62">
        <v>3</v>
      </c>
      <c r="K2760" s="62" t="s">
        <v>20</v>
      </c>
      <c r="L2760" s="62" t="s">
        <v>3</v>
      </c>
      <c r="M2760" s="62">
        <v>50.12</v>
      </c>
      <c r="N2760" s="62">
        <v>42.602</v>
      </c>
    </row>
    <row r="2761" spans="9:14">
      <c r="I2761" s="62">
        <v>2016</v>
      </c>
      <c r="J2761" s="62">
        <v>4</v>
      </c>
      <c r="K2761" s="62" t="s">
        <v>20</v>
      </c>
      <c r="L2761" s="62" t="s">
        <v>3</v>
      </c>
      <c r="M2761" s="62">
        <v>148.022</v>
      </c>
      <c r="N2761" s="62">
        <v>125.8187</v>
      </c>
    </row>
    <row r="2762" spans="9:14">
      <c r="I2762" s="62">
        <v>2016</v>
      </c>
      <c r="J2762" s="62">
        <v>5</v>
      </c>
      <c r="K2762" s="62" t="s">
        <v>20</v>
      </c>
      <c r="L2762" s="62" t="s">
        <v>3</v>
      </c>
      <c r="M2762" s="62">
        <v>132.1802</v>
      </c>
      <c r="N2762" s="62">
        <v>112.35317</v>
      </c>
    </row>
    <row r="2763" spans="9:14">
      <c r="I2763" s="62">
        <v>2016</v>
      </c>
      <c r="J2763" s="62">
        <v>6</v>
      </c>
      <c r="K2763" s="62" t="s">
        <v>20</v>
      </c>
      <c r="L2763" s="62" t="s">
        <v>3</v>
      </c>
      <c r="M2763" s="62">
        <v>50.12</v>
      </c>
      <c r="N2763" s="62">
        <v>42.602</v>
      </c>
    </row>
    <row r="2764" spans="9:14">
      <c r="I2764" s="62">
        <v>2016</v>
      </c>
      <c r="J2764" s="62">
        <v>7</v>
      </c>
      <c r="K2764" s="62" t="s">
        <v>20</v>
      </c>
      <c r="L2764" s="62" t="s">
        <v>3</v>
      </c>
      <c r="M2764" s="62">
        <v>10.24</v>
      </c>
      <c r="N2764" s="62">
        <v>8.703999999999999</v>
      </c>
    </row>
    <row r="2765" spans="9:14">
      <c r="I2765" s="62">
        <v>2016</v>
      </c>
      <c r="J2765" s="62">
        <v>8</v>
      </c>
      <c r="K2765" s="62" t="s">
        <v>20</v>
      </c>
      <c r="L2765" s="62" t="s">
        <v>3</v>
      </c>
      <c r="M2765" s="62">
        <v>92.425</v>
      </c>
      <c r="N2765" s="62">
        <v>78.56125</v>
      </c>
    </row>
    <row r="2766" spans="9:14">
      <c r="I2766" s="62">
        <v>2016</v>
      </c>
      <c r="J2766" s="62">
        <v>9</v>
      </c>
      <c r="K2766" s="62" t="s">
        <v>20</v>
      </c>
      <c r="L2766" s="62" t="s">
        <v>3</v>
      </c>
      <c r="M2766" s="62">
        <v>40.765</v>
      </c>
      <c r="N2766" s="62">
        <v>34.65025</v>
      </c>
    </row>
    <row r="2767" spans="9:14">
      <c r="I2767" s="62">
        <v>2016</v>
      </c>
      <c r="J2767" s="62">
        <v>10</v>
      </c>
      <c r="K2767" s="62" t="s">
        <v>20</v>
      </c>
      <c r="L2767" s="62" t="s">
        <v>3</v>
      </c>
      <c r="M2767" s="62">
        <v>79.54000000000001</v>
      </c>
      <c r="N2767" s="62">
        <v>67.60899999999999</v>
      </c>
    </row>
    <row r="2768" spans="9:14">
      <c r="I2768" s="62">
        <v>2016</v>
      </c>
      <c r="J2768" s="62">
        <v>11</v>
      </c>
      <c r="K2768" s="62" t="s">
        <v>20</v>
      </c>
      <c r="L2768" s="62" t="s">
        <v>3</v>
      </c>
      <c r="M2768" s="62">
        <v>68.42</v>
      </c>
      <c r="N2768" s="62">
        <v>58.157</v>
      </c>
    </row>
    <row r="2769" spans="9:14">
      <c r="I2769" s="62">
        <v>2016</v>
      </c>
      <c r="J2769" s="62">
        <v>12</v>
      </c>
      <c r="K2769" s="62" t="s">
        <v>20</v>
      </c>
      <c r="L2769" s="62" t="s">
        <v>3</v>
      </c>
      <c r="M2769" s="62">
        <v>47.97</v>
      </c>
      <c r="N2769" s="62">
        <v>40.7745</v>
      </c>
    </row>
    <row r="2770" spans="9:14">
      <c r="I2770" s="62">
        <v>2017</v>
      </c>
      <c r="J2770" s="62">
        <v>1</v>
      </c>
      <c r="K2770" s="62" t="s">
        <v>20</v>
      </c>
      <c r="L2770" s="62" t="s">
        <v>3</v>
      </c>
      <c r="M2770" s="62">
        <v>97.233</v>
      </c>
      <c r="N2770" s="62">
        <v>82.64805</v>
      </c>
    </row>
    <row r="2771" spans="9:14">
      <c r="I2771" s="62">
        <v>2017</v>
      </c>
      <c r="J2771" s="62">
        <v>2</v>
      </c>
      <c r="K2771" s="62" t="s">
        <v>20</v>
      </c>
      <c r="L2771" s="62" t="s">
        <v>3</v>
      </c>
      <c r="M2771" s="62">
        <v>100.77</v>
      </c>
      <c r="N2771" s="62">
        <v>85.6545</v>
      </c>
    </row>
    <row r="2772" spans="9:14">
      <c r="I2772" s="62">
        <v>2017</v>
      </c>
      <c r="J2772" s="62">
        <v>3</v>
      </c>
      <c r="K2772" s="62" t="s">
        <v>20</v>
      </c>
      <c r="L2772" s="62" t="s">
        <v>3</v>
      </c>
      <c r="M2772" s="62">
        <v>82.26000000000001</v>
      </c>
      <c r="N2772" s="62">
        <v>69.92099999999999</v>
      </c>
    </row>
    <row r="2773" spans="9:14">
      <c r="I2773" s="62">
        <v>2017</v>
      </c>
      <c r="J2773" s="62">
        <v>4</v>
      </c>
      <c r="K2773" s="62" t="s">
        <v>20</v>
      </c>
      <c r="L2773" s="62" t="s">
        <v>3</v>
      </c>
      <c r="M2773" s="62">
        <v>113.972</v>
      </c>
      <c r="N2773" s="62">
        <v>96.8762</v>
      </c>
    </row>
    <row r="2774" spans="9:14">
      <c r="I2774" s="62">
        <v>2017</v>
      </c>
      <c r="J2774" s="62">
        <v>5</v>
      </c>
      <c r="K2774" s="62" t="s">
        <v>20</v>
      </c>
      <c r="L2774" s="62" t="s">
        <v>3</v>
      </c>
      <c r="M2774" s="62">
        <v>77.77500000000001</v>
      </c>
      <c r="N2774" s="62">
        <v>66.10875</v>
      </c>
    </row>
    <row r="2775" spans="9:14">
      <c r="I2775" s="62">
        <v>2017</v>
      </c>
      <c r="J2775" s="62">
        <v>6</v>
      </c>
      <c r="K2775" s="62" t="s">
        <v>20</v>
      </c>
      <c r="L2775" s="62" t="s">
        <v>3</v>
      </c>
      <c r="M2775" s="62">
        <v>8.68</v>
      </c>
      <c r="N2775" s="62">
        <v>7.378</v>
      </c>
    </row>
    <row r="2776" spans="9:14">
      <c r="I2776" s="62">
        <v>2017</v>
      </c>
      <c r="J2776" s="62">
        <v>7</v>
      </c>
      <c r="K2776" s="62" t="s">
        <v>20</v>
      </c>
      <c r="L2776" s="62" t="s">
        <v>3</v>
      </c>
      <c r="M2776" s="62">
        <v>73.0292</v>
      </c>
      <c r="N2776" s="62">
        <v>62.07482</v>
      </c>
    </row>
    <row r="2777" spans="9:14">
      <c r="I2777" s="62">
        <v>2017</v>
      </c>
      <c r="J2777" s="62">
        <v>8</v>
      </c>
      <c r="K2777" s="62" t="s">
        <v>20</v>
      </c>
      <c r="L2777" s="62" t="s">
        <v>3</v>
      </c>
      <c r="M2777" s="62">
        <v>215.161</v>
      </c>
      <c r="N2777" s="62">
        <v>182.88685</v>
      </c>
    </row>
    <row r="2778" spans="9:14">
      <c r="I2778" s="62">
        <v>2017</v>
      </c>
      <c r="J2778" s="62">
        <v>9</v>
      </c>
      <c r="K2778" s="62" t="s">
        <v>20</v>
      </c>
      <c r="L2778" s="62" t="s">
        <v>3</v>
      </c>
      <c r="M2778" s="62">
        <v>711.803</v>
      </c>
      <c r="N2778" s="62">
        <v>605.03255</v>
      </c>
    </row>
    <row r="2779" spans="9:14">
      <c r="I2779" s="62">
        <v>2017</v>
      </c>
      <c r="J2779" s="62">
        <v>10</v>
      </c>
      <c r="K2779" s="62" t="s">
        <v>20</v>
      </c>
      <c r="L2779" s="62" t="s">
        <v>3</v>
      </c>
      <c r="M2779" s="62">
        <v>186.2101</v>
      </c>
      <c r="N2779" s="62">
        <v>158.278585</v>
      </c>
    </row>
    <row r="2780" spans="9:14">
      <c r="I2780" s="62">
        <v>2017</v>
      </c>
      <c r="J2780" s="62">
        <v>11</v>
      </c>
      <c r="K2780" s="62" t="s">
        <v>20</v>
      </c>
      <c r="L2780" s="62" t="s">
        <v>3</v>
      </c>
      <c r="M2780" s="62">
        <v>200.52</v>
      </c>
      <c r="N2780" s="62">
        <v>170.442</v>
      </c>
    </row>
    <row r="2781" spans="9:14">
      <c r="I2781" s="62">
        <v>2017</v>
      </c>
      <c r="J2781" s="62">
        <v>12</v>
      </c>
      <c r="K2781" s="62" t="s">
        <v>20</v>
      </c>
      <c r="L2781" s="62" t="s">
        <v>3</v>
      </c>
      <c r="M2781" s="62">
        <v>21.4</v>
      </c>
      <c r="N2781" s="62">
        <v>18.19</v>
      </c>
    </row>
    <row r="2782" spans="9:14">
      <c r="I2782" s="62">
        <v>2018</v>
      </c>
      <c r="J2782" s="62">
        <v>1</v>
      </c>
      <c r="K2782" s="62" t="s">
        <v>20</v>
      </c>
      <c r="L2782" s="62" t="s">
        <v>3</v>
      </c>
      <c r="M2782" s="62">
        <v>50.3</v>
      </c>
      <c r="N2782" s="62">
        <v>42.755</v>
      </c>
    </row>
    <row r="2783" spans="9:14">
      <c r="I2783" s="62">
        <v>2018</v>
      </c>
      <c r="J2783" s="62">
        <v>2</v>
      </c>
      <c r="K2783" s="62" t="s">
        <v>20</v>
      </c>
      <c r="L2783" s="62" t="s">
        <v>3</v>
      </c>
      <c r="M2783" s="62">
        <v>114.81</v>
      </c>
      <c r="N2783" s="62">
        <v>97.5885</v>
      </c>
    </row>
    <row r="2784" spans="9:14">
      <c r="I2784" s="62">
        <v>2018</v>
      </c>
      <c r="J2784" s="62">
        <v>3</v>
      </c>
      <c r="K2784" s="62" t="s">
        <v>20</v>
      </c>
      <c r="L2784" s="62" t="s">
        <v>3</v>
      </c>
      <c r="M2784" s="62">
        <v>97.08500000000001</v>
      </c>
      <c r="N2784" s="62">
        <v>82.52225</v>
      </c>
    </row>
    <row r="2785" spans="9:14">
      <c r="I2785" s="62">
        <v>2018</v>
      </c>
      <c r="J2785" s="62">
        <v>4</v>
      </c>
      <c r="K2785" s="62" t="s">
        <v>20</v>
      </c>
      <c r="L2785" s="62" t="s">
        <v>3</v>
      </c>
      <c r="M2785" s="62">
        <v>162.23</v>
      </c>
      <c r="N2785" s="62">
        <v>137.8955</v>
      </c>
    </row>
    <row r="2786" spans="9:14">
      <c r="I2786" s="62">
        <v>2018</v>
      </c>
      <c r="J2786" s="62">
        <v>5</v>
      </c>
      <c r="K2786" s="62" t="s">
        <v>20</v>
      </c>
      <c r="L2786" s="62" t="s">
        <v>3</v>
      </c>
      <c r="M2786" s="62">
        <v>61.953</v>
      </c>
      <c r="N2786" s="62">
        <v>52.66005</v>
      </c>
    </row>
    <row r="2787" spans="9:14">
      <c r="I2787" s="62">
        <v>2018</v>
      </c>
      <c r="J2787" s="62">
        <v>6</v>
      </c>
      <c r="K2787" s="62" t="s">
        <v>20</v>
      </c>
      <c r="L2787" s="62" t="s">
        <v>3</v>
      </c>
      <c r="M2787" s="62">
        <v>25.77</v>
      </c>
      <c r="N2787" s="62">
        <v>21.9045</v>
      </c>
    </row>
    <row r="2788" spans="9:14">
      <c r="I2788" s="62">
        <v>2018</v>
      </c>
      <c r="J2788" s="62">
        <v>7</v>
      </c>
      <c r="K2788" s="62" t="s">
        <v>20</v>
      </c>
      <c r="L2788" s="62" t="s">
        <v>3</v>
      </c>
      <c r="M2788" s="62">
        <v>74.916</v>
      </c>
      <c r="N2788" s="62">
        <v>63.6786</v>
      </c>
    </row>
    <row r="2789" spans="9:14">
      <c r="I2789" s="62">
        <v>2018</v>
      </c>
      <c r="J2789" s="62">
        <v>8</v>
      </c>
      <c r="K2789" s="62" t="s">
        <v>20</v>
      </c>
      <c r="L2789" s="62" t="s">
        <v>3</v>
      </c>
      <c r="M2789" s="62">
        <v>108.4</v>
      </c>
      <c r="N2789" s="62">
        <v>92.14</v>
      </c>
    </row>
    <row r="2790" spans="9:14">
      <c r="I2790" s="62">
        <v>2018</v>
      </c>
      <c r="J2790" s="62">
        <v>9</v>
      </c>
      <c r="K2790" s="62" t="s">
        <v>20</v>
      </c>
      <c r="L2790" s="62" t="s">
        <v>3</v>
      </c>
      <c r="M2790" s="62">
        <v>81.333</v>
      </c>
      <c r="N2790" s="62">
        <v>69.13305</v>
      </c>
    </row>
    <row r="2791" spans="9:14">
      <c r="I2791" s="62">
        <v>2018</v>
      </c>
      <c r="J2791" s="62">
        <v>10</v>
      </c>
      <c r="K2791" s="62" t="s">
        <v>20</v>
      </c>
      <c r="L2791" s="62" t="s">
        <v>3</v>
      </c>
      <c r="M2791" s="62">
        <v>110.4466</v>
      </c>
      <c r="N2791" s="62">
        <v>93.87961</v>
      </c>
    </row>
    <row r="2792" spans="9:14">
      <c r="I2792" s="62">
        <v>2018</v>
      </c>
      <c r="J2792" s="62">
        <v>11</v>
      </c>
      <c r="K2792" s="62" t="s">
        <v>20</v>
      </c>
      <c r="L2792" s="62" t="s">
        <v>3</v>
      </c>
      <c r="M2792" s="62">
        <v>64.1575</v>
      </c>
      <c r="N2792" s="62">
        <v>54.533875</v>
      </c>
    </row>
    <row r="2793" spans="9:14">
      <c r="I2793" s="62">
        <v>2018</v>
      </c>
      <c r="J2793" s="62">
        <v>12</v>
      </c>
      <c r="K2793" s="62" t="s">
        <v>20</v>
      </c>
      <c r="L2793" s="62" t="s">
        <v>3</v>
      </c>
      <c r="M2793" s="62">
        <v>63.085</v>
      </c>
      <c r="N2793" s="62">
        <v>53.62224999999999</v>
      </c>
    </row>
    <row r="2794" spans="9:14">
      <c r="I2794" s="62">
        <v>2019</v>
      </c>
      <c r="J2794" s="62">
        <v>1</v>
      </c>
      <c r="K2794" s="62" t="s">
        <v>20</v>
      </c>
      <c r="L2794" s="62" t="s">
        <v>3</v>
      </c>
      <c r="M2794" s="62">
        <v>198.928</v>
      </c>
      <c r="N2794" s="62">
        <v>169.0888</v>
      </c>
    </row>
    <row r="2795" spans="9:14">
      <c r="I2795" s="62">
        <v>2019</v>
      </c>
      <c r="J2795" s="62">
        <v>2</v>
      </c>
      <c r="K2795" s="62" t="s">
        <v>20</v>
      </c>
      <c r="L2795" s="62" t="s">
        <v>3</v>
      </c>
      <c r="M2795" s="62">
        <v>157.3858</v>
      </c>
      <c r="N2795" s="62">
        <v>133.77793</v>
      </c>
    </row>
    <row r="2796" spans="9:14">
      <c r="I2796" s="62">
        <v>2019</v>
      </c>
      <c r="J2796" s="62">
        <v>3</v>
      </c>
      <c r="K2796" s="62" t="s">
        <v>20</v>
      </c>
      <c r="L2796" s="62" t="s">
        <v>3</v>
      </c>
      <c r="M2796" s="62">
        <v>181.855</v>
      </c>
      <c r="N2796" s="62">
        <v>154.57675</v>
      </c>
    </row>
    <row r="2797" spans="9:14">
      <c r="I2797" s="62">
        <v>2019</v>
      </c>
      <c r="J2797" s="62">
        <v>4</v>
      </c>
      <c r="K2797" s="62" t="s">
        <v>20</v>
      </c>
      <c r="L2797" s="62" t="s">
        <v>3</v>
      </c>
      <c r="M2797" s="62">
        <v>103.868</v>
      </c>
      <c r="N2797" s="62">
        <v>88.2878</v>
      </c>
    </row>
    <row r="2798" spans="9:14">
      <c r="I2798" s="62">
        <v>2019</v>
      </c>
      <c r="J2798" s="62">
        <v>5</v>
      </c>
      <c r="K2798" s="62" t="s">
        <v>20</v>
      </c>
      <c r="L2798" s="62" t="s">
        <v>3</v>
      </c>
      <c r="M2798" s="62">
        <v>120.35</v>
      </c>
      <c r="N2798" s="62">
        <v>102.2975</v>
      </c>
    </row>
    <row r="2799" spans="9:14">
      <c r="I2799" s="62">
        <v>2019</v>
      </c>
      <c r="J2799" s="62">
        <v>6</v>
      </c>
      <c r="K2799" s="62" t="s">
        <v>20</v>
      </c>
      <c r="L2799" s="62" t="s">
        <v>3</v>
      </c>
      <c r="M2799" s="62">
        <v>126.99</v>
      </c>
      <c r="N2799" s="62">
        <v>107.9415</v>
      </c>
    </row>
    <row r="2800" spans="9:14">
      <c r="I2800" s="62">
        <v>2019</v>
      </c>
      <c r="J2800" s="62">
        <v>7</v>
      </c>
      <c r="K2800" s="62" t="s">
        <v>20</v>
      </c>
      <c r="L2800" s="62" t="s">
        <v>3</v>
      </c>
      <c r="M2800" s="62">
        <v>60.166</v>
      </c>
      <c r="N2800" s="62">
        <v>51.14109999999999</v>
      </c>
    </row>
    <row r="2801" spans="9:14">
      <c r="I2801" s="62">
        <v>2019</v>
      </c>
      <c r="J2801" s="62">
        <v>8</v>
      </c>
      <c r="K2801" s="62" t="s">
        <v>20</v>
      </c>
      <c r="L2801" s="62" t="s">
        <v>3</v>
      </c>
      <c r="M2801" s="62">
        <v>87.527</v>
      </c>
      <c r="N2801" s="62">
        <v>74.39794999999999</v>
      </c>
    </row>
    <row r="2802" spans="9:14">
      <c r="I2802" s="62">
        <v>2019</v>
      </c>
      <c r="J2802" s="62">
        <v>9</v>
      </c>
      <c r="K2802" s="62" t="s">
        <v>20</v>
      </c>
      <c r="L2802" s="62" t="s">
        <v>3</v>
      </c>
      <c r="M2802" s="62">
        <v>125.3</v>
      </c>
      <c r="N2802" s="62">
        <v>106.505</v>
      </c>
    </row>
    <row r="2803" spans="9:14">
      <c r="I2803" s="62">
        <v>2019</v>
      </c>
      <c r="J2803" s="62">
        <v>10</v>
      </c>
      <c r="K2803" s="62" t="s">
        <v>20</v>
      </c>
      <c r="L2803" s="62" t="s">
        <v>3</v>
      </c>
      <c r="M2803" s="62">
        <v>229.43</v>
      </c>
      <c r="N2803" s="62">
        <v>195.0155</v>
      </c>
    </row>
    <row r="2804" spans="9:14">
      <c r="I2804" s="62">
        <v>2019</v>
      </c>
      <c r="J2804" s="62">
        <v>11</v>
      </c>
      <c r="K2804" s="62" t="s">
        <v>20</v>
      </c>
      <c r="L2804" s="62" t="s">
        <v>3</v>
      </c>
      <c r="M2804" s="62">
        <v>157.282</v>
      </c>
      <c r="N2804" s="62">
        <v>133.6897</v>
      </c>
    </row>
    <row r="2805" spans="9:14">
      <c r="I2805" s="62">
        <v>2019</v>
      </c>
      <c r="J2805" s="62">
        <v>12</v>
      </c>
      <c r="K2805" s="62" t="s">
        <v>20</v>
      </c>
      <c r="L2805" s="62" t="s">
        <v>3</v>
      </c>
      <c r="M2805" s="62">
        <v>68.616</v>
      </c>
      <c r="N2805" s="62">
        <v>58.3236</v>
      </c>
    </row>
    <row r="2806" spans="9:14">
      <c r="I2806" s="62">
        <v>2020</v>
      </c>
      <c r="J2806" s="62">
        <v>1</v>
      </c>
      <c r="K2806" s="62" t="s">
        <v>20</v>
      </c>
      <c r="L2806" s="62" t="s">
        <v>3</v>
      </c>
      <c r="M2806" s="62">
        <v>127.276</v>
      </c>
      <c r="N2806" s="62">
        <v>108.1846</v>
      </c>
    </row>
    <row r="2807" spans="9:14">
      <c r="I2807" s="62">
        <v>2020</v>
      </c>
      <c r="J2807" s="62">
        <v>2</v>
      </c>
      <c r="K2807" s="62" t="s">
        <v>20</v>
      </c>
      <c r="L2807" s="62" t="s">
        <v>3</v>
      </c>
      <c r="M2807" s="62">
        <v>238.801</v>
      </c>
      <c r="N2807" s="62">
        <v>202.98085</v>
      </c>
    </row>
    <row r="2808" spans="9:14">
      <c r="I2808" s="62">
        <v>2020</v>
      </c>
      <c r="J2808" s="62">
        <v>3</v>
      </c>
      <c r="K2808" s="62" t="s">
        <v>20</v>
      </c>
      <c r="L2808" s="62" t="s">
        <v>3</v>
      </c>
      <c r="M2808" s="62">
        <v>307.7703</v>
      </c>
      <c r="N2808" s="62">
        <v>261.604755</v>
      </c>
    </row>
    <row r="2809" spans="9:14">
      <c r="I2809" s="62">
        <v>2020</v>
      </c>
      <c r="J2809" s="62">
        <v>4</v>
      </c>
      <c r="K2809" s="62" t="s">
        <v>20</v>
      </c>
      <c r="L2809" s="62" t="s">
        <v>3</v>
      </c>
      <c r="M2809" s="62">
        <v>868.1846</v>
      </c>
      <c r="N2809" s="62">
        <v>737.95691</v>
      </c>
    </row>
    <row r="2810" spans="9:14">
      <c r="I2810" s="62">
        <v>2020</v>
      </c>
      <c r="J2810" s="62">
        <v>5</v>
      </c>
      <c r="K2810" s="62" t="s">
        <v>20</v>
      </c>
      <c r="L2810" s="62" t="s">
        <v>3</v>
      </c>
      <c r="M2810" s="62">
        <v>965.4937</v>
      </c>
      <c r="N2810" s="62">
        <v>820.6696449999999</v>
      </c>
    </row>
    <row r="2811" spans="9:14">
      <c r="I2811" s="62">
        <v>2020</v>
      </c>
      <c r="J2811" s="62">
        <v>6</v>
      </c>
      <c r="K2811" s="62" t="s">
        <v>20</v>
      </c>
      <c r="L2811" s="62" t="s">
        <v>3</v>
      </c>
      <c r="M2811" s="62">
        <v>1036.7322</v>
      </c>
      <c r="N2811" s="62">
        <v>881.22237</v>
      </c>
    </row>
    <row r="2812" spans="9:14">
      <c r="I2812" s="62">
        <v>2020</v>
      </c>
      <c r="J2812" s="62">
        <v>7</v>
      </c>
      <c r="K2812" s="62" t="s">
        <v>20</v>
      </c>
      <c r="L2812" s="62" t="s">
        <v>3</v>
      </c>
      <c r="M2812" s="62">
        <v>977.4745</v>
      </c>
      <c r="N2812" s="62">
        <v>830.8533249999999</v>
      </c>
    </row>
    <row r="2813" spans="9:14">
      <c r="I2813" s="62">
        <v>2020</v>
      </c>
      <c r="J2813" s="62">
        <v>8</v>
      </c>
      <c r="K2813" s="62" t="s">
        <v>20</v>
      </c>
      <c r="L2813" s="62" t="s">
        <v>3</v>
      </c>
      <c r="M2813" s="62">
        <v>937.4348</v>
      </c>
      <c r="N2813" s="62">
        <v>796.81958</v>
      </c>
    </row>
    <row r="2814" spans="9:14">
      <c r="I2814" s="62">
        <v>2020</v>
      </c>
      <c r="J2814" s="62">
        <v>9</v>
      </c>
      <c r="K2814" s="62" t="s">
        <v>20</v>
      </c>
      <c r="L2814" s="62" t="s">
        <v>3</v>
      </c>
      <c r="M2814" s="62">
        <v>1078.1095</v>
      </c>
      <c r="N2814" s="62">
        <v>916.393075</v>
      </c>
    </row>
    <row r="2815" spans="9:14">
      <c r="I2815" s="62">
        <v>2020</v>
      </c>
      <c r="J2815" s="62">
        <v>10</v>
      </c>
      <c r="K2815" s="62" t="s">
        <v>20</v>
      </c>
      <c r="L2815" s="62" t="s">
        <v>3</v>
      </c>
      <c r="M2815" s="62">
        <v>1039.789</v>
      </c>
      <c r="N2815" s="62">
        <v>883.82065</v>
      </c>
    </row>
    <row r="2816" spans="9:14">
      <c r="I2816" s="62">
        <v>2020</v>
      </c>
      <c r="J2816" s="62">
        <v>11</v>
      </c>
      <c r="K2816" s="62" t="s">
        <v>20</v>
      </c>
      <c r="L2816" s="62" t="s">
        <v>3</v>
      </c>
      <c r="M2816" s="62">
        <v>804.7712</v>
      </c>
      <c r="N2816" s="62">
        <v>684.05552</v>
      </c>
    </row>
    <row r="2817" spans="9:14">
      <c r="I2817" s="62">
        <v>2020</v>
      </c>
      <c r="J2817" s="62">
        <v>12</v>
      </c>
      <c r="K2817" s="62" t="s">
        <v>20</v>
      </c>
      <c r="L2817" s="62" t="s">
        <v>3</v>
      </c>
      <c r="M2817" s="62">
        <v>811.8173</v>
      </c>
      <c r="N2817" s="62">
        <v>690.044705</v>
      </c>
    </row>
    <row r="2818" spans="9:14">
      <c r="I2818" s="62">
        <v>2021</v>
      </c>
      <c r="J2818" s="62">
        <v>1</v>
      </c>
      <c r="K2818" s="62" t="s">
        <v>20</v>
      </c>
      <c r="L2818" s="62" t="s">
        <v>3</v>
      </c>
      <c r="M2818" s="62">
        <v>793.8588</v>
      </c>
      <c r="N2818" s="62">
        <v>674.77998</v>
      </c>
    </row>
    <row r="2819" spans="9:14">
      <c r="I2819" s="62">
        <v>2021</v>
      </c>
      <c r="J2819" s="62">
        <v>2</v>
      </c>
      <c r="K2819" s="62" t="s">
        <v>20</v>
      </c>
      <c r="L2819" s="62" t="s">
        <v>3</v>
      </c>
      <c r="M2819" s="62">
        <v>1348.7593</v>
      </c>
      <c r="N2819" s="62">
        <v>1146.445405</v>
      </c>
    </row>
    <row r="2820" spans="9:14">
      <c r="I2820" s="62">
        <v>2021</v>
      </c>
      <c r="J2820" s="62">
        <v>3</v>
      </c>
      <c r="K2820" s="62" t="s">
        <v>20</v>
      </c>
      <c r="L2820" s="62" t="s">
        <v>3</v>
      </c>
      <c r="M2820" s="62">
        <v>815.6235</v>
      </c>
      <c r="N2820" s="62">
        <v>693.279975</v>
      </c>
    </row>
    <row r="2821" spans="9:14">
      <c r="I2821" s="62">
        <v>2021</v>
      </c>
      <c r="J2821" s="62">
        <v>4</v>
      </c>
      <c r="K2821" s="62" t="s">
        <v>20</v>
      </c>
      <c r="L2821" s="62" t="s">
        <v>3</v>
      </c>
      <c r="M2821" s="62">
        <v>417.3266</v>
      </c>
      <c r="N2821" s="62">
        <v>354.72761</v>
      </c>
    </row>
    <row r="2822" spans="9:14">
      <c r="I2822" s="62">
        <v>2021</v>
      </c>
      <c r="J2822" s="62">
        <v>5</v>
      </c>
      <c r="K2822" s="62" t="s">
        <v>20</v>
      </c>
      <c r="L2822" s="62" t="s">
        <v>3</v>
      </c>
      <c r="M2822" s="62">
        <v>272.246</v>
      </c>
      <c r="N2822" s="62">
        <v>231.4091</v>
      </c>
    </row>
    <row r="2823" spans="9:14">
      <c r="I2823" s="62">
        <v>2021</v>
      </c>
      <c r="J2823" s="62">
        <v>6</v>
      </c>
      <c r="K2823" s="62" t="s">
        <v>20</v>
      </c>
      <c r="L2823" s="62" t="s">
        <v>3</v>
      </c>
      <c r="M2823" s="62">
        <v>199.162</v>
      </c>
      <c r="N2823" s="62">
        <v>169.2877</v>
      </c>
    </row>
    <row r="2824" spans="9:14">
      <c r="I2824" s="62">
        <v>2021</v>
      </c>
      <c r="J2824" s="62">
        <v>7</v>
      </c>
      <c r="K2824" s="62" t="s">
        <v>20</v>
      </c>
      <c r="L2824" s="62" t="s">
        <v>3</v>
      </c>
      <c r="M2824" s="62">
        <v>115.667</v>
      </c>
      <c r="N2824" s="62">
        <v>98.31694999999999</v>
      </c>
    </row>
    <row r="2825" spans="9:14">
      <c r="I2825" s="62">
        <v>2021</v>
      </c>
      <c r="J2825" s="62">
        <v>8</v>
      </c>
      <c r="K2825" s="62" t="s">
        <v>20</v>
      </c>
      <c r="L2825" s="62" t="s">
        <v>3</v>
      </c>
      <c r="M2825" s="62">
        <v>170.047</v>
      </c>
      <c r="N2825" s="62">
        <v>144.53995</v>
      </c>
    </row>
    <row r="2826" spans="9:14">
      <c r="I2826" s="62">
        <v>2021</v>
      </c>
      <c r="J2826" s="62">
        <v>9</v>
      </c>
      <c r="K2826" s="62" t="s">
        <v>20</v>
      </c>
      <c r="L2826" s="62" t="s">
        <v>3</v>
      </c>
      <c r="M2826" s="62">
        <v>363.98</v>
      </c>
      <c r="N2826" s="62">
        <v>309.383</v>
      </c>
    </row>
    <row r="2827" spans="9:14">
      <c r="I2827" s="62">
        <v>2021</v>
      </c>
      <c r="J2827" s="62">
        <v>10</v>
      </c>
      <c r="K2827" s="62" t="s">
        <v>20</v>
      </c>
      <c r="L2827" s="62" t="s">
        <v>3</v>
      </c>
      <c r="M2827" s="62">
        <v>349.15</v>
      </c>
      <c r="N2827" s="62">
        <v>296.7775</v>
      </c>
    </row>
    <row r="2828" spans="9:14">
      <c r="I2828" s="62">
        <v>2021</v>
      </c>
      <c r="J2828" s="62">
        <v>11</v>
      </c>
      <c r="K2828" s="62" t="s">
        <v>20</v>
      </c>
      <c r="L2828" s="62" t="s">
        <v>3</v>
      </c>
      <c r="M2828" s="62">
        <v>195.86</v>
      </c>
      <c r="N2828" s="62">
        <v>166.481</v>
      </c>
    </row>
    <row r="2829" spans="9:14">
      <c r="I2829" s="62">
        <v>2021</v>
      </c>
      <c r="J2829" s="62">
        <v>12</v>
      </c>
      <c r="K2829" s="62" t="s">
        <v>20</v>
      </c>
      <c r="L2829" s="62" t="s">
        <v>3</v>
      </c>
      <c r="M2829" s="62">
        <v>173.411</v>
      </c>
      <c r="N2829" s="62">
        <v>147.39935</v>
      </c>
    </row>
    <row r="2830" spans="9:14">
      <c r="I2830" s="62">
        <v>2022</v>
      </c>
      <c r="J2830" s="62">
        <v>1</v>
      </c>
      <c r="K2830" s="62" t="s">
        <v>20</v>
      </c>
      <c r="L2830" s="62" t="s">
        <v>3</v>
      </c>
      <c r="M2830" s="62">
        <v>207.413</v>
      </c>
      <c r="N2830" s="62">
        <v>176.30105</v>
      </c>
    </row>
    <row r="2831" spans="9:14">
      <c r="I2831" s="62">
        <v>2022</v>
      </c>
      <c r="J2831" s="62">
        <v>2</v>
      </c>
      <c r="K2831" s="62" t="s">
        <v>20</v>
      </c>
      <c r="L2831" s="62" t="s">
        <v>3</v>
      </c>
      <c r="M2831" s="62">
        <v>280.508</v>
      </c>
      <c r="N2831" s="62">
        <v>238.4318</v>
      </c>
    </row>
    <row r="2832" spans="9:14">
      <c r="I2832" s="62">
        <v>2022</v>
      </c>
      <c r="J2832" s="62">
        <v>3</v>
      </c>
      <c r="K2832" s="62" t="s">
        <v>20</v>
      </c>
      <c r="L2832" s="62" t="s">
        <v>3</v>
      </c>
      <c r="M2832" s="62">
        <v>286.08</v>
      </c>
      <c r="N2832" s="62">
        <v>243.168</v>
      </c>
    </row>
    <row r="2833" spans="9:14">
      <c r="I2833" s="62">
        <v>2022</v>
      </c>
      <c r="J2833" s="62">
        <v>4</v>
      </c>
      <c r="K2833" s="62" t="s">
        <v>20</v>
      </c>
      <c r="L2833" s="62" t="s">
        <v>3</v>
      </c>
      <c r="M2833" s="62">
        <v>229.7104</v>
      </c>
      <c r="N2833" s="62">
        <v>195.25384</v>
      </c>
    </row>
    <row r="2834" spans="9:14">
      <c r="I2834" s="62">
        <v>2022</v>
      </c>
      <c r="J2834" s="62">
        <v>5</v>
      </c>
      <c r="K2834" s="62" t="s">
        <v>20</v>
      </c>
      <c r="L2834" s="62" t="s">
        <v>3</v>
      </c>
      <c r="M2834" s="62">
        <v>59.445</v>
      </c>
      <c r="N2834" s="62">
        <v>50.52825</v>
      </c>
    </row>
    <row r="2835" spans="9:14">
      <c r="I2835" s="62">
        <v>2022</v>
      </c>
      <c r="J2835" s="62">
        <v>6</v>
      </c>
      <c r="K2835" s="62" t="s">
        <v>20</v>
      </c>
      <c r="L2835" s="62" t="s">
        <v>3</v>
      </c>
      <c r="M2835" s="62">
        <v>91.7</v>
      </c>
      <c r="N2835" s="62">
        <v>77.94499999999999</v>
      </c>
    </row>
    <row r="2836" spans="9:14">
      <c r="I2836" s="62">
        <v>2022</v>
      </c>
      <c r="J2836" s="62">
        <v>7</v>
      </c>
      <c r="K2836" s="62" t="s">
        <v>20</v>
      </c>
      <c r="L2836" s="62" t="s">
        <v>3</v>
      </c>
      <c r="M2836" s="62">
        <v>177.1102</v>
      </c>
      <c r="N2836" s="62">
        <v>150.54367</v>
      </c>
    </row>
    <row r="2837" spans="9:14">
      <c r="I2837" s="62">
        <v>2022</v>
      </c>
      <c r="J2837" s="62">
        <v>8</v>
      </c>
      <c r="K2837" s="62" t="s">
        <v>20</v>
      </c>
      <c r="L2837" s="62" t="s">
        <v>3</v>
      </c>
      <c r="M2837" s="62">
        <v>198.9846</v>
      </c>
      <c r="N2837" s="62">
        <v>169.13691</v>
      </c>
    </row>
    <row r="2838" spans="9:14">
      <c r="I2838" s="62">
        <v>2022</v>
      </c>
      <c r="J2838" s="62">
        <v>9</v>
      </c>
      <c r="K2838" s="62" t="s">
        <v>20</v>
      </c>
      <c r="L2838" s="62" t="s">
        <v>3</v>
      </c>
      <c r="M2838" s="62">
        <v>162.139</v>
      </c>
      <c r="N2838" s="62">
        <v>137.81815</v>
      </c>
    </row>
    <row r="2839" spans="9:14">
      <c r="I2839" s="62">
        <v>2022</v>
      </c>
      <c r="J2839" s="62">
        <v>10</v>
      </c>
      <c r="K2839" s="62" t="s">
        <v>20</v>
      </c>
      <c r="L2839" s="62" t="s">
        <v>3</v>
      </c>
      <c r="M2839" s="62">
        <v>212.251</v>
      </c>
      <c r="N2839" s="62">
        <v>180.41335</v>
      </c>
    </row>
    <row r="2840" spans="9:14">
      <c r="I2840" s="62">
        <v>2022</v>
      </c>
      <c r="J2840" s="62">
        <v>11</v>
      </c>
      <c r="K2840" s="62" t="s">
        <v>20</v>
      </c>
      <c r="L2840" s="62" t="s">
        <v>3</v>
      </c>
      <c r="M2840" s="62">
        <v>82.66</v>
      </c>
      <c r="N2840" s="62">
        <v>70.261</v>
      </c>
    </row>
    <row r="2841" spans="9:14">
      <c r="I2841" s="62">
        <v>2022</v>
      </c>
      <c r="J2841" s="62">
        <v>12</v>
      </c>
      <c r="K2841" s="62" t="s">
        <v>20</v>
      </c>
      <c r="L2841" s="62" t="s">
        <v>3</v>
      </c>
      <c r="M2841" s="62">
        <v>206.961</v>
      </c>
      <c r="N2841" s="62">
        <v>175.91685</v>
      </c>
    </row>
    <row r="2842" spans="9:14">
      <c r="I2842" s="62">
        <v>2023</v>
      </c>
      <c r="J2842" s="62">
        <v>1</v>
      </c>
      <c r="K2842" s="62" t="s">
        <v>20</v>
      </c>
      <c r="L2842" s="62" t="s">
        <v>3</v>
      </c>
      <c r="M2842" s="62">
        <v>286.114</v>
      </c>
      <c r="N2842" s="62">
        <v>243.1969</v>
      </c>
    </row>
    <row r="2843" spans="9:14">
      <c r="I2843" s="62">
        <v>2023</v>
      </c>
      <c r="J2843" s="62">
        <v>2</v>
      </c>
      <c r="K2843" s="62" t="s">
        <v>20</v>
      </c>
      <c r="L2843" s="62" t="s">
        <v>3</v>
      </c>
      <c r="M2843" s="62">
        <v>162.34</v>
      </c>
      <c r="N2843" s="62">
        <v>137.989</v>
      </c>
    </row>
    <row r="2844" spans="9:14">
      <c r="I2844" s="62">
        <v>2023</v>
      </c>
      <c r="J2844" s="62">
        <v>3</v>
      </c>
      <c r="K2844" s="62" t="s">
        <v>20</v>
      </c>
      <c r="L2844" s="62" t="s">
        <v>3</v>
      </c>
      <c r="M2844" s="62">
        <v>221.97</v>
      </c>
      <c r="N2844" s="62">
        <v>188.6745</v>
      </c>
    </row>
    <row r="2845" spans="9:14">
      <c r="I2845" s="62">
        <v>2023</v>
      </c>
      <c r="J2845" s="62">
        <v>4</v>
      </c>
      <c r="K2845" s="62" t="s">
        <v>20</v>
      </c>
      <c r="L2845" s="62" t="s">
        <v>3</v>
      </c>
      <c r="M2845" s="62">
        <v>193.775</v>
      </c>
      <c r="N2845" s="62">
        <v>164.70875</v>
      </c>
    </row>
    <row r="2846" spans="9:14">
      <c r="I2846" s="62">
        <v>2023</v>
      </c>
      <c r="J2846" s="62">
        <v>5</v>
      </c>
      <c r="K2846" s="62" t="s">
        <v>20</v>
      </c>
      <c r="L2846" s="62" t="s">
        <v>3</v>
      </c>
      <c r="M2846" s="62">
        <v>200.575</v>
      </c>
      <c r="N2846" s="62">
        <v>170.48875</v>
      </c>
    </row>
    <row r="2847" spans="9:14">
      <c r="I2847" s="62">
        <v>2023</v>
      </c>
      <c r="J2847" s="62">
        <v>6</v>
      </c>
      <c r="K2847" s="62" t="s">
        <v>20</v>
      </c>
      <c r="L2847" s="62" t="s">
        <v>3</v>
      </c>
      <c r="M2847" s="62">
        <v>184.312</v>
      </c>
      <c r="N2847" s="62">
        <v>156.6652</v>
      </c>
    </row>
    <row r="2848" spans="9:14">
      <c r="I2848" s="62">
        <v>2023</v>
      </c>
      <c r="J2848" s="62">
        <v>7</v>
      </c>
      <c r="K2848" s="62" t="s">
        <v>20</v>
      </c>
      <c r="L2848" s="62" t="s">
        <v>3</v>
      </c>
      <c r="M2848" s="62">
        <v>140.298</v>
      </c>
      <c r="N2848" s="62">
        <v>119.2533</v>
      </c>
    </row>
    <row r="2849" spans="9:14">
      <c r="I2849" s="62">
        <v>2023</v>
      </c>
      <c r="J2849" s="62">
        <v>8</v>
      </c>
      <c r="K2849" s="62" t="s">
        <v>20</v>
      </c>
      <c r="L2849" s="62" t="s">
        <v>3</v>
      </c>
      <c r="M2849" s="62">
        <v>185.88</v>
      </c>
      <c r="N2849" s="62">
        <v>157.998</v>
      </c>
    </row>
    <row r="2850" spans="9:14">
      <c r="I2850" s="62">
        <v>2023</v>
      </c>
      <c r="J2850" s="62">
        <v>9</v>
      </c>
      <c r="K2850" s="62" t="s">
        <v>20</v>
      </c>
      <c r="L2850" s="62" t="s">
        <v>3</v>
      </c>
      <c r="M2850" s="62">
        <v>135.967</v>
      </c>
      <c r="N2850" s="62">
        <v>115.57195</v>
      </c>
    </row>
    <row r="2851" spans="9:14">
      <c r="I2851" s="62">
        <v>2023</v>
      </c>
      <c r="J2851" s="62">
        <v>10</v>
      </c>
      <c r="K2851" s="62" t="s">
        <v>20</v>
      </c>
      <c r="L2851" s="62" t="s">
        <v>3</v>
      </c>
      <c r="M2851" s="62">
        <v>197.6275</v>
      </c>
      <c r="N2851" s="62">
        <v>167.983375</v>
      </c>
    </row>
    <row r="2852" spans="9:14">
      <c r="I2852" s="62">
        <v>2023</v>
      </c>
      <c r="J2852" s="62">
        <v>11</v>
      </c>
      <c r="K2852" s="62" t="s">
        <v>20</v>
      </c>
      <c r="L2852" s="62" t="s">
        <v>3</v>
      </c>
      <c r="M2852" s="62">
        <v>189.788</v>
      </c>
      <c r="N2852" s="62">
        <v>161.3198</v>
      </c>
    </row>
    <row r="2853" spans="9:14">
      <c r="I2853" s="62">
        <v>2023</v>
      </c>
      <c r="J2853" s="62">
        <v>12</v>
      </c>
      <c r="K2853" s="62" t="s">
        <v>20</v>
      </c>
      <c r="L2853" s="62" t="s">
        <v>3</v>
      </c>
      <c r="M2853" s="62">
        <v>60.175</v>
      </c>
      <c r="N2853" s="62">
        <v>51.14875</v>
      </c>
    </row>
    <row r="2854" spans="9:14">
      <c r="I2854" s="62">
        <v>2024</v>
      </c>
      <c r="J2854" s="62">
        <v>1</v>
      </c>
      <c r="K2854" s="62" t="s">
        <v>20</v>
      </c>
      <c r="L2854" s="62" t="s">
        <v>3</v>
      </c>
      <c r="M2854" s="62">
        <v>271.8062</v>
      </c>
      <c r="N2854" s="62">
        <v>231.03527</v>
      </c>
    </row>
    <row r="2855" spans="9:14">
      <c r="I2855" s="62">
        <v>2024</v>
      </c>
      <c r="J2855" s="62">
        <v>2</v>
      </c>
      <c r="K2855" s="62" t="s">
        <v>20</v>
      </c>
      <c r="L2855" s="62" t="s">
        <v>3</v>
      </c>
      <c r="M2855" s="62">
        <v>484.79</v>
      </c>
      <c r="N2855" s="62">
        <v>412.0715</v>
      </c>
    </row>
    <row r="2856" spans="9:14">
      <c r="I2856" s="62">
        <v>2024</v>
      </c>
      <c r="J2856" s="62">
        <v>3</v>
      </c>
      <c r="K2856" s="62" t="s">
        <v>20</v>
      </c>
      <c r="L2856" s="62" t="s">
        <v>3</v>
      </c>
      <c r="M2856" s="62">
        <v>188.765</v>
      </c>
      <c r="N2856" s="62">
        <v>160.45025</v>
      </c>
    </row>
    <row r="2857" spans="9:14">
      <c r="I2857" s="62">
        <v>2024</v>
      </c>
      <c r="J2857" s="62">
        <v>4</v>
      </c>
      <c r="K2857" s="62" t="s">
        <v>20</v>
      </c>
      <c r="L2857" s="62" t="s">
        <v>3</v>
      </c>
      <c r="M2857" s="62">
        <v>333.2645</v>
      </c>
      <c r="N2857" s="62">
        <v>283.274825</v>
      </c>
    </row>
    <row r="2858" spans="9:14">
      <c r="I2858" s="62">
        <v>2024</v>
      </c>
      <c r="J2858" s="62">
        <v>5</v>
      </c>
      <c r="K2858" s="62" t="s">
        <v>20</v>
      </c>
      <c r="L2858" s="62" t="s">
        <v>3</v>
      </c>
      <c r="M2858" s="62">
        <v>175.9675</v>
      </c>
      <c r="N2858" s="62">
        <v>149.572375</v>
      </c>
    </row>
    <row r="2859" spans="9:14">
      <c r="I2859" s="62">
        <v>2024</v>
      </c>
      <c r="J2859" s="62">
        <v>6</v>
      </c>
      <c r="K2859" s="62" t="s">
        <v>20</v>
      </c>
      <c r="L2859" s="62" t="s">
        <v>3</v>
      </c>
      <c r="M2859" s="62">
        <v>230.575</v>
      </c>
      <c r="N2859" s="62">
        <v>195.98875</v>
      </c>
    </row>
    <row r="2860" spans="9:14">
      <c r="I2860" s="62">
        <v>2024</v>
      </c>
      <c r="J2860" s="62">
        <v>7</v>
      </c>
      <c r="K2860" s="62" t="s">
        <v>20</v>
      </c>
      <c r="L2860" s="62" t="s">
        <v>3</v>
      </c>
      <c r="M2860" s="62">
        <v>109.9225</v>
      </c>
      <c r="N2860" s="62">
        <v>93.43412499999999</v>
      </c>
    </row>
    <row r="2861" spans="9:14">
      <c r="I2861" s="62">
        <v>2024</v>
      </c>
      <c r="J2861" s="62">
        <v>8</v>
      </c>
      <c r="K2861" s="62" t="s">
        <v>20</v>
      </c>
      <c r="L2861" s="62" t="s">
        <v>3</v>
      </c>
      <c r="M2861" s="62">
        <v>115.395</v>
      </c>
      <c r="N2861" s="62">
        <v>98.08574999999999</v>
      </c>
    </row>
    <row r="2862" spans="9:14">
      <c r="I2862" s="62">
        <v>2024</v>
      </c>
      <c r="J2862" s="62">
        <v>9</v>
      </c>
      <c r="K2862" s="62" t="s">
        <v>20</v>
      </c>
      <c r="L2862" s="62" t="s">
        <v>3</v>
      </c>
      <c r="M2862" s="62">
        <v>213.1025</v>
      </c>
      <c r="N2862" s="62">
        <v>181.137125</v>
      </c>
    </row>
    <row r="2863" spans="9:14">
      <c r="I2863" s="62">
        <v>2024</v>
      </c>
      <c r="J2863" s="62">
        <v>10</v>
      </c>
      <c r="K2863" s="62" t="s">
        <v>20</v>
      </c>
      <c r="L2863" s="62" t="s">
        <v>3</v>
      </c>
      <c r="M2863" s="62">
        <v>291.83</v>
      </c>
      <c r="N2863" s="62">
        <v>248.0555</v>
      </c>
    </row>
    <row r="2864" spans="9:14">
      <c r="I2864" s="62">
        <v>2024</v>
      </c>
      <c r="J2864" s="62">
        <v>11</v>
      </c>
      <c r="K2864" s="62" t="s">
        <v>20</v>
      </c>
      <c r="L2864" s="62" t="s">
        <v>3</v>
      </c>
      <c r="M2864" s="62">
        <v>105.947</v>
      </c>
      <c r="N2864" s="62">
        <v>90.05494999999999</v>
      </c>
    </row>
    <row r="2865" spans="9:14">
      <c r="I2865" s="62">
        <v>2024</v>
      </c>
      <c r="J2865" s="62">
        <v>12</v>
      </c>
      <c r="K2865" s="62" t="s">
        <v>20</v>
      </c>
      <c r="L2865" s="62" t="s">
        <v>3</v>
      </c>
      <c r="M2865" s="62">
        <v>25.99</v>
      </c>
      <c r="N2865" s="62">
        <v>22.0915</v>
      </c>
    </row>
    <row r="2866" spans="9:14">
      <c r="I2866" s="62">
        <v>2025</v>
      </c>
      <c r="J2866" s="62">
        <v>1</v>
      </c>
      <c r="K2866" s="62" t="s">
        <v>20</v>
      </c>
      <c r="L2866" s="62" t="s">
        <v>3</v>
      </c>
      <c r="M2866" s="62">
        <v>81.8475</v>
      </c>
      <c r="N2866" s="62">
        <v>69.570375</v>
      </c>
    </row>
    <row r="2867" spans="9:14">
      <c r="I2867" s="62">
        <v>2025</v>
      </c>
      <c r="J2867" s="62">
        <v>2</v>
      </c>
      <c r="K2867" s="62" t="s">
        <v>20</v>
      </c>
      <c r="L2867" s="62" t="s">
        <v>3</v>
      </c>
      <c r="M2867" s="62">
        <v>105.7785</v>
      </c>
      <c r="N2867" s="62">
        <v>89.911725</v>
      </c>
    </row>
    <row r="2868" spans="9:14">
      <c r="I2868" s="62">
        <v>2025</v>
      </c>
      <c r="J2868" s="62">
        <v>3</v>
      </c>
      <c r="K2868" s="62" t="s">
        <v>20</v>
      </c>
      <c r="L2868" s="62" t="s">
        <v>3</v>
      </c>
      <c r="M2868" s="62">
        <v>141.408</v>
      </c>
      <c r="N2868" s="62">
        <v>120.1968</v>
      </c>
    </row>
    <row r="2869" spans="9:14">
      <c r="I2869" s="62">
        <v>2025</v>
      </c>
      <c r="J2869" s="62">
        <v>4</v>
      </c>
      <c r="K2869" s="62" t="s">
        <v>20</v>
      </c>
      <c r="L2869" s="62" t="s">
        <v>3</v>
      </c>
      <c r="M2869" s="62">
        <v>240.9225</v>
      </c>
      <c r="N2869" s="62">
        <v>204.784125</v>
      </c>
    </row>
    <row r="2870" spans="9:14">
      <c r="I2870" s="62">
        <v>2025</v>
      </c>
      <c r="J2870" s="62">
        <v>5</v>
      </c>
      <c r="K2870" s="62" t="s">
        <v>20</v>
      </c>
      <c r="L2870" s="62" t="s">
        <v>3</v>
      </c>
      <c r="M2870" s="62">
        <v>99.44840000000001</v>
      </c>
      <c r="N2870" s="62">
        <v>84.53113999999999</v>
      </c>
    </row>
    <row r="2871" spans="9:14">
      <c r="I2871" s="62">
        <v>2025</v>
      </c>
      <c r="J2871" s="62">
        <v>6</v>
      </c>
      <c r="K2871" s="62" t="s">
        <v>20</v>
      </c>
      <c r="L2871" s="62" t="s">
        <v>3</v>
      </c>
      <c r="M2871" s="62">
        <v>46.2015</v>
      </c>
      <c r="N2871" s="62">
        <v>39.271275</v>
      </c>
    </row>
    <row r="2872" spans="9:14">
      <c r="I2872" s="62">
        <v>2025</v>
      </c>
      <c r="J2872" s="62">
        <v>7</v>
      </c>
      <c r="K2872" s="62" t="s">
        <v>20</v>
      </c>
      <c r="L2872" s="62" t="s">
        <v>3</v>
      </c>
      <c r="M2872" s="62">
        <v>28.851</v>
      </c>
      <c r="N2872" s="62">
        <v>24.52335</v>
      </c>
    </row>
    <row r="2873" spans="9:14">
      <c r="I2873" s="62">
        <v>2025</v>
      </c>
      <c r="J2873" s="62">
        <v>8</v>
      </c>
      <c r="K2873" s="62" t="s">
        <v>20</v>
      </c>
      <c r="L2873" s="62" t="s">
        <v>3</v>
      </c>
      <c r="M2873" s="62">
        <v>46.09999999999999</v>
      </c>
      <c r="N2873" s="62">
        <v>39.185</v>
      </c>
    </row>
    <row r="2874" spans="9:14">
      <c r="I2874" s="62">
        <v>2025</v>
      </c>
      <c r="J2874" s="62">
        <v>9</v>
      </c>
      <c r="K2874" s="62" t="s">
        <v>20</v>
      </c>
      <c r="L2874" s="62" t="s">
        <v>3</v>
      </c>
      <c r="M2874" s="62">
        <v>62.0125</v>
      </c>
      <c r="N2874" s="62">
        <v>52.710625</v>
      </c>
    </row>
    <row r="2875" spans="9:14">
      <c r="I2875" s="62">
        <v>2025</v>
      </c>
      <c r="J2875" s="62">
        <v>10</v>
      </c>
      <c r="K2875" s="62" t="s">
        <v>20</v>
      </c>
      <c r="L2875" s="62" t="s">
        <v>3</v>
      </c>
      <c r="M2875" s="62">
        <v>178.4</v>
      </c>
      <c r="N2875" s="62">
        <v>151.64</v>
      </c>
    </row>
    <row r="2876" spans="9:14">
      <c r="I2876" s="62">
        <v>2025</v>
      </c>
      <c r="J2876" s="62">
        <v>11</v>
      </c>
      <c r="K2876" s="62" t="s">
        <v>20</v>
      </c>
      <c r="L2876" s="62" t="s">
        <v>3</v>
      </c>
      <c r="M2876" s="62">
        <v>113.0325</v>
      </c>
      <c r="N2876" s="62">
        <v>96.077625</v>
      </c>
    </row>
    <row r="2877" spans="9:14">
      <c r="I2877" s="62">
        <v>2025</v>
      </c>
      <c r="J2877" s="62">
        <v>12</v>
      </c>
      <c r="K2877" s="62" t="s">
        <v>20</v>
      </c>
      <c r="L2877" s="62" t="s">
        <v>3</v>
      </c>
      <c r="M2877" s="62">
        <v>25.235</v>
      </c>
      <c r="N2877" s="62">
        <v>21.44975</v>
      </c>
    </row>
    <row r="2878" spans="9:14">
      <c r="I2878" s="62">
        <v>2026</v>
      </c>
      <c r="J2878" s="62">
        <v>1</v>
      </c>
      <c r="K2878" s="62" t="s">
        <v>20</v>
      </c>
      <c r="L2878" s="62" t="s">
        <v>3</v>
      </c>
      <c r="M2878" s="62">
        <v>50.7525</v>
      </c>
      <c r="N2878" s="62">
        <v>43.139625</v>
      </c>
    </row>
    <row r="2879" spans="9:14">
      <c r="I2879" s="62">
        <v>2026</v>
      </c>
      <c r="J2879" s="62">
        <v>2</v>
      </c>
      <c r="K2879" s="62" t="s">
        <v>20</v>
      </c>
      <c r="L2879" s="62" t="s">
        <v>3</v>
      </c>
      <c r="M2879" s="62">
        <v>149.9525</v>
      </c>
      <c r="N2879" s="62">
        <v>127.459625</v>
      </c>
    </row>
    <row r="2880" spans="9:14">
      <c r="I2880" s="62">
        <v>2026</v>
      </c>
      <c r="J2880" s="62">
        <v>3</v>
      </c>
      <c r="K2880" s="62" t="s">
        <v>20</v>
      </c>
      <c r="L2880" s="62" t="s">
        <v>3</v>
      </c>
      <c r="M2880" s="62">
        <v>73.23999999999999</v>
      </c>
      <c r="N2880" s="62">
        <v>62.254</v>
      </c>
    </row>
    <row r="2881" spans="9:14">
      <c r="I2881" s="62">
        <v>2026</v>
      </c>
      <c r="J2881" s="62">
        <v>4</v>
      </c>
      <c r="K2881" s="62" t="s">
        <v>20</v>
      </c>
      <c r="L2881" s="62" t="s">
        <v>3</v>
      </c>
      <c r="M2881" s="62">
        <v>62.103</v>
      </c>
      <c r="N2881" s="62">
        <v>52.78755</v>
      </c>
    </row>
    <row r="2882" spans="9:14">
      <c r="I2882" s="62">
        <v>2026</v>
      </c>
      <c r="J2882" s="62">
        <v>5</v>
      </c>
      <c r="K2882" s="62" t="s">
        <v>20</v>
      </c>
      <c r="L2882" s="62" t="s">
        <v>3</v>
      </c>
      <c r="M2882" s="62">
        <v>106.499</v>
      </c>
      <c r="N2882" s="62">
        <v>90.52414999999999</v>
      </c>
    </row>
    <row r="2883" spans="9:14">
      <c r="I2883" s="62">
        <v>2026</v>
      </c>
      <c r="J2883" s="62">
        <v>6</v>
      </c>
      <c r="K2883" s="62" t="s">
        <v>20</v>
      </c>
      <c r="L2883" s="62" t="s">
        <v>3</v>
      </c>
      <c r="M2883" s="62">
        <v>103.45</v>
      </c>
      <c r="N2883" s="62">
        <v>87.9325</v>
      </c>
    </row>
    <row r="2884" spans="9:14">
      <c r="I2884" s="62">
        <v>2026</v>
      </c>
      <c r="J2884" s="62">
        <v>7</v>
      </c>
      <c r="K2884" s="62" t="s">
        <v>20</v>
      </c>
      <c r="L2884" s="62" t="s">
        <v>3</v>
      </c>
      <c r="M2884" s="62">
        <v>8.703999999999999</v>
      </c>
      <c r="N2884" s="62">
        <v>7.3984</v>
      </c>
    </row>
    <row r="2885" spans="9:14">
      <c r="I2885" s="62">
        <v>2014</v>
      </c>
      <c r="J2885" s="62">
        <v>1</v>
      </c>
      <c r="K2885" s="62" t="s">
        <v>21</v>
      </c>
      <c r="L2885" s="62" t="s">
        <v>1</v>
      </c>
      <c r="M2885" s="62">
        <v>48.6</v>
      </c>
      <c r="N2885" s="62">
        <v>9.720000000000001</v>
      </c>
    </row>
    <row r="2886" spans="9:14">
      <c r="I2886" s="62">
        <v>2014</v>
      </c>
      <c r="J2886" s="62">
        <v>2</v>
      </c>
      <c r="K2886" s="62" t="s">
        <v>21</v>
      </c>
      <c r="L2886" s="62" t="s">
        <v>1</v>
      </c>
      <c r="M2886" s="62">
        <v>146.76</v>
      </c>
      <c r="N2886" s="62">
        <v>29.352</v>
      </c>
    </row>
    <row r="2887" spans="9:14">
      <c r="I2887" s="62">
        <v>2014</v>
      </c>
      <c r="J2887" s="62">
        <v>3</v>
      </c>
      <c r="K2887" s="62" t="s">
        <v>21</v>
      </c>
      <c r="L2887" s="62" t="s">
        <v>1</v>
      </c>
      <c r="M2887" s="62">
        <v>151.32</v>
      </c>
      <c r="N2887" s="62">
        <v>30.264</v>
      </c>
    </row>
    <row r="2888" spans="9:14">
      <c r="I2888" s="62">
        <v>2014</v>
      </c>
      <c r="J2888" s="62">
        <v>4</v>
      </c>
      <c r="K2888" s="62" t="s">
        <v>21</v>
      </c>
      <c r="L2888" s="62" t="s">
        <v>1</v>
      </c>
      <c r="M2888" s="62">
        <v>112.223</v>
      </c>
      <c r="N2888" s="62">
        <v>22.4446</v>
      </c>
    </row>
    <row r="2889" spans="9:14">
      <c r="I2889" s="62">
        <v>2014</v>
      </c>
      <c r="J2889" s="62">
        <v>5</v>
      </c>
      <c r="K2889" s="62" t="s">
        <v>21</v>
      </c>
      <c r="L2889" s="62" t="s">
        <v>1</v>
      </c>
      <c r="M2889" s="62">
        <v>244.486</v>
      </c>
      <c r="N2889" s="62">
        <v>48.89720000000001</v>
      </c>
    </row>
    <row r="2890" spans="9:14">
      <c r="I2890" s="62">
        <v>2014</v>
      </c>
      <c r="J2890" s="62">
        <v>6</v>
      </c>
      <c r="K2890" s="62" t="s">
        <v>21</v>
      </c>
      <c r="L2890" s="62" t="s">
        <v>1</v>
      </c>
      <c r="M2890" s="62">
        <v>148.4525</v>
      </c>
      <c r="N2890" s="62">
        <v>29.6905</v>
      </c>
    </row>
    <row r="2891" spans="9:14">
      <c r="I2891" s="62">
        <v>2014</v>
      </c>
      <c r="J2891" s="62">
        <v>7</v>
      </c>
      <c r="K2891" s="62" t="s">
        <v>21</v>
      </c>
      <c r="L2891" s="62" t="s">
        <v>1</v>
      </c>
      <c r="M2891" s="62">
        <v>32.4</v>
      </c>
      <c r="N2891" s="62">
        <v>6.48</v>
      </c>
    </row>
    <row r="2892" spans="9:14">
      <c r="I2892" s="62">
        <v>2014</v>
      </c>
      <c r="J2892" s="62">
        <v>8</v>
      </c>
      <c r="K2892" s="62" t="s">
        <v>21</v>
      </c>
      <c r="L2892" s="62" t="s">
        <v>1</v>
      </c>
      <c r="M2892" s="62">
        <v>65.4864</v>
      </c>
      <c r="N2892" s="62">
        <v>13.09728</v>
      </c>
    </row>
    <row r="2893" spans="9:14">
      <c r="I2893" s="62">
        <v>2014</v>
      </c>
      <c r="J2893" s="62">
        <v>9</v>
      </c>
      <c r="K2893" s="62" t="s">
        <v>21</v>
      </c>
      <c r="L2893" s="62" t="s">
        <v>1</v>
      </c>
      <c r="M2893" s="62">
        <v>49.1276</v>
      </c>
      <c r="N2893" s="62">
        <v>9.825520000000001</v>
      </c>
    </row>
    <row r="2894" spans="9:14">
      <c r="I2894" s="62">
        <v>2014</v>
      </c>
      <c r="J2894" s="62">
        <v>10</v>
      </c>
      <c r="K2894" s="62" t="s">
        <v>21</v>
      </c>
      <c r="L2894" s="62" t="s">
        <v>1</v>
      </c>
      <c r="M2894" s="62">
        <v>150.09</v>
      </c>
      <c r="N2894" s="62">
        <v>30.018</v>
      </c>
    </row>
    <row r="2895" spans="9:14">
      <c r="I2895" s="62">
        <v>2014</v>
      </c>
      <c r="J2895" s="62">
        <v>11</v>
      </c>
      <c r="K2895" s="62" t="s">
        <v>21</v>
      </c>
      <c r="L2895" s="62" t="s">
        <v>1</v>
      </c>
      <c r="M2895" s="62">
        <v>110.6024</v>
      </c>
      <c r="N2895" s="62">
        <v>22.12048</v>
      </c>
    </row>
    <row r="2896" spans="9:14">
      <c r="I2896" s="62">
        <v>2014</v>
      </c>
      <c r="J2896" s="62">
        <v>12</v>
      </c>
      <c r="K2896" s="62" t="s">
        <v>21</v>
      </c>
      <c r="L2896" s="62" t="s">
        <v>1</v>
      </c>
      <c r="M2896" s="62">
        <v>8.17</v>
      </c>
      <c r="N2896" s="62">
        <v>1.634</v>
      </c>
    </row>
    <row r="2897" spans="9:14">
      <c r="I2897" s="62">
        <v>2015</v>
      </c>
      <c r="J2897" s="62">
        <v>1</v>
      </c>
      <c r="K2897" s="62" t="s">
        <v>21</v>
      </c>
      <c r="L2897" s="62" t="s">
        <v>1</v>
      </c>
      <c r="M2897" s="62">
        <v>86.7325</v>
      </c>
      <c r="N2897" s="62">
        <v>17.3465</v>
      </c>
    </row>
    <row r="2898" spans="9:14">
      <c r="I2898" s="62">
        <v>2015</v>
      </c>
      <c r="J2898" s="62">
        <v>2</v>
      </c>
      <c r="K2898" s="62" t="s">
        <v>21</v>
      </c>
      <c r="L2898" s="62" t="s">
        <v>1</v>
      </c>
      <c r="M2898" s="62">
        <v>105.02</v>
      </c>
      <c r="N2898" s="62">
        <v>21.004</v>
      </c>
    </row>
    <row r="2899" spans="9:14">
      <c r="I2899" s="62">
        <v>2015</v>
      </c>
      <c r="J2899" s="62">
        <v>3</v>
      </c>
      <c r="K2899" s="62" t="s">
        <v>21</v>
      </c>
      <c r="L2899" s="62" t="s">
        <v>1</v>
      </c>
      <c r="M2899" s="62">
        <v>98.76000000000001</v>
      </c>
      <c r="N2899" s="62">
        <v>19.752</v>
      </c>
    </row>
    <row r="2900" spans="9:14">
      <c r="I2900" s="62">
        <v>2015</v>
      </c>
      <c r="J2900" s="62">
        <v>4</v>
      </c>
      <c r="K2900" s="62" t="s">
        <v>21</v>
      </c>
      <c r="L2900" s="62" t="s">
        <v>1</v>
      </c>
      <c r="M2900" s="62">
        <v>103.87</v>
      </c>
      <c r="N2900" s="62">
        <v>20.774</v>
      </c>
    </row>
    <row r="2901" spans="9:14">
      <c r="I2901" s="62">
        <v>2015</v>
      </c>
      <c r="J2901" s="62">
        <v>5</v>
      </c>
      <c r="K2901" s="62" t="s">
        <v>21</v>
      </c>
      <c r="L2901" s="62" t="s">
        <v>1</v>
      </c>
      <c r="M2901" s="62">
        <v>129.0185</v>
      </c>
      <c r="N2901" s="62">
        <v>25.8037</v>
      </c>
    </row>
    <row r="2902" spans="9:14">
      <c r="I2902" s="62">
        <v>2015</v>
      </c>
      <c r="J2902" s="62">
        <v>6</v>
      </c>
      <c r="K2902" s="62" t="s">
        <v>21</v>
      </c>
      <c r="L2902" s="62" t="s">
        <v>1</v>
      </c>
      <c r="M2902" s="62">
        <v>100.4472</v>
      </c>
      <c r="N2902" s="62">
        <v>20.08944</v>
      </c>
    </row>
    <row r="2903" spans="9:14">
      <c r="I2903" s="62">
        <v>2015</v>
      </c>
      <c r="J2903" s="62">
        <v>7</v>
      </c>
      <c r="K2903" s="62" t="s">
        <v>21</v>
      </c>
      <c r="L2903" s="62" t="s">
        <v>1</v>
      </c>
      <c r="M2903" s="62">
        <v>114.2229</v>
      </c>
      <c r="N2903" s="62">
        <v>22.84458</v>
      </c>
    </row>
    <row r="2904" spans="9:14">
      <c r="I2904" s="62">
        <v>2015</v>
      </c>
      <c r="J2904" s="62">
        <v>8</v>
      </c>
      <c r="K2904" s="62" t="s">
        <v>21</v>
      </c>
      <c r="L2904" s="62" t="s">
        <v>1</v>
      </c>
      <c r="M2904" s="62">
        <v>124.96</v>
      </c>
      <c r="N2904" s="62">
        <v>24.992</v>
      </c>
    </row>
    <row r="2905" spans="9:14">
      <c r="I2905" s="62">
        <v>2015</v>
      </c>
      <c r="J2905" s="62">
        <v>9</v>
      </c>
      <c r="K2905" s="62" t="s">
        <v>21</v>
      </c>
      <c r="L2905" s="62" t="s">
        <v>1</v>
      </c>
      <c r="M2905" s="62">
        <v>213.5245</v>
      </c>
      <c r="N2905" s="62">
        <v>42.7049</v>
      </c>
    </row>
    <row r="2906" spans="9:14">
      <c r="I2906" s="62">
        <v>2015</v>
      </c>
      <c r="J2906" s="62">
        <v>10</v>
      </c>
      <c r="K2906" s="62" t="s">
        <v>21</v>
      </c>
      <c r="L2906" s="62" t="s">
        <v>1</v>
      </c>
      <c r="M2906" s="62">
        <v>244.415</v>
      </c>
      <c r="N2906" s="62">
        <v>48.883</v>
      </c>
    </row>
    <row r="2907" spans="9:14">
      <c r="I2907" s="62">
        <v>2015</v>
      </c>
      <c r="J2907" s="62">
        <v>11</v>
      </c>
      <c r="K2907" s="62" t="s">
        <v>21</v>
      </c>
      <c r="L2907" s="62" t="s">
        <v>1</v>
      </c>
      <c r="M2907" s="62">
        <v>122.0403</v>
      </c>
      <c r="N2907" s="62">
        <v>24.40806</v>
      </c>
    </row>
    <row r="2908" spans="9:14">
      <c r="I2908" s="62">
        <v>2015</v>
      </c>
      <c r="J2908" s="62">
        <v>12</v>
      </c>
      <c r="K2908" s="62" t="s">
        <v>21</v>
      </c>
      <c r="L2908" s="62" t="s">
        <v>1</v>
      </c>
      <c r="M2908" s="62">
        <v>107.1904</v>
      </c>
      <c r="N2908" s="62">
        <v>21.43808</v>
      </c>
    </row>
    <row r="2909" spans="9:14">
      <c r="I2909" s="62">
        <v>2016</v>
      </c>
      <c r="J2909" s="62">
        <v>1</v>
      </c>
      <c r="K2909" s="62" t="s">
        <v>21</v>
      </c>
      <c r="L2909" s="62" t="s">
        <v>1</v>
      </c>
      <c r="M2909" s="62">
        <v>220.356</v>
      </c>
      <c r="N2909" s="62">
        <v>44.0712</v>
      </c>
    </row>
    <row r="2910" spans="9:14">
      <c r="I2910" s="62">
        <v>2016</v>
      </c>
      <c r="J2910" s="62">
        <v>2</v>
      </c>
      <c r="K2910" s="62" t="s">
        <v>21</v>
      </c>
      <c r="L2910" s="62" t="s">
        <v>1</v>
      </c>
      <c r="M2910" s="62">
        <v>276.56</v>
      </c>
      <c r="N2910" s="62">
        <v>55.312</v>
      </c>
    </row>
    <row r="2911" spans="9:14">
      <c r="I2911" s="62">
        <v>2016</v>
      </c>
      <c r="J2911" s="62">
        <v>3</v>
      </c>
      <c r="K2911" s="62" t="s">
        <v>21</v>
      </c>
      <c r="L2911" s="62" t="s">
        <v>1</v>
      </c>
      <c r="M2911" s="62">
        <v>115.58</v>
      </c>
      <c r="N2911" s="62">
        <v>23.116</v>
      </c>
    </row>
    <row r="2912" spans="9:14">
      <c r="I2912" s="62">
        <v>2016</v>
      </c>
      <c r="J2912" s="62">
        <v>4</v>
      </c>
      <c r="K2912" s="62" t="s">
        <v>21</v>
      </c>
      <c r="L2912" s="62" t="s">
        <v>1</v>
      </c>
      <c r="M2912" s="62">
        <v>230.715</v>
      </c>
      <c r="N2912" s="62">
        <v>46.143</v>
      </c>
    </row>
    <row r="2913" spans="9:14">
      <c r="I2913" s="62">
        <v>2016</v>
      </c>
      <c r="J2913" s="62">
        <v>5</v>
      </c>
      <c r="K2913" s="62" t="s">
        <v>21</v>
      </c>
      <c r="L2913" s="62" t="s">
        <v>1</v>
      </c>
      <c r="M2913" s="62">
        <v>234.8312</v>
      </c>
      <c r="N2913" s="62">
        <v>46.96624000000001</v>
      </c>
    </row>
    <row r="2914" spans="9:14">
      <c r="I2914" s="62">
        <v>2016</v>
      </c>
      <c r="J2914" s="62">
        <v>6</v>
      </c>
      <c r="K2914" s="62" t="s">
        <v>21</v>
      </c>
      <c r="L2914" s="62" t="s">
        <v>1</v>
      </c>
      <c r="M2914" s="62">
        <v>136.2845</v>
      </c>
      <c r="N2914" s="62">
        <v>27.2569</v>
      </c>
    </row>
    <row r="2915" spans="9:14">
      <c r="I2915" s="62">
        <v>2016</v>
      </c>
      <c r="J2915" s="62">
        <v>7</v>
      </c>
      <c r="K2915" s="62" t="s">
        <v>21</v>
      </c>
      <c r="L2915" s="62" t="s">
        <v>1</v>
      </c>
      <c r="M2915" s="62">
        <v>87.285</v>
      </c>
      <c r="N2915" s="62">
        <v>17.457</v>
      </c>
    </row>
    <row r="2916" spans="9:14">
      <c r="I2916" s="62">
        <v>2016</v>
      </c>
      <c r="J2916" s="62">
        <v>8</v>
      </c>
      <c r="K2916" s="62" t="s">
        <v>21</v>
      </c>
      <c r="L2916" s="62" t="s">
        <v>1</v>
      </c>
      <c r="M2916" s="62">
        <v>48.485</v>
      </c>
      <c r="N2916" s="62">
        <v>9.697000000000001</v>
      </c>
    </row>
    <row r="2917" spans="9:14">
      <c r="I2917" s="62">
        <v>2016</v>
      </c>
      <c r="J2917" s="62">
        <v>9</v>
      </c>
      <c r="K2917" s="62" t="s">
        <v>21</v>
      </c>
      <c r="L2917" s="62" t="s">
        <v>1</v>
      </c>
      <c r="M2917" s="62">
        <v>101.395</v>
      </c>
      <c r="N2917" s="62">
        <v>20.279</v>
      </c>
    </row>
    <row r="2918" spans="9:14">
      <c r="I2918" s="62">
        <v>2016</v>
      </c>
      <c r="J2918" s="62">
        <v>10</v>
      </c>
      <c r="K2918" s="62" t="s">
        <v>21</v>
      </c>
      <c r="L2918" s="62" t="s">
        <v>1</v>
      </c>
      <c r="M2918" s="62">
        <v>206.94</v>
      </c>
      <c r="N2918" s="62">
        <v>41.38800000000001</v>
      </c>
    </row>
    <row r="2919" spans="9:14">
      <c r="I2919" s="62">
        <v>2016</v>
      </c>
      <c r="J2919" s="62">
        <v>11</v>
      </c>
      <c r="K2919" s="62" t="s">
        <v>21</v>
      </c>
      <c r="L2919" s="62" t="s">
        <v>1</v>
      </c>
      <c r="M2919" s="62">
        <v>38.098</v>
      </c>
      <c r="N2919" s="62">
        <v>7.6196</v>
      </c>
    </row>
    <row r="2920" spans="9:14">
      <c r="I2920" s="62">
        <v>2016</v>
      </c>
      <c r="J2920" s="62">
        <v>12</v>
      </c>
      <c r="K2920" s="62" t="s">
        <v>21</v>
      </c>
      <c r="L2920" s="62" t="s">
        <v>1</v>
      </c>
      <c r="M2920" s="62">
        <v>22.7614</v>
      </c>
      <c r="N2920" s="62">
        <v>4.55228</v>
      </c>
    </row>
    <row r="2921" spans="9:14">
      <c r="I2921" s="62">
        <v>2017</v>
      </c>
      <c r="J2921" s="62">
        <v>1</v>
      </c>
      <c r="K2921" s="62" t="s">
        <v>21</v>
      </c>
      <c r="L2921" s="62" t="s">
        <v>1</v>
      </c>
      <c r="M2921" s="62">
        <v>91.039</v>
      </c>
      <c r="N2921" s="62">
        <v>18.2078</v>
      </c>
    </row>
    <row r="2922" spans="9:14">
      <c r="I2922" s="62">
        <v>2017</v>
      </c>
      <c r="J2922" s="62">
        <v>2</v>
      </c>
      <c r="K2922" s="62" t="s">
        <v>21</v>
      </c>
      <c r="L2922" s="62" t="s">
        <v>1</v>
      </c>
      <c r="M2922" s="62">
        <v>173.3706</v>
      </c>
      <c r="N2922" s="62">
        <v>34.67412</v>
      </c>
    </row>
    <row r="2923" spans="9:14">
      <c r="I2923" s="62">
        <v>2017</v>
      </c>
      <c r="J2923" s="62">
        <v>3</v>
      </c>
      <c r="K2923" s="62" t="s">
        <v>21</v>
      </c>
      <c r="L2923" s="62" t="s">
        <v>1</v>
      </c>
      <c r="M2923" s="62">
        <v>146.1339</v>
      </c>
      <c r="N2923" s="62">
        <v>29.22678</v>
      </c>
    </row>
    <row r="2924" spans="9:14">
      <c r="I2924" s="62">
        <v>2017</v>
      </c>
      <c r="J2924" s="62">
        <v>4</v>
      </c>
      <c r="K2924" s="62" t="s">
        <v>21</v>
      </c>
      <c r="L2924" s="62" t="s">
        <v>1</v>
      </c>
      <c r="M2924" s="62">
        <v>65.58499999999999</v>
      </c>
      <c r="N2924" s="62">
        <v>13.117</v>
      </c>
    </row>
    <row r="2925" spans="9:14">
      <c r="I2925" s="62">
        <v>2017</v>
      </c>
      <c r="J2925" s="62">
        <v>5</v>
      </c>
      <c r="K2925" s="62" t="s">
        <v>21</v>
      </c>
      <c r="L2925" s="62" t="s">
        <v>1</v>
      </c>
      <c r="M2925" s="62">
        <v>156.6525</v>
      </c>
      <c r="N2925" s="62">
        <v>31.3305</v>
      </c>
    </row>
    <row r="2926" spans="9:14">
      <c r="I2926" s="62">
        <v>2017</v>
      </c>
      <c r="J2926" s="62">
        <v>6</v>
      </c>
      <c r="K2926" s="62" t="s">
        <v>21</v>
      </c>
      <c r="L2926" s="62" t="s">
        <v>1</v>
      </c>
      <c r="M2926" s="62">
        <v>86.71000000000001</v>
      </c>
      <c r="N2926" s="62">
        <v>17.342</v>
      </c>
    </row>
    <row r="2927" spans="9:14">
      <c r="I2927" s="62">
        <v>2017</v>
      </c>
      <c r="J2927" s="62">
        <v>7</v>
      </c>
      <c r="K2927" s="62" t="s">
        <v>21</v>
      </c>
      <c r="L2927" s="62" t="s">
        <v>1</v>
      </c>
      <c r="M2927" s="62">
        <v>52.7947</v>
      </c>
      <c r="N2927" s="62">
        <v>10.55894</v>
      </c>
    </row>
    <row r="2928" spans="9:14">
      <c r="I2928" s="62">
        <v>2017</v>
      </c>
      <c r="J2928" s="62">
        <v>8</v>
      </c>
      <c r="K2928" s="62" t="s">
        <v>21</v>
      </c>
      <c r="L2928" s="62" t="s">
        <v>1</v>
      </c>
      <c r="M2928" s="62">
        <v>127.945</v>
      </c>
      <c r="N2928" s="62">
        <v>25.589</v>
      </c>
    </row>
    <row r="2929" spans="9:14">
      <c r="I2929" s="62">
        <v>2017</v>
      </c>
      <c r="J2929" s="62">
        <v>9</v>
      </c>
      <c r="K2929" s="62" t="s">
        <v>21</v>
      </c>
      <c r="L2929" s="62" t="s">
        <v>1</v>
      </c>
      <c r="M2929" s="62">
        <v>465.948</v>
      </c>
      <c r="N2929" s="62">
        <v>93.18960000000001</v>
      </c>
    </row>
    <row r="2930" spans="9:14">
      <c r="I2930" s="62">
        <v>2017</v>
      </c>
      <c r="J2930" s="62">
        <v>10</v>
      </c>
      <c r="K2930" s="62" t="s">
        <v>21</v>
      </c>
      <c r="L2930" s="62" t="s">
        <v>1</v>
      </c>
      <c r="M2930" s="62">
        <v>167.42</v>
      </c>
      <c r="N2930" s="62">
        <v>33.484</v>
      </c>
    </row>
    <row r="2931" spans="9:14">
      <c r="I2931" s="62">
        <v>2017</v>
      </c>
      <c r="J2931" s="62">
        <v>11</v>
      </c>
      <c r="K2931" s="62" t="s">
        <v>21</v>
      </c>
      <c r="L2931" s="62" t="s">
        <v>1</v>
      </c>
      <c r="M2931" s="62">
        <v>82.435</v>
      </c>
      <c r="N2931" s="62">
        <v>16.487</v>
      </c>
    </row>
    <row r="2932" spans="9:14">
      <c r="I2932" s="62">
        <v>2017</v>
      </c>
      <c r="J2932" s="62">
        <v>12</v>
      </c>
      <c r="K2932" s="62" t="s">
        <v>21</v>
      </c>
      <c r="L2932" s="62" t="s">
        <v>1</v>
      </c>
      <c r="M2932" s="62">
        <v>20.16</v>
      </c>
      <c r="N2932" s="62">
        <v>4.032</v>
      </c>
    </row>
    <row r="2933" spans="9:14">
      <c r="I2933" s="62">
        <v>2018</v>
      </c>
      <c r="J2933" s="62">
        <v>1</v>
      </c>
      <c r="K2933" s="62" t="s">
        <v>21</v>
      </c>
      <c r="L2933" s="62" t="s">
        <v>1</v>
      </c>
      <c r="M2933" s="62">
        <v>150.233</v>
      </c>
      <c r="N2933" s="62">
        <v>30.0466</v>
      </c>
    </row>
    <row r="2934" spans="9:14">
      <c r="I2934" s="62">
        <v>2018</v>
      </c>
      <c r="J2934" s="62">
        <v>2</v>
      </c>
      <c r="K2934" s="62" t="s">
        <v>21</v>
      </c>
      <c r="L2934" s="62" t="s">
        <v>1</v>
      </c>
      <c r="M2934" s="62">
        <v>218.6164</v>
      </c>
      <c r="N2934" s="62">
        <v>43.72328</v>
      </c>
    </row>
    <row r="2935" spans="9:14">
      <c r="I2935" s="62">
        <v>2018</v>
      </c>
      <c r="J2935" s="62">
        <v>3</v>
      </c>
      <c r="K2935" s="62" t="s">
        <v>21</v>
      </c>
      <c r="L2935" s="62" t="s">
        <v>1</v>
      </c>
      <c r="M2935" s="62">
        <v>156.8502</v>
      </c>
      <c r="N2935" s="62">
        <v>31.37004</v>
      </c>
    </row>
    <row r="2936" spans="9:14">
      <c r="I2936" s="62">
        <v>2018</v>
      </c>
      <c r="J2936" s="62">
        <v>4</v>
      </c>
      <c r="K2936" s="62" t="s">
        <v>21</v>
      </c>
      <c r="L2936" s="62" t="s">
        <v>1</v>
      </c>
      <c r="M2936" s="62">
        <v>271.607</v>
      </c>
      <c r="N2936" s="62">
        <v>54.3214</v>
      </c>
    </row>
    <row r="2937" spans="9:14">
      <c r="I2937" s="62">
        <v>2018</v>
      </c>
      <c r="J2937" s="62">
        <v>5</v>
      </c>
      <c r="K2937" s="62" t="s">
        <v>21</v>
      </c>
      <c r="L2937" s="62" t="s">
        <v>1</v>
      </c>
      <c r="M2937" s="62">
        <v>262.235</v>
      </c>
      <c r="N2937" s="62">
        <v>52.447</v>
      </c>
    </row>
    <row r="2938" spans="9:14">
      <c r="I2938" s="62">
        <v>2018</v>
      </c>
      <c r="J2938" s="62">
        <v>6</v>
      </c>
      <c r="K2938" s="62" t="s">
        <v>21</v>
      </c>
      <c r="L2938" s="62" t="s">
        <v>1</v>
      </c>
      <c r="M2938" s="62">
        <v>72.145</v>
      </c>
      <c r="N2938" s="62">
        <v>14.429</v>
      </c>
    </row>
    <row r="2939" spans="9:14">
      <c r="I2939" s="62">
        <v>2018</v>
      </c>
      <c r="J2939" s="62">
        <v>7</v>
      </c>
      <c r="K2939" s="62" t="s">
        <v>21</v>
      </c>
      <c r="L2939" s="62" t="s">
        <v>1</v>
      </c>
      <c r="M2939" s="62">
        <v>125.067</v>
      </c>
      <c r="N2939" s="62">
        <v>25.0134</v>
      </c>
    </row>
    <row r="2940" spans="9:14">
      <c r="I2940" s="62">
        <v>2018</v>
      </c>
      <c r="J2940" s="62">
        <v>8</v>
      </c>
      <c r="K2940" s="62" t="s">
        <v>21</v>
      </c>
      <c r="L2940" s="62" t="s">
        <v>1</v>
      </c>
      <c r="M2940" s="62">
        <v>40.82400000000001</v>
      </c>
      <c r="N2940" s="62">
        <v>8.1648</v>
      </c>
    </row>
    <row r="2941" spans="9:14">
      <c r="I2941" s="62">
        <v>2018</v>
      </c>
      <c r="J2941" s="62">
        <v>9</v>
      </c>
      <c r="K2941" s="62" t="s">
        <v>21</v>
      </c>
      <c r="L2941" s="62" t="s">
        <v>1</v>
      </c>
      <c r="M2941" s="62">
        <v>262.4215</v>
      </c>
      <c r="N2941" s="62">
        <v>52.4843</v>
      </c>
    </row>
    <row r="2942" spans="9:14">
      <c r="I2942" s="62">
        <v>2018</v>
      </c>
      <c r="J2942" s="62">
        <v>10</v>
      </c>
      <c r="K2942" s="62" t="s">
        <v>21</v>
      </c>
      <c r="L2942" s="62" t="s">
        <v>1</v>
      </c>
      <c r="M2942" s="62">
        <v>317.439</v>
      </c>
      <c r="N2942" s="62">
        <v>63.48780000000001</v>
      </c>
    </row>
    <row r="2943" spans="9:14">
      <c r="I2943" s="62">
        <v>2018</v>
      </c>
      <c r="J2943" s="62">
        <v>11</v>
      </c>
      <c r="K2943" s="62" t="s">
        <v>21</v>
      </c>
      <c r="L2943" s="62" t="s">
        <v>1</v>
      </c>
      <c r="M2943" s="62">
        <v>167.14</v>
      </c>
      <c r="N2943" s="62">
        <v>33.428</v>
      </c>
    </row>
    <row r="2944" spans="9:14">
      <c r="I2944" s="62">
        <v>2018</v>
      </c>
      <c r="J2944" s="62">
        <v>12</v>
      </c>
      <c r="K2944" s="62" t="s">
        <v>21</v>
      </c>
      <c r="L2944" s="62" t="s">
        <v>1</v>
      </c>
      <c r="M2944" s="62">
        <v>17.65</v>
      </c>
      <c r="N2944" s="62">
        <v>3.53</v>
      </c>
    </row>
    <row r="2945" spans="9:14">
      <c r="I2945" s="62">
        <v>2019</v>
      </c>
      <c r="J2945" s="62">
        <v>1</v>
      </c>
      <c r="K2945" s="62" t="s">
        <v>21</v>
      </c>
      <c r="L2945" s="62" t="s">
        <v>1</v>
      </c>
      <c r="M2945" s="62">
        <v>193.4008</v>
      </c>
      <c r="N2945" s="62">
        <v>38.68016</v>
      </c>
    </row>
    <row r="2946" spans="9:14">
      <c r="I2946" s="62">
        <v>2019</v>
      </c>
      <c r="J2946" s="62">
        <v>2</v>
      </c>
      <c r="K2946" s="62" t="s">
        <v>21</v>
      </c>
      <c r="L2946" s="62" t="s">
        <v>1</v>
      </c>
      <c r="M2946" s="62">
        <v>260.838</v>
      </c>
      <c r="N2946" s="62">
        <v>52.1676</v>
      </c>
    </row>
    <row r="2947" spans="9:14">
      <c r="I2947" s="62">
        <v>2019</v>
      </c>
      <c r="J2947" s="62">
        <v>3</v>
      </c>
      <c r="K2947" s="62" t="s">
        <v>21</v>
      </c>
      <c r="L2947" s="62" t="s">
        <v>1</v>
      </c>
      <c r="M2947" s="62">
        <v>244.425</v>
      </c>
      <c r="N2947" s="62">
        <v>48.88500000000001</v>
      </c>
    </row>
    <row r="2948" spans="9:14">
      <c r="I2948" s="62">
        <v>2019</v>
      </c>
      <c r="J2948" s="62">
        <v>4</v>
      </c>
      <c r="K2948" s="62" t="s">
        <v>21</v>
      </c>
      <c r="L2948" s="62" t="s">
        <v>1</v>
      </c>
      <c r="M2948" s="62">
        <v>290.03</v>
      </c>
      <c r="N2948" s="62">
        <v>58.006</v>
      </c>
    </row>
    <row r="2949" spans="9:14">
      <c r="I2949" s="62">
        <v>2019</v>
      </c>
      <c r="J2949" s="62">
        <v>5</v>
      </c>
      <c r="K2949" s="62" t="s">
        <v>21</v>
      </c>
      <c r="L2949" s="62" t="s">
        <v>1</v>
      </c>
      <c r="M2949" s="62">
        <v>288.66</v>
      </c>
      <c r="N2949" s="62">
        <v>57.73200000000001</v>
      </c>
    </row>
    <row r="2950" spans="9:14">
      <c r="I2950" s="62">
        <v>2019</v>
      </c>
      <c r="J2950" s="62">
        <v>6</v>
      </c>
      <c r="K2950" s="62" t="s">
        <v>21</v>
      </c>
      <c r="L2950" s="62" t="s">
        <v>1</v>
      </c>
      <c r="M2950" s="62">
        <v>138.08</v>
      </c>
      <c r="N2950" s="62">
        <v>27.616</v>
      </c>
    </row>
    <row r="2951" spans="9:14">
      <c r="I2951" s="62">
        <v>2019</v>
      </c>
      <c r="J2951" s="62">
        <v>7</v>
      </c>
      <c r="K2951" s="62" t="s">
        <v>21</v>
      </c>
      <c r="L2951" s="62" t="s">
        <v>1</v>
      </c>
      <c r="M2951" s="62">
        <v>83.0181</v>
      </c>
      <c r="N2951" s="62">
        <v>16.60362</v>
      </c>
    </row>
    <row r="2952" spans="9:14">
      <c r="I2952" s="62">
        <v>2019</v>
      </c>
      <c r="J2952" s="62">
        <v>8</v>
      </c>
      <c r="K2952" s="62" t="s">
        <v>21</v>
      </c>
      <c r="L2952" s="62" t="s">
        <v>1</v>
      </c>
      <c r="M2952" s="62">
        <v>86.4564</v>
      </c>
      <c r="N2952" s="62">
        <v>17.29128</v>
      </c>
    </row>
    <row r="2953" spans="9:14">
      <c r="I2953" s="62">
        <v>2019</v>
      </c>
      <c r="J2953" s="62">
        <v>9</v>
      </c>
      <c r="K2953" s="62" t="s">
        <v>21</v>
      </c>
      <c r="L2953" s="62" t="s">
        <v>1</v>
      </c>
      <c r="M2953" s="62">
        <v>225.847</v>
      </c>
      <c r="N2953" s="62">
        <v>45.1694</v>
      </c>
    </row>
    <row r="2954" spans="9:14">
      <c r="I2954" s="62">
        <v>2019</v>
      </c>
      <c r="J2954" s="62">
        <v>10</v>
      </c>
      <c r="K2954" s="62" t="s">
        <v>21</v>
      </c>
      <c r="L2954" s="62" t="s">
        <v>1</v>
      </c>
      <c r="M2954" s="62">
        <v>301.912</v>
      </c>
      <c r="N2954" s="62">
        <v>60.3824</v>
      </c>
    </row>
    <row r="2955" spans="9:14">
      <c r="I2955" s="62">
        <v>2019</v>
      </c>
      <c r="J2955" s="62">
        <v>11</v>
      </c>
      <c r="K2955" s="62" t="s">
        <v>21</v>
      </c>
      <c r="L2955" s="62" t="s">
        <v>1</v>
      </c>
      <c r="M2955" s="62">
        <v>199.018</v>
      </c>
      <c r="N2955" s="62">
        <v>39.8036</v>
      </c>
    </row>
    <row r="2956" spans="9:14">
      <c r="I2956" s="62">
        <v>2019</v>
      </c>
      <c r="J2956" s="62">
        <v>12</v>
      </c>
      <c r="K2956" s="62" t="s">
        <v>21</v>
      </c>
      <c r="L2956" s="62" t="s">
        <v>1</v>
      </c>
      <c r="M2956" s="62">
        <v>30.6</v>
      </c>
      <c r="N2956" s="62">
        <v>6.12</v>
      </c>
    </row>
    <row r="2957" spans="9:14">
      <c r="I2957" s="62">
        <v>2020</v>
      </c>
      <c r="J2957" s="62">
        <v>1</v>
      </c>
      <c r="K2957" s="62" t="s">
        <v>21</v>
      </c>
      <c r="L2957" s="62" t="s">
        <v>1</v>
      </c>
      <c r="M2957" s="62">
        <v>38.816</v>
      </c>
      <c r="N2957" s="62">
        <v>7.763200000000001</v>
      </c>
    </row>
    <row r="2958" spans="9:14">
      <c r="I2958" s="62">
        <v>2020</v>
      </c>
      <c r="J2958" s="62">
        <v>2</v>
      </c>
      <c r="K2958" s="62" t="s">
        <v>21</v>
      </c>
      <c r="L2958" s="62" t="s">
        <v>1</v>
      </c>
      <c r="M2958" s="62">
        <v>66.062</v>
      </c>
      <c r="N2958" s="62">
        <v>13.2124</v>
      </c>
    </row>
    <row r="2959" spans="9:14">
      <c r="I2959" s="62">
        <v>2020</v>
      </c>
      <c r="J2959" s="62">
        <v>3</v>
      </c>
      <c r="K2959" s="62" t="s">
        <v>21</v>
      </c>
      <c r="L2959" s="62" t="s">
        <v>1</v>
      </c>
      <c r="M2959" s="62">
        <v>187.2076</v>
      </c>
      <c r="N2959" s="62">
        <v>37.44152</v>
      </c>
    </row>
    <row r="2960" spans="9:14">
      <c r="I2960" s="62">
        <v>2020</v>
      </c>
      <c r="J2960" s="62">
        <v>4</v>
      </c>
      <c r="K2960" s="62" t="s">
        <v>21</v>
      </c>
      <c r="L2960" s="62" t="s">
        <v>1</v>
      </c>
      <c r="M2960" s="62">
        <v>705.5039</v>
      </c>
      <c r="N2960" s="62">
        <v>141.10078</v>
      </c>
    </row>
    <row r="2961" spans="9:14">
      <c r="I2961" s="62">
        <v>2020</v>
      </c>
      <c r="J2961" s="62">
        <v>5</v>
      </c>
      <c r="K2961" s="62" t="s">
        <v>21</v>
      </c>
      <c r="L2961" s="62" t="s">
        <v>1</v>
      </c>
      <c r="M2961" s="62">
        <v>768.3471</v>
      </c>
      <c r="N2961" s="62">
        <v>153.66942</v>
      </c>
    </row>
    <row r="2962" spans="9:14">
      <c r="I2962" s="62">
        <v>2020</v>
      </c>
      <c r="J2962" s="62">
        <v>6</v>
      </c>
      <c r="K2962" s="62" t="s">
        <v>21</v>
      </c>
      <c r="L2962" s="62" t="s">
        <v>1</v>
      </c>
      <c r="M2962" s="62">
        <v>771.5912</v>
      </c>
      <c r="N2962" s="62">
        <v>154.31824</v>
      </c>
    </row>
    <row r="2963" spans="9:14">
      <c r="I2963" s="62">
        <v>2020</v>
      </c>
      <c r="J2963" s="62">
        <v>7</v>
      </c>
      <c r="K2963" s="62" t="s">
        <v>21</v>
      </c>
      <c r="L2963" s="62" t="s">
        <v>1</v>
      </c>
      <c r="M2963" s="62">
        <v>731.259</v>
      </c>
      <c r="N2963" s="62">
        <v>146.2518</v>
      </c>
    </row>
    <row r="2964" spans="9:14">
      <c r="I2964" s="62">
        <v>2020</v>
      </c>
      <c r="J2964" s="62">
        <v>8</v>
      </c>
      <c r="K2964" s="62" t="s">
        <v>21</v>
      </c>
      <c r="L2964" s="62" t="s">
        <v>1</v>
      </c>
      <c r="M2964" s="62">
        <v>788.9895</v>
      </c>
      <c r="N2964" s="62">
        <v>157.7979</v>
      </c>
    </row>
    <row r="2965" spans="9:14">
      <c r="I2965" s="62">
        <v>2020</v>
      </c>
      <c r="J2965" s="62">
        <v>9</v>
      </c>
      <c r="K2965" s="62" t="s">
        <v>21</v>
      </c>
      <c r="L2965" s="62" t="s">
        <v>1</v>
      </c>
      <c r="M2965" s="62">
        <v>930.3351</v>
      </c>
      <c r="N2965" s="62">
        <v>186.06702</v>
      </c>
    </row>
    <row r="2966" spans="9:14">
      <c r="I2966" s="62">
        <v>2020</v>
      </c>
      <c r="J2966" s="62">
        <v>10</v>
      </c>
      <c r="K2966" s="62" t="s">
        <v>21</v>
      </c>
      <c r="L2966" s="62" t="s">
        <v>1</v>
      </c>
      <c r="M2966" s="62">
        <v>866.7062</v>
      </c>
      <c r="N2966" s="62">
        <v>173.34124</v>
      </c>
    </row>
    <row r="2967" spans="9:14">
      <c r="I2967" s="62">
        <v>2020</v>
      </c>
      <c r="J2967" s="62">
        <v>11</v>
      </c>
      <c r="K2967" s="62" t="s">
        <v>21</v>
      </c>
      <c r="L2967" s="62" t="s">
        <v>1</v>
      </c>
      <c r="M2967" s="62">
        <v>730.1765</v>
      </c>
      <c r="N2967" s="62">
        <v>146.0353</v>
      </c>
    </row>
    <row r="2968" spans="9:14">
      <c r="I2968" s="62">
        <v>2020</v>
      </c>
      <c r="J2968" s="62">
        <v>12</v>
      </c>
      <c r="K2968" s="62" t="s">
        <v>21</v>
      </c>
      <c r="L2968" s="62" t="s">
        <v>1</v>
      </c>
      <c r="M2968" s="62">
        <v>711.2245</v>
      </c>
      <c r="N2968" s="62">
        <v>142.2449</v>
      </c>
    </row>
    <row r="2969" spans="9:14">
      <c r="I2969" s="62">
        <v>2021</v>
      </c>
      <c r="J2969" s="62">
        <v>1</v>
      </c>
      <c r="K2969" s="62" t="s">
        <v>21</v>
      </c>
      <c r="L2969" s="62" t="s">
        <v>1</v>
      </c>
      <c r="M2969" s="62">
        <v>712.962</v>
      </c>
      <c r="N2969" s="62">
        <v>142.5924</v>
      </c>
    </row>
    <row r="2970" spans="9:14">
      <c r="I2970" s="62">
        <v>2021</v>
      </c>
      <c r="J2970" s="62">
        <v>2</v>
      </c>
      <c r="K2970" s="62" t="s">
        <v>21</v>
      </c>
      <c r="L2970" s="62" t="s">
        <v>1</v>
      </c>
      <c r="M2970" s="62">
        <v>1022.2947</v>
      </c>
      <c r="N2970" s="62">
        <v>204.45894</v>
      </c>
    </row>
    <row r="2971" spans="9:14">
      <c r="I2971" s="62">
        <v>2021</v>
      </c>
      <c r="J2971" s="62">
        <v>3</v>
      </c>
      <c r="K2971" s="62" t="s">
        <v>21</v>
      </c>
      <c r="L2971" s="62" t="s">
        <v>1</v>
      </c>
      <c r="M2971" s="62">
        <v>807.8012</v>
      </c>
      <c r="N2971" s="62">
        <v>161.56024</v>
      </c>
    </row>
    <row r="2972" spans="9:14">
      <c r="I2972" s="62">
        <v>2021</v>
      </c>
      <c r="J2972" s="62">
        <v>4</v>
      </c>
      <c r="K2972" s="62" t="s">
        <v>21</v>
      </c>
      <c r="L2972" s="62" t="s">
        <v>1</v>
      </c>
      <c r="M2972" s="62">
        <v>438.0655</v>
      </c>
      <c r="N2972" s="62">
        <v>87.6131</v>
      </c>
    </row>
    <row r="2973" spans="9:14">
      <c r="I2973" s="62">
        <v>2021</v>
      </c>
      <c r="J2973" s="62">
        <v>5</v>
      </c>
      <c r="K2973" s="62" t="s">
        <v>21</v>
      </c>
      <c r="L2973" s="62" t="s">
        <v>1</v>
      </c>
      <c r="M2973" s="62">
        <v>256.4084</v>
      </c>
      <c r="N2973" s="62">
        <v>51.28168</v>
      </c>
    </row>
    <row r="2974" spans="9:14">
      <c r="I2974" s="62">
        <v>2021</v>
      </c>
      <c r="J2974" s="62">
        <v>6</v>
      </c>
      <c r="K2974" s="62" t="s">
        <v>21</v>
      </c>
      <c r="L2974" s="62" t="s">
        <v>1</v>
      </c>
      <c r="M2974" s="62">
        <v>210.645</v>
      </c>
      <c r="N2974" s="62">
        <v>42.129</v>
      </c>
    </row>
    <row r="2975" spans="9:14">
      <c r="I2975" s="62">
        <v>2021</v>
      </c>
      <c r="J2975" s="62">
        <v>7</v>
      </c>
      <c r="K2975" s="62" t="s">
        <v>21</v>
      </c>
      <c r="L2975" s="62" t="s">
        <v>1</v>
      </c>
      <c r="M2975" s="62">
        <v>213.578</v>
      </c>
      <c r="N2975" s="62">
        <v>42.7156</v>
      </c>
    </row>
    <row r="2976" spans="9:14">
      <c r="I2976" s="62">
        <v>2021</v>
      </c>
      <c r="J2976" s="62">
        <v>8</v>
      </c>
      <c r="K2976" s="62" t="s">
        <v>21</v>
      </c>
      <c r="L2976" s="62" t="s">
        <v>1</v>
      </c>
      <c r="M2976" s="62">
        <v>247.9404</v>
      </c>
      <c r="N2976" s="62">
        <v>49.58808000000001</v>
      </c>
    </row>
    <row r="2977" spans="9:14">
      <c r="I2977" s="62">
        <v>2021</v>
      </c>
      <c r="J2977" s="62">
        <v>9</v>
      </c>
      <c r="K2977" s="62" t="s">
        <v>21</v>
      </c>
      <c r="L2977" s="62" t="s">
        <v>1</v>
      </c>
      <c r="M2977" s="62">
        <v>352.613</v>
      </c>
      <c r="N2977" s="62">
        <v>70.5226</v>
      </c>
    </row>
    <row r="2978" spans="9:14">
      <c r="I2978" s="62">
        <v>2021</v>
      </c>
      <c r="J2978" s="62">
        <v>10</v>
      </c>
      <c r="K2978" s="62" t="s">
        <v>21</v>
      </c>
      <c r="L2978" s="62" t="s">
        <v>1</v>
      </c>
      <c r="M2978" s="62">
        <v>270.695</v>
      </c>
      <c r="N2978" s="62">
        <v>54.139</v>
      </c>
    </row>
    <row r="2979" spans="9:14">
      <c r="I2979" s="62">
        <v>2021</v>
      </c>
      <c r="J2979" s="62">
        <v>11</v>
      </c>
      <c r="K2979" s="62" t="s">
        <v>21</v>
      </c>
      <c r="L2979" s="62" t="s">
        <v>1</v>
      </c>
      <c r="M2979" s="62">
        <v>242.973</v>
      </c>
      <c r="N2979" s="62">
        <v>48.59460000000001</v>
      </c>
    </row>
    <row r="2980" spans="9:14">
      <c r="I2980" s="62">
        <v>2021</v>
      </c>
      <c r="J2980" s="62">
        <v>12</v>
      </c>
      <c r="K2980" s="62" t="s">
        <v>21</v>
      </c>
      <c r="L2980" s="62" t="s">
        <v>1</v>
      </c>
      <c r="M2980" s="62">
        <v>89.58200000000001</v>
      </c>
      <c r="N2980" s="62">
        <v>17.9164</v>
      </c>
    </row>
    <row r="2981" spans="9:14">
      <c r="I2981" s="62">
        <v>2022</v>
      </c>
      <c r="J2981" s="62">
        <v>1</v>
      </c>
      <c r="K2981" s="62" t="s">
        <v>21</v>
      </c>
      <c r="L2981" s="62" t="s">
        <v>1</v>
      </c>
      <c r="M2981" s="62">
        <v>223.2024</v>
      </c>
      <c r="N2981" s="62">
        <v>44.64048</v>
      </c>
    </row>
    <row r="2982" spans="9:14">
      <c r="I2982" s="62">
        <v>2022</v>
      </c>
      <c r="J2982" s="62">
        <v>2</v>
      </c>
      <c r="K2982" s="62" t="s">
        <v>21</v>
      </c>
      <c r="L2982" s="62" t="s">
        <v>1</v>
      </c>
      <c r="M2982" s="62">
        <v>300.051</v>
      </c>
      <c r="N2982" s="62">
        <v>60.0102</v>
      </c>
    </row>
    <row r="2983" spans="9:14">
      <c r="I2983" s="62">
        <v>2022</v>
      </c>
      <c r="J2983" s="62">
        <v>3</v>
      </c>
      <c r="K2983" s="62" t="s">
        <v>21</v>
      </c>
      <c r="L2983" s="62" t="s">
        <v>1</v>
      </c>
      <c r="M2983" s="62">
        <v>146.793</v>
      </c>
      <c r="N2983" s="62">
        <v>29.3586</v>
      </c>
    </row>
    <row r="2984" spans="9:14">
      <c r="I2984" s="62">
        <v>2022</v>
      </c>
      <c r="J2984" s="62">
        <v>4</v>
      </c>
      <c r="K2984" s="62" t="s">
        <v>21</v>
      </c>
      <c r="L2984" s="62" t="s">
        <v>1</v>
      </c>
      <c r="M2984" s="62">
        <v>170.3166</v>
      </c>
      <c r="N2984" s="62">
        <v>34.06332</v>
      </c>
    </row>
    <row r="2985" spans="9:14">
      <c r="I2985" s="62">
        <v>2022</v>
      </c>
      <c r="J2985" s="62">
        <v>5</v>
      </c>
      <c r="K2985" s="62" t="s">
        <v>21</v>
      </c>
      <c r="L2985" s="62" t="s">
        <v>1</v>
      </c>
      <c r="M2985" s="62">
        <v>216.247</v>
      </c>
      <c r="N2985" s="62">
        <v>43.2494</v>
      </c>
    </row>
    <row r="2986" spans="9:14">
      <c r="I2986" s="62">
        <v>2022</v>
      </c>
      <c r="J2986" s="62">
        <v>6</v>
      </c>
      <c r="K2986" s="62" t="s">
        <v>21</v>
      </c>
      <c r="L2986" s="62" t="s">
        <v>1</v>
      </c>
      <c r="M2986" s="62">
        <v>166.412</v>
      </c>
      <c r="N2986" s="62">
        <v>33.2824</v>
      </c>
    </row>
    <row r="2987" spans="9:14">
      <c r="I2987" s="62">
        <v>2022</v>
      </c>
      <c r="J2987" s="62">
        <v>7</v>
      </c>
      <c r="K2987" s="62" t="s">
        <v>21</v>
      </c>
      <c r="L2987" s="62" t="s">
        <v>1</v>
      </c>
      <c r="M2987" s="62">
        <v>142.0925</v>
      </c>
      <c r="N2987" s="62">
        <v>28.4185</v>
      </c>
    </row>
    <row r="2988" spans="9:14">
      <c r="I2988" s="62">
        <v>2022</v>
      </c>
      <c r="J2988" s="62">
        <v>8</v>
      </c>
      <c r="K2988" s="62" t="s">
        <v>21</v>
      </c>
      <c r="L2988" s="62" t="s">
        <v>1</v>
      </c>
      <c r="M2988" s="62">
        <v>187.684</v>
      </c>
      <c r="N2988" s="62">
        <v>37.5368</v>
      </c>
    </row>
    <row r="2989" spans="9:14">
      <c r="I2989" s="62">
        <v>2022</v>
      </c>
      <c r="J2989" s="62">
        <v>9</v>
      </c>
      <c r="K2989" s="62" t="s">
        <v>21</v>
      </c>
      <c r="L2989" s="62" t="s">
        <v>1</v>
      </c>
      <c r="M2989" s="62">
        <v>293.5644</v>
      </c>
      <c r="N2989" s="62">
        <v>58.71288000000001</v>
      </c>
    </row>
    <row r="2990" spans="9:14">
      <c r="I2990" s="62">
        <v>2022</v>
      </c>
      <c r="J2990" s="62">
        <v>10</v>
      </c>
      <c r="K2990" s="62" t="s">
        <v>21</v>
      </c>
      <c r="L2990" s="62" t="s">
        <v>1</v>
      </c>
      <c r="M2990" s="62">
        <v>340.426</v>
      </c>
      <c r="N2990" s="62">
        <v>68.0852</v>
      </c>
    </row>
    <row r="2991" spans="9:14">
      <c r="I2991" s="62">
        <v>2022</v>
      </c>
      <c r="J2991" s="62">
        <v>11</v>
      </c>
      <c r="K2991" s="62" t="s">
        <v>21</v>
      </c>
      <c r="L2991" s="62" t="s">
        <v>1</v>
      </c>
      <c r="M2991" s="62">
        <v>191.0471</v>
      </c>
      <c r="N2991" s="62">
        <v>38.20942</v>
      </c>
    </row>
    <row r="2992" spans="9:14">
      <c r="I2992" s="62">
        <v>2022</v>
      </c>
      <c r="J2992" s="62">
        <v>12</v>
      </c>
      <c r="K2992" s="62" t="s">
        <v>21</v>
      </c>
      <c r="L2992" s="62" t="s">
        <v>1</v>
      </c>
      <c r="M2992" s="62">
        <v>244.5545</v>
      </c>
      <c r="N2992" s="62">
        <v>48.91090000000001</v>
      </c>
    </row>
    <row r="2993" spans="9:14">
      <c r="I2993" s="62">
        <v>2023</v>
      </c>
      <c r="J2993" s="62">
        <v>1</v>
      </c>
      <c r="K2993" s="62" t="s">
        <v>21</v>
      </c>
      <c r="L2993" s="62" t="s">
        <v>1</v>
      </c>
      <c r="M2993" s="62">
        <v>395.062</v>
      </c>
      <c r="N2993" s="62">
        <v>79.0124</v>
      </c>
    </row>
    <row r="2994" spans="9:14">
      <c r="I2994" s="62">
        <v>2023</v>
      </c>
      <c r="J2994" s="62">
        <v>2</v>
      </c>
      <c r="K2994" s="62" t="s">
        <v>21</v>
      </c>
      <c r="L2994" s="62" t="s">
        <v>1</v>
      </c>
      <c r="M2994" s="62">
        <v>441.775</v>
      </c>
      <c r="N2994" s="62">
        <v>88.355</v>
      </c>
    </row>
    <row r="2995" spans="9:14">
      <c r="I2995" s="62">
        <v>2023</v>
      </c>
      <c r="J2995" s="62">
        <v>3</v>
      </c>
      <c r="K2995" s="62" t="s">
        <v>21</v>
      </c>
      <c r="L2995" s="62" t="s">
        <v>1</v>
      </c>
      <c r="M2995" s="62">
        <v>475.295</v>
      </c>
      <c r="N2995" s="62">
        <v>95.05900000000001</v>
      </c>
    </row>
    <row r="2996" spans="9:14">
      <c r="I2996" s="62">
        <v>2023</v>
      </c>
      <c r="J2996" s="62">
        <v>4</v>
      </c>
      <c r="K2996" s="62" t="s">
        <v>21</v>
      </c>
      <c r="L2996" s="62" t="s">
        <v>1</v>
      </c>
      <c r="M2996" s="62">
        <v>444.665</v>
      </c>
      <c r="N2996" s="62">
        <v>88.93300000000001</v>
      </c>
    </row>
    <row r="2997" spans="9:14">
      <c r="I2997" s="62">
        <v>2023</v>
      </c>
      <c r="J2997" s="62">
        <v>5</v>
      </c>
      <c r="K2997" s="62" t="s">
        <v>21</v>
      </c>
      <c r="L2997" s="62" t="s">
        <v>1</v>
      </c>
      <c r="M2997" s="62">
        <v>213.89</v>
      </c>
      <c r="N2997" s="62">
        <v>42.77800000000001</v>
      </c>
    </row>
    <row r="2998" spans="9:14">
      <c r="I2998" s="62">
        <v>2023</v>
      </c>
      <c r="J2998" s="62">
        <v>6</v>
      </c>
      <c r="K2998" s="62" t="s">
        <v>21</v>
      </c>
      <c r="L2998" s="62" t="s">
        <v>1</v>
      </c>
      <c r="M2998" s="62">
        <v>121.634</v>
      </c>
      <c r="N2998" s="62">
        <v>24.3268</v>
      </c>
    </row>
    <row r="2999" spans="9:14">
      <c r="I2999" s="62">
        <v>2023</v>
      </c>
      <c r="J2999" s="62">
        <v>7</v>
      </c>
      <c r="K2999" s="62" t="s">
        <v>21</v>
      </c>
      <c r="L2999" s="62" t="s">
        <v>1</v>
      </c>
      <c r="M2999" s="62">
        <v>86.23139999999999</v>
      </c>
      <c r="N2999" s="62">
        <v>17.24628</v>
      </c>
    </row>
    <row r="3000" spans="9:14">
      <c r="I3000" s="62">
        <v>2023</v>
      </c>
      <c r="J3000" s="62">
        <v>8</v>
      </c>
      <c r="K3000" s="62" t="s">
        <v>21</v>
      </c>
      <c r="L3000" s="62" t="s">
        <v>1</v>
      </c>
      <c r="M3000" s="62">
        <v>138.989</v>
      </c>
      <c r="N3000" s="62">
        <v>27.7978</v>
      </c>
    </row>
    <row r="3001" spans="9:14">
      <c r="I3001" s="62">
        <v>2023</v>
      </c>
      <c r="J3001" s="62">
        <v>9</v>
      </c>
      <c r="K3001" s="62" t="s">
        <v>21</v>
      </c>
      <c r="L3001" s="62" t="s">
        <v>1</v>
      </c>
      <c r="M3001" s="62">
        <v>250.4542</v>
      </c>
      <c r="N3001" s="62">
        <v>50.09084000000001</v>
      </c>
    </row>
    <row r="3002" spans="9:14">
      <c r="I3002" s="62">
        <v>2023</v>
      </c>
      <c r="J3002" s="62">
        <v>10</v>
      </c>
      <c r="K3002" s="62" t="s">
        <v>21</v>
      </c>
      <c r="L3002" s="62" t="s">
        <v>1</v>
      </c>
      <c r="M3002" s="62">
        <v>439.2558</v>
      </c>
      <c r="N3002" s="62">
        <v>87.85116000000001</v>
      </c>
    </row>
    <row r="3003" spans="9:14">
      <c r="I3003" s="62">
        <v>2023</v>
      </c>
      <c r="J3003" s="62">
        <v>11</v>
      </c>
      <c r="K3003" s="62" t="s">
        <v>21</v>
      </c>
      <c r="L3003" s="62" t="s">
        <v>1</v>
      </c>
      <c r="M3003" s="62">
        <v>176.787</v>
      </c>
      <c r="N3003" s="62">
        <v>35.35740000000001</v>
      </c>
    </row>
    <row r="3004" spans="9:14">
      <c r="I3004" s="62">
        <v>2023</v>
      </c>
      <c r="J3004" s="62">
        <v>12</v>
      </c>
      <c r="K3004" s="62" t="s">
        <v>21</v>
      </c>
      <c r="L3004" s="62" t="s">
        <v>1</v>
      </c>
      <c r="M3004" s="62">
        <v>94.1112</v>
      </c>
      <c r="N3004" s="62">
        <v>18.82224</v>
      </c>
    </row>
    <row r="3005" spans="9:14">
      <c r="I3005" s="62">
        <v>2024</v>
      </c>
      <c r="J3005" s="62">
        <v>1</v>
      </c>
      <c r="K3005" s="62" t="s">
        <v>21</v>
      </c>
      <c r="L3005" s="62" t="s">
        <v>1</v>
      </c>
      <c r="M3005" s="62">
        <v>456.406</v>
      </c>
      <c r="N3005" s="62">
        <v>91.2812</v>
      </c>
    </row>
    <row r="3006" spans="9:14">
      <c r="I3006" s="62">
        <v>2024</v>
      </c>
      <c r="J3006" s="62">
        <v>2</v>
      </c>
      <c r="K3006" s="62" t="s">
        <v>21</v>
      </c>
      <c r="L3006" s="62" t="s">
        <v>1</v>
      </c>
      <c r="M3006" s="62">
        <v>897.518</v>
      </c>
      <c r="N3006" s="62">
        <v>179.5036</v>
      </c>
    </row>
    <row r="3007" spans="9:14">
      <c r="I3007" s="62">
        <v>2024</v>
      </c>
      <c r="J3007" s="62">
        <v>3</v>
      </c>
      <c r="K3007" s="62" t="s">
        <v>21</v>
      </c>
      <c r="L3007" s="62" t="s">
        <v>1</v>
      </c>
      <c r="M3007" s="62">
        <v>489.7858</v>
      </c>
      <c r="N3007" s="62">
        <v>97.95716000000002</v>
      </c>
    </row>
    <row r="3008" spans="9:14">
      <c r="I3008" s="62">
        <v>2024</v>
      </c>
      <c r="J3008" s="62">
        <v>4</v>
      </c>
      <c r="K3008" s="62" t="s">
        <v>21</v>
      </c>
      <c r="L3008" s="62" t="s">
        <v>1</v>
      </c>
      <c r="M3008" s="62">
        <v>260.1832</v>
      </c>
      <c r="N3008" s="62">
        <v>52.03664000000001</v>
      </c>
    </row>
    <row r="3009" spans="9:14">
      <c r="I3009" s="62">
        <v>2024</v>
      </c>
      <c r="J3009" s="62">
        <v>5</v>
      </c>
      <c r="K3009" s="62" t="s">
        <v>21</v>
      </c>
      <c r="L3009" s="62" t="s">
        <v>1</v>
      </c>
      <c r="M3009" s="62">
        <v>145.291</v>
      </c>
      <c r="N3009" s="62">
        <v>29.0582</v>
      </c>
    </row>
    <row r="3010" spans="9:14">
      <c r="I3010" s="62">
        <v>2024</v>
      </c>
      <c r="J3010" s="62">
        <v>6</v>
      </c>
      <c r="K3010" s="62" t="s">
        <v>21</v>
      </c>
      <c r="L3010" s="62" t="s">
        <v>1</v>
      </c>
      <c r="M3010" s="62">
        <v>164.02</v>
      </c>
      <c r="N3010" s="62">
        <v>32.804</v>
      </c>
    </row>
    <row r="3011" spans="9:14">
      <c r="I3011" s="62">
        <v>2024</v>
      </c>
      <c r="J3011" s="62">
        <v>7</v>
      </c>
      <c r="K3011" s="62" t="s">
        <v>21</v>
      </c>
      <c r="L3011" s="62" t="s">
        <v>1</v>
      </c>
      <c r="M3011" s="62">
        <v>97.3175</v>
      </c>
      <c r="N3011" s="62">
        <v>19.4635</v>
      </c>
    </row>
    <row r="3012" spans="9:14">
      <c r="I3012" s="62">
        <v>2024</v>
      </c>
      <c r="J3012" s="62">
        <v>8</v>
      </c>
      <c r="K3012" s="62" t="s">
        <v>21</v>
      </c>
      <c r="L3012" s="62" t="s">
        <v>1</v>
      </c>
      <c r="M3012" s="62">
        <v>44.64340000000001</v>
      </c>
      <c r="N3012" s="62">
        <v>8.92868</v>
      </c>
    </row>
    <row r="3013" spans="9:14">
      <c r="I3013" s="62">
        <v>2024</v>
      </c>
      <c r="J3013" s="62">
        <v>9</v>
      </c>
      <c r="K3013" s="62" t="s">
        <v>21</v>
      </c>
      <c r="L3013" s="62" t="s">
        <v>1</v>
      </c>
      <c r="M3013" s="62">
        <v>156.03</v>
      </c>
      <c r="N3013" s="62">
        <v>31.206</v>
      </c>
    </row>
    <row r="3014" spans="9:14">
      <c r="I3014" s="62">
        <v>2024</v>
      </c>
      <c r="J3014" s="62">
        <v>10</v>
      </c>
      <c r="K3014" s="62" t="s">
        <v>21</v>
      </c>
      <c r="L3014" s="62" t="s">
        <v>1</v>
      </c>
      <c r="M3014" s="62">
        <v>332.116</v>
      </c>
      <c r="N3014" s="62">
        <v>66.42320000000001</v>
      </c>
    </row>
    <row r="3015" spans="9:14">
      <c r="I3015" s="62">
        <v>2024</v>
      </c>
      <c r="J3015" s="62">
        <v>11</v>
      </c>
      <c r="K3015" s="62" t="s">
        <v>21</v>
      </c>
      <c r="L3015" s="62" t="s">
        <v>1</v>
      </c>
      <c r="M3015" s="62">
        <v>200.232</v>
      </c>
      <c r="N3015" s="62">
        <v>40.04640000000001</v>
      </c>
    </row>
    <row r="3016" spans="9:14">
      <c r="I3016" s="62">
        <v>2024</v>
      </c>
      <c r="J3016" s="62">
        <v>12</v>
      </c>
      <c r="K3016" s="62" t="s">
        <v>21</v>
      </c>
      <c r="L3016" s="62" t="s">
        <v>1</v>
      </c>
      <c r="M3016" s="62">
        <v>113.5119</v>
      </c>
      <c r="N3016" s="62">
        <v>22.70238</v>
      </c>
    </row>
    <row r="3017" spans="9:14">
      <c r="I3017" s="62">
        <v>2025</v>
      </c>
      <c r="J3017" s="62">
        <v>1</v>
      </c>
      <c r="K3017" s="62" t="s">
        <v>21</v>
      </c>
      <c r="L3017" s="62" t="s">
        <v>1</v>
      </c>
      <c r="M3017" s="62">
        <v>208.4187</v>
      </c>
      <c r="N3017" s="62">
        <v>41.68374</v>
      </c>
    </row>
    <row r="3018" spans="9:14">
      <c r="I3018" s="62">
        <v>2025</v>
      </c>
      <c r="J3018" s="62">
        <v>2</v>
      </c>
      <c r="K3018" s="62" t="s">
        <v>21</v>
      </c>
      <c r="L3018" s="62" t="s">
        <v>1</v>
      </c>
      <c r="M3018" s="62">
        <v>358.0968</v>
      </c>
      <c r="N3018" s="62">
        <v>71.61936</v>
      </c>
    </row>
    <row r="3019" spans="9:14">
      <c r="I3019" s="62">
        <v>2025</v>
      </c>
      <c r="J3019" s="62">
        <v>3</v>
      </c>
      <c r="K3019" s="62" t="s">
        <v>21</v>
      </c>
      <c r="L3019" s="62" t="s">
        <v>1</v>
      </c>
      <c r="M3019" s="62">
        <v>202.948</v>
      </c>
      <c r="N3019" s="62">
        <v>40.5896</v>
      </c>
    </row>
    <row r="3020" spans="9:14">
      <c r="I3020" s="62">
        <v>2025</v>
      </c>
      <c r="J3020" s="62">
        <v>4</v>
      </c>
      <c r="K3020" s="62" t="s">
        <v>21</v>
      </c>
      <c r="L3020" s="62" t="s">
        <v>1</v>
      </c>
      <c r="M3020" s="62">
        <v>239.505</v>
      </c>
      <c r="N3020" s="62">
        <v>47.901</v>
      </c>
    </row>
    <row r="3021" spans="9:14">
      <c r="I3021" s="62">
        <v>2025</v>
      </c>
      <c r="J3021" s="62">
        <v>5</v>
      </c>
      <c r="K3021" s="62" t="s">
        <v>21</v>
      </c>
      <c r="L3021" s="62" t="s">
        <v>1</v>
      </c>
      <c r="M3021" s="62">
        <v>183.5846</v>
      </c>
      <c r="N3021" s="62">
        <v>36.71692</v>
      </c>
    </row>
    <row r="3022" spans="9:14">
      <c r="I3022" s="62">
        <v>2025</v>
      </c>
      <c r="J3022" s="62">
        <v>6</v>
      </c>
      <c r="K3022" s="62" t="s">
        <v>21</v>
      </c>
      <c r="L3022" s="62" t="s">
        <v>1</v>
      </c>
      <c r="M3022" s="62">
        <v>160.395</v>
      </c>
      <c r="N3022" s="62">
        <v>32.079</v>
      </c>
    </row>
    <row r="3023" spans="9:14">
      <c r="I3023" s="62">
        <v>2025</v>
      </c>
      <c r="J3023" s="62">
        <v>7</v>
      </c>
      <c r="K3023" s="62" t="s">
        <v>21</v>
      </c>
      <c r="L3023" s="62" t="s">
        <v>1</v>
      </c>
      <c r="M3023" s="62">
        <v>83.6208</v>
      </c>
      <c r="N3023" s="62">
        <v>16.72416</v>
      </c>
    </row>
    <row r="3024" spans="9:14">
      <c r="I3024" s="62">
        <v>2025</v>
      </c>
      <c r="J3024" s="62">
        <v>8</v>
      </c>
      <c r="K3024" s="62" t="s">
        <v>21</v>
      </c>
      <c r="L3024" s="62" t="s">
        <v>1</v>
      </c>
      <c r="M3024" s="62">
        <v>84.175</v>
      </c>
      <c r="N3024" s="62">
        <v>16.835</v>
      </c>
    </row>
    <row r="3025" spans="9:14">
      <c r="I3025" s="62">
        <v>2025</v>
      </c>
      <c r="J3025" s="62">
        <v>9</v>
      </c>
      <c r="K3025" s="62" t="s">
        <v>21</v>
      </c>
      <c r="L3025" s="62" t="s">
        <v>1</v>
      </c>
      <c r="M3025" s="62">
        <v>167.726</v>
      </c>
      <c r="N3025" s="62">
        <v>33.5452</v>
      </c>
    </row>
    <row r="3026" spans="9:14">
      <c r="I3026" s="62">
        <v>2025</v>
      </c>
      <c r="J3026" s="62">
        <v>10</v>
      </c>
      <c r="K3026" s="62" t="s">
        <v>21</v>
      </c>
      <c r="L3026" s="62" t="s">
        <v>1</v>
      </c>
      <c r="M3026" s="62">
        <v>354.812</v>
      </c>
      <c r="N3026" s="62">
        <v>70.9624</v>
      </c>
    </row>
    <row r="3027" spans="9:14">
      <c r="I3027" s="62">
        <v>2025</v>
      </c>
      <c r="J3027" s="62">
        <v>11</v>
      </c>
      <c r="K3027" s="62" t="s">
        <v>21</v>
      </c>
      <c r="L3027" s="62" t="s">
        <v>1</v>
      </c>
      <c r="M3027" s="62">
        <v>191.945</v>
      </c>
      <c r="N3027" s="62">
        <v>38.389</v>
      </c>
    </row>
    <row r="3028" spans="9:14">
      <c r="I3028" s="62">
        <v>2025</v>
      </c>
      <c r="J3028" s="62">
        <v>12</v>
      </c>
      <c r="K3028" s="62" t="s">
        <v>21</v>
      </c>
      <c r="L3028" s="62" t="s">
        <v>1</v>
      </c>
      <c r="M3028" s="62">
        <v>64.68000000000001</v>
      </c>
      <c r="N3028" s="62">
        <v>12.936</v>
      </c>
    </row>
    <row r="3029" spans="9:14">
      <c r="I3029" s="62">
        <v>2026</v>
      </c>
      <c r="J3029" s="62">
        <v>1</v>
      </c>
      <c r="K3029" s="62" t="s">
        <v>21</v>
      </c>
      <c r="L3029" s="62" t="s">
        <v>1</v>
      </c>
      <c r="M3029" s="62">
        <v>30.808</v>
      </c>
      <c r="N3029" s="62">
        <v>6.1616</v>
      </c>
    </row>
    <row r="3030" spans="9:14">
      <c r="I3030" s="62">
        <v>2026</v>
      </c>
      <c r="J3030" s="62">
        <v>2</v>
      </c>
      <c r="K3030" s="62" t="s">
        <v>21</v>
      </c>
      <c r="L3030" s="62" t="s">
        <v>1</v>
      </c>
      <c r="M3030" s="62">
        <v>116.6575</v>
      </c>
      <c r="N3030" s="62">
        <v>23.3315</v>
      </c>
    </row>
    <row r="3031" spans="9:14">
      <c r="I3031" s="62">
        <v>2026</v>
      </c>
      <c r="J3031" s="62">
        <v>3</v>
      </c>
      <c r="K3031" s="62" t="s">
        <v>21</v>
      </c>
      <c r="L3031" s="62" t="s">
        <v>1</v>
      </c>
      <c r="M3031" s="62">
        <v>197.5375</v>
      </c>
      <c r="N3031" s="62">
        <v>39.5075</v>
      </c>
    </row>
    <row r="3032" spans="9:14">
      <c r="I3032" s="62">
        <v>2026</v>
      </c>
      <c r="J3032" s="62">
        <v>4</v>
      </c>
      <c r="K3032" s="62" t="s">
        <v>21</v>
      </c>
      <c r="L3032" s="62" t="s">
        <v>1</v>
      </c>
      <c r="M3032" s="62">
        <v>260.766</v>
      </c>
      <c r="N3032" s="62">
        <v>52.15320000000001</v>
      </c>
    </row>
    <row r="3033" spans="9:14">
      <c r="I3033" s="62">
        <v>2026</v>
      </c>
      <c r="J3033" s="62">
        <v>5</v>
      </c>
      <c r="K3033" s="62" t="s">
        <v>21</v>
      </c>
      <c r="L3033" s="62" t="s">
        <v>1</v>
      </c>
      <c r="M3033" s="62">
        <v>82.11799999999999</v>
      </c>
      <c r="N3033" s="62">
        <v>16.4236</v>
      </c>
    </row>
    <row r="3034" spans="9:14">
      <c r="I3034" s="62">
        <v>2026</v>
      </c>
      <c r="J3034" s="62">
        <v>6</v>
      </c>
      <c r="K3034" s="62" t="s">
        <v>21</v>
      </c>
      <c r="L3034" s="62" t="s">
        <v>1</v>
      </c>
      <c r="M3034" s="62">
        <v>33.33</v>
      </c>
      <c r="N3034" s="62">
        <v>6.666</v>
      </c>
    </row>
    <row r="3035" spans="9:14">
      <c r="I3035" s="62">
        <v>2026</v>
      </c>
      <c r="J3035" s="62">
        <v>7</v>
      </c>
      <c r="K3035" s="62" t="s">
        <v>21</v>
      </c>
      <c r="L3035" s="62" t="s">
        <v>1</v>
      </c>
      <c r="M3035" s="62">
        <v>25</v>
      </c>
      <c r="N3035" s="62">
        <v>5</v>
      </c>
    </row>
    <row r="3036" spans="9:14">
      <c r="I3036" s="62">
        <v>2026</v>
      </c>
      <c r="J3036" s="62">
        <v>9</v>
      </c>
      <c r="K3036" s="62" t="s">
        <v>21</v>
      </c>
      <c r="L3036" s="62" t="s">
        <v>1</v>
      </c>
      <c r="M3036" s="62">
        <v>107.72</v>
      </c>
      <c r="N3036" s="62">
        <v>21.544</v>
      </c>
    </row>
    <row r="3037" spans="9:14">
      <c r="I3037" s="62">
        <v>2026</v>
      </c>
      <c r="J3037" s="62">
        <v>10</v>
      </c>
      <c r="K3037" s="62" t="s">
        <v>21</v>
      </c>
      <c r="L3037" s="62" t="s">
        <v>1</v>
      </c>
      <c r="M3037" s="62">
        <v>127.332</v>
      </c>
      <c r="N3037" s="62">
        <v>25.4664</v>
      </c>
    </row>
    <row r="3038" spans="9:14">
      <c r="I3038" s="62">
        <v>2026</v>
      </c>
      <c r="J3038" s="62">
        <v>11</v>
      </c>
      <c r="K3038" s="62" t="s">
        <v>21</v>
      </c>
      <c r="L3038" s="62" t="s">
        <v>1</v>
      </c>
      <c r="M3038" s="62">
        <v>54.59</v>
      </c>
      <c r="N3038" s="62">
        <v>10.918</v>
      </c>
    </row>
    <row r="3039" spans="9:14">
      <c r="I3039" s="62">
        <v>2027</v>
      </c>
      <c r="J3039" s="62">
        <v>1</v>
      </c>
      <c r="K3039" s="62" t="s">
        <v>21</v>
      </c>
      <c r="L3039" s="62" t="s">
        <v>1</v>
      </c>
      <c r="M3039" s="62">
        <v>63.855</v>
      </c>
      <c r="N3039" s="62">
        <v>12.771</v>
      </c>
    </row>
    <row r="3040" spans="9:14">
      <c r="I3040" s="62">
        <v>2027</v>
      </c>
      <c r="J3040" s="62">
        <v>2</v>
      </c>
      <c r="K3040" s="62" t="s">
        <v>21</v>
      </c>
      <c r="L3040" s="62" t="s">
        <v>1</v>
      </c>
      <c r="M3040" s="62">
        <v>65.42</v>
      </c>
      <c r="N3040" s="62">
        <v>13.084</v>
      </c>
    </row>
    <row r="3041" spans="9:14">
      <c r="I3041" s="62">
        <v>2027</v>
      </c>
      <c r="J3041" s="62">
        <v>3</v>
      </c>
      <c r="K3041" s="62" t="s">
        <v>21</v>
      </c>
      <c r="L3041" s="62" t="s">
        <v>1</v>
      </c>
      <c r="M3041" s="62">
        <v>49.921</v>
      </c>
      <c r="N3041" s="62">
        <v>9.984200000000001</v>
      </c>
    </row>
    <row r="3042" spans="9:14">
      <c r="I3042" s="62">
        <v>2027</v>
      </c>
      <c r="J3042" s="62">
        <v>4</v>
      </c>
      <c r="K3042" s="62" t="s">
        <v>21</v>
      </c>
      <c r="L3042" s="62" t="s">
        <v>1</v>
      </c>
      <c r="M3042" s="62">
        <v>115</v>
      </c>
      <c r="N3042" s="62">
        <v>23</v>
      </c>
    </row>
    <row r="3043" spans="9:14">
      <c r="I3043" s="62">
        <v>2027</v>
      </c>
      <c r="J3043" s="62">
        <v>5</v>
      </c>
      <c r="K3043" s="62" t="s">
        <v>21</v>
      </c>
      <c r="L3043" s="62" t="s">
        <v>1</v>
      </c>
      <c r="M3043" s="62">
        <v>105.62</v>
      </c>
      <c r="N3043" s="62">
        <v>21.124</v>
      </c>
    </row>
    <row r="3044" spans="9:14">
      <c r="I3044" s="62">
        <v>2027</v>
      </c>
      <c r="J3044" s="62">
        <v>6</v>
      </c>
      <c r="K3044" s="62" t="s">
        <v>21</v>
      </c>
      <c r="L3044" s="62" t="s">
        <v>1</v>
      </c>
      <c r="M3044" s="62">
        <v>4.2</v>
      </c>
      <c r="N3044" s="62">
        <v>0.8400000000000001</v>
      </c>
    </row>
    <row r="3045" spans="9:14">
      <c r="I3045" s="62">
        <v>2027</v>
      </c>
      <c r="J3045" s="62">
        <v>9</v>
      </c>
      <c r="K3045" s="62" t="s">
        <v>21</v>
      </c>
      <c r="L3045" s="62" t="s">
        <v>1</v>
      </c>
      <c r="M3045" s="62">
        <v>212.835</v>
      </c>
      <c r="N3045" s="62">
        <v>42.56700000000001</v>
      </c>
    </row>
    <row r="3046" spans="9:14">
      <c r="I3046" s="62">
        <v>2027</v>
      </c>
      <c r="J3046" s="62">
        <v>10</v>
      </c>
      <c r="K3046" s="62" t="s">
        <v>21</v>
      </c>
      <c r="L3046" s="62" t="s">
        <v>1</v>
      </c>
      <c r="M3046" s="62">
        <v>103.92</v>
      </c>
      <c r="N3046" s="62">
        <v>20.784</v>
      </c>
    </row>
    <row r="3047" spans="9:14">
      <c r="I3047" s="62">
        <v>2027</v>
      </c>
      <c r="J3047" s="62">
        <v>11</v>
      </c>
      <c r="K3047" s="62" t="s">
        <v>21</v>
      </c>
      <c r="L3047" s="62" t="s">
        <v>1</v>
      </c>
      <c r="M3047" s="62">
        <v>11.35</v>
      </c>
      <c r="N3047" s="62">
        <v>2.27</v>
      </c>
    </row>
    <row r="3048" spans="9:14">
      <c r="I3048" s="62">
        <v>2014</v>
      </c>
      <c r="J3048" s="62">
        <v>1</v>
      </c>
      <c r="K3048" s="62" t="s">
        <v>21</v>
      </c>
      <c r="L3048" s="62" t="s">
        <v>2</v>
      </c>
      <c r="M3048" s="62">
        <v>16.7</v>
      </c>
      <c r="N3048" s="62">
        <v>3.34</v>
      </c>
    </row>
    <row r="3049" spans="9:14">
      <c r="I3049" s="62">
        <v>2014</v>
      </c>
      <c r="J3049" s="62">
        <v>2</v>
      </c>
      <c r="K3049" s="62" t="s">
        <v>21</v>
      </c>
      <c r="L3049" s="62" t="s">
        <v>2</v>
      </c>
      <c r="M3049" s="62">
        <v>131.365</v>
      </c>
      <c r="N3049" s="62">
        <v>26.273</v>
      </c>
    </row>
    <row r="3050" spans="9:14">
      <c r="I3050" s="62">
        <v>2014</v>
      </c>
      <c r="J3050" s="62">
        <v>3</v>
      </c>
      <c r="K3050" s="62" t="s">
        <v>21</v>
      </c>
      <c r="L3050" s="62" t="s">
        <v>2</v>
      </c>
      <c r="M3050" s="62">
        <v>146.73</v>
      </c>
      <c r="N3050" s="62">
        <v>29.346</v>
      </c>
    </row>
    <row r="3051" spans="9:14">
      <c r="I3051" s="62">
        <v>2014</v>
      </c>
      <c r="J3051" s="62">
        <v>4</v>
      </c>
      <c r="K3051" s="62" t="s">
        <v>21</v>
      </c>
      <c r="L3051" s="62" t="s">
        <v>2</v>
      </c>
      <c r="M3051" s="62">
        <v>94.88</v>
      </c>
      <c r="N3051" s="62">
        <v>18.976</v>
      </c>
    </row>
    <row r="3052" spans="9:14">
      <c r="I3052" s="62">
        <v>2014</v>
      </c>
      <c r="J3052" s="62">
        <v>5</v>
      </c>
      <c r="K3052" s="62" t="s">
        <v>21</v>
      </c>
      <c r="L3052" s="62" t="s">
        <v>2</v>
      </c>
      <c r="M3052" s="62">
        <v>223</v>
      </c>
      <c r="N3052" s="62">
        <v>44.6</v>
      </c>
    </row>
    <row r="3053" spans="9:14">
      <c r="I3053" s="62">
        <v>2014</v>
      </c>
      <c r="J3053" s="62">
        <v>6</v>
      </c>
      <c r="K3053" s="62" t="s">
        <v>21</v>
      </c>
      <c r="L3053" s="62" t="s">
        <v>2</v>
      </c>
      <c r="M3053" s="62">
        <v>133.2475</v>
      </c>
      <c r="N3053" s="62">
        <v>26.6495</v>
      </c>
    </row>
    <row r="3054" spans="9:14">
      <c r="I3054" s="62">
        <v>2014</v>
      </c>
      <c r="J3054" s="62">
        <v>9</v>
      </c>
      <c r="K3054" s="62" t="s">
        <v>21</v>
      </c>
      <c r="L3054" s="62" t="s">
        <v>2</v>
      </c>
      <c r="M3054" s="62">
        <v>31.526</v>
      </c>
      <c r="N3054" s="62">
        <v>6.3052</v>
      </c>
    </row>
    <row r="3055" spans="9:14">
      <c r="I3055" s="62">
        <v>2014</v>
      </c>
      <c r="J3055" s="62">
        <v>10</v>
      </c>
      <c r="K3055" s="62" t="s">
        <v>21</v>
      </c>
      <c r="L3055" s="62" t="s">
        <v>2</v>
      </c>
      <c r="M3055" s="62">
        <v>109.98</v>
      </c>
      <c r="N3055" s="62">
        <v>21.996</v>
      </c>
    </row>
    <row r="3056" spans="9:14">
      <c r="I3056" s="62">
        <v>2014</v>
      </c>
      <c r="J3056" s="62">
        <v>11</v>
      </c>
      <c r="K3056" s="62" t="s">
        <v>21</v>
      </c>
      <c r="L3056" s="62" t="s">
        <v>2</v>
      </c>
      <c r="M3056" s="62">
        <v>51.415</v>
      </c>
      <c r="N3056" s="62">
        <v>10.283</v>
      </c>
    </row>
    <row r="3057" spans="9:14">
      <c r="I3057" s="62">
        <v>2015</v>
      </c>
      <c r="J3057" s="62">
        <v>1</v>
      </c>
      <c r="K3057" s="62" t="s">
        <v>21</v>
      </c>
      <c r="L3057" s="62" t="s">
        <v>2</v>
      </c>
      <c r="M3057" s="62">
        <v>51.075</v>
      </c>
      <c r="N3057" s="62">
        <v>10.215</v>
      </c>
    </row>
    <row r="3058" spans="9:14">
      <c r="I3058" s="62">
        <v>2015</v>
      </c>
      <c r="J3058" s="62">
        <v>2</v>
      </c>
      <c r="K3058" s="62" t="s">
        <v>21</v>
      </c>
      <c r="L3058" s="62" t="s">
        <v>2</v>
      </c>
      <c r="M3058" s="62">
        <v>41.35</v>
      </c>
      <c r="N3058" s="62">
        <v>8.27</v>
      </c>
    </row>
    <row r="3059" spans="9:14">
      <c r="I3059" s="62">
        <v>2015</v>
      </c>
      <c r="J3059" s="62">
        <v>3</v>
      </c>
      <c r="K3059" s="62" t="s">
        <v>21</v>
      </c>
      <c r="L3059" s="62" t="s">
        <v>2</v>
      </c>
      <c r="M3059" s="62">
        <v>30.36</v>
      </c>
      <c r="N3059" s="62">
        <v>6.072000000000001</v>
      </c>
    </row>
    <row r="3060" spans="9:14">
      <c r="I3060" s="62">
        <v>2015</v>
      </c>
      <c r="J3060" s="62">
        <v>4</v>
      </c>
      <c r="K3060" s="62" t="s">
        <v>21</v>
      </c>
      <c r="L3060" s="62" t="s">
        <v>2</v>
      </c>
      <c r="M3060" s="62">
        <v>28.75</v>
      </c>
      <c r="N3060" s="62">
        <v>5.75</v>
      </c>
    </row>
    <row r="3061" spans="9:14">
      <c r="I3061" s="62">
        <v>2015</v>
      </c>
      <c r="J3061" s="62">
        <v>5</v>
      </c>
      <c r="K3061" s="62" t="s">
        <v>21</v>
      </c>
      <c r="L3061" s="62" t="s">
        <v>2</v>
      </c>
      <c r="M3061" s="62">
        <v>14.935</v>
      </c>
      <c r="N3061" s="62">
        <v>2.987000000000001</v>
      </c>
    </row>
    <row r="3062" spans="9:14">
      <c r="I3062" s="62">
        <v>2015</v>
      </c>
      <c r="J3062" s="62">
        <v>6</v>
      </c>
      <c r="K3062" s="62" t="s">
        <v>21</v>
      </c>
      <c r="L3062" s="62" t="s">
        <v>2</v>
      </c>
      <c r="M3062" s="62">
        <v>11.5</v>
      </c>
      <c r="N3062" s="62">
        <v>2.3</v>
      </c>
    </row>
    <row r="3063" spans="9:14">
      <c r="I3063" s="62">
        <v>2015</v>
      </c>
      <c r="J3063" s="62">
        <v>7</v>
      </c>
      <c r="K3063" s="62" t="s">
        <v>21</v>
      </c>
      <c r="L3063" s="62" t="s">
        <v>2</v>
      </c>
      <c r="M3063" s="62">
        <v>29.6875</v>
      </c>
      <c r="N3063" s="62">
        <v>5.9375</v>
      </c>
    </row>
    <row r="3064" spans="9:14">
      <c r="I3064" s="62">
        <v>2015</v>
      </c>
      <c r="J3064" s="62">
        <v>8</v>
      </c>
      <c r="K3064" s="62" t="s">
        <v>21</v>
      </c>
      <c r="L3064" s="62" t="s">
        <v>2</v>
      </c>
      <c r="M3064" s="62">
        <v>34.755</v>
      </c>
      <c r="N3064" s="62">
        <v>6.951000000000001</v>
      </c>
    </row>
    <row r="3065" spans="9:14">
      <c r="I3065" s="62">
        <v>2015</v>
      </c>
      <c r="J3065" s="62">
        <v>9</v>
      </c>
      <c r="K3065" s="62" t="s">
        <v>21</v>
      </c>
      <c r="L3065" s="62" t="s">
        <v>2</v>
      </c>
      <c r="M3065" s="62">
        <v>49.9325</v>
      </c>
      <c r="N3065" s="62">
        <v>9.986500000000001</v>
      </c>
    </row>
    <row r="3066" spans="9:14">
      <c r="I3066" s="62">
        <v>2015</v>
      </c>
      <c r="J3066" s="62">
        <v>10</v>
      </c>
      <c r="K3066" s="62" t="s">
        <v>21</v>
      </c>
      <c r="L3066" s="62" t="s">
        <v>2</v>
      </c>
      <c r="M3066" s="62">
        <v>84.56999999999999</v>
      </c>
      <c r="N3066" s="62">
        <v>16.914</v>
      </c>
    </row>
    <row r="3067" spans="9:14">
      <c r="I3067" s="62">
        <v>2015</v>
      </c>
      <c r="J3067" s="62">
        <v>11</v>
      </c>
      <c r="K3067" s="62" t="s">
        <v>21</v>
      </c>
      <c r="L3067" s="62" t="s">
        <v>2</v>
      </c>
      <c r="M3067" s="62">
        <v>9.7303</v>
      </c>
      <c r="N3067" s="62">
        <v>1.94606</v>
      </c>
    </row>
    <row r="3068" spans="9:14">
      <c r="I3068" s="62">
        <v>2015</v>
      </c>
      <c r="J3068" s="62">
        <v>12</v>
      </c>
      <c r="K3068" s="62" t="s">
        <v>21</v>
      </c>
      <c r="L3068" s="62" t="s">
        <v>2</v>
      </c>
      <c r="M3068" s="62">
        <v>18.5404</v>
      </c>
      <c r="N3068" s="62">
        <v>3.70808</v>
      </c>
    </row>
    <row r="3069" spans="9:14">
      <c r="I3069" s="62">
        <v>2016</v>
      </c>
      <c r="J3069" s="62">
        <v>1</v>
      </c>
      <c r="K3069" s="62" t="s">
        <v>21</v>
      </c>
      <c r="L3069" s="62" t="s">
        <v>2</v>
      </c>
      <c r="M3069" s="62">
        <v>91.81999999999999</v>
      </c>
      <c r="N3069" s="62">
        <v>18.364</v>
      </c>
    </row>
    <row r="3070" spans="9:14">
      <c r="I3070" s="62">
        <v>2016</v>
      </c>
      <c r="J3070" s="62">
        <v>2</v>
      </c>
      <c r="K3070" s="62" t="s">
        <v>21</v>
      </c>
      <c r="L3070" s="62" t="s">
        <v>2</v>
      </c>
      <c r="M3070" s="62">
        <v>165.27</v>
      </c>
      <c r="N3070" s="62">
        <v>33.054</v>
      </c>
    </row>
    <row r="3071" spans="9:14">
      <c r="I3071" s="62">
        <v>2016</v>
      </c>
      <c r="J3071" s="62">
        <v>3</v>
      </c>
      <c r="K3071" s="62" t="s">
        <v>21</v>
      </c>
      <c r="L3071" s="62" t="s">
        <v>2</v>
      </c>
      <c r="M3071" s="62">
        <v>81.56</v>
      </c>
      <c r="N3071" s="62">
        <v>16.312</v>
      </c>
    </row>
    <row r="3072" spans="9:14">
      <c r="I3072" s="62">
        <v>2016</v>
      </c>
      <c r="J3072" s="62">
        <v>4</v>
      </c>
      <c r="K3072" s="62" t="s">
        <v>21</v>
      </c>
      <c r="L3072" s="62" t="s">
        <v>2</v>
      </c>
      <c r="M3072" s="62">
        <v>150.795</v>
      </c>
      <c r="N3072" s="62">
        <v>30.159</v>
      </c>
    </row>
    <row r="3073" spans="9:14">
      <c r="I3073" s="62">
        <v>2016</v>
      </c>
      <c r="J3073" s="62">
        <v>5</v>
      </c>
      <c r="K3073" s="62" t="s">
        <v>21</v>
      </c>
      <c r="L3073" s="62" t="s">
        <v>2</v>
      </c>
      <c r="M3073" s="62">
        <v>192.249</v>
      </c>
      <c r="N3073" s="62">
        <v>38.4498</v>
      </c>
    </row>
    <row r="3074" spans="9:14">
      <c r="I3074" s="62">
        <v>2016</v>
      </c>
      <c r="J3074" s="62">
        <v>6</v>
      </c>
      <c r="K3074" s="62" t="s">
        <v>21</v>
      </c>
      <c r="L3074" s="62" t="s">
        <v>2</v>
      </c>
      <c r="M3074" s="62">
        <v>82.0945</v>
      </c>
      <c r="N3074" s="62">
        <v>16.4189</v>
      </c>
    </row>
    <row r="3075" spans="9:14">
      <c r="I3075" s="62">
        <v>2016</v>
      </c>
      <c r="J3075" s="62">
        <v>7</v>
      </c>
      <c r="K3075" s="62" t="s">
        <v>21</v>
      </c>
      <c r="L3075" s="62" t="s">
        <v>2</v>
      </c>
      <c r="M3075" s="62">
        <v>40.02</v>
      </c>
      <c r="N3075" s="62">
        <v>8.004000000000001</v>
      </c>
    </row>
    <row r="3076" spans="9:14">
      <c r="I3076" s="62">
        <v>2016</v>
      </c>
      <c r="J3076" s="62">
        <v>8</v>
      </c>
      <c r="K3076" s="62" t="s">
        <v>21</v>
      </c>
      <c r="L3076" s="62" t="s">
        <v>2</v>
      </c>
      <c r="M3076" s="62">
        <v>40.565</v>
      </c>
      <c r="N3076" s="62">
        <v>8.113</v>
      </c>
    </row>
    <row r="3077" spans="9:14">
      <c r="I3077" s="62">
        <v>2016</v>
      </c>
      <c r="J3077" s="62">
        <v>9</v>
      </c>
      <c r="K3077" s="62" t="s">
        <v>21</v>
      </c>
      <c r="L3077" s="62" t="s">
        <v>2</v>
      </c>
      <c r="M3077" s="62">
        <v>46.095</v>
      </c>
      <c r="N3077" s="62">
        <v>9.219000000000001</v>
      </c>
    </row>
    <row r="3078" spans="9:14">
      <c r="I3078" s="62">
        <v>2016</v>
      </c>
      <c r="J3078" s="62">
        <v>10</v>
      </c>
      <c r="K3078" s="62" t="s">
        <v>21</v>
      </c>
      <c r="L3078" s="62" t="s">
        <v>2</v>
      </c>
      <c r="M3078" s="62">
        <v>81.92</v>
      </c>
      <c r="N3078" s="62">
        <v>16.384</v>
      </c>
    </row>
    <row r="3079" spans="9:14">
      <c r="I3079" s="62">
        <v>2016</v>
      </c>
      <c r="J3079" s="62">
        <v>11</v>
      </c>
      <c r="K3079" s="62" t="s">
        <v>21</v>
      </c>
      <c r="L3079" s="62" t="s">
        <v>2</v>
      </c>
      <c r="M3079" s="62">
        <v>17.49</v>
      </c>
      <c r="N3079" s="62">
        <v>3.498</v>
      </c>
    </row>
    <row r="3080" spans="9:14">
      <c r="I3080" s="62">
        <v>2016</v>
      </c>
      <c r="J3080" s="62">
        <v>12</v>
      </c>
      <c r="K3080" s="62" t="s">
        <v>21</v>
      </c>
      <c r="L3080" s="62" t="s">
        <v>2</v>
      </c>
      <c r="M3080" s="62">
        <v>7.32</v>
      </c>
      <c r="N3080" s="62">
        <v>1.464</v>
      </c>
    </row>
    <row r="3081" spans="9:14">
      <c r="I3081" s="62">
        <v>2017</v>
      </c>
      <c r="J3081" s="62">
        <v>1</v>
      </c>
      <c r="K3081" s="62" t="s">
        <v>21</v>
      </c>
      <c r="L3081" s="62" t="s">
        <v>2</v>
      </c>
      <c r="M3081" s="62">
        <v>56.85</v>
      </c>
      <c r="N3081" s="62">
        <v>11.37</v>
      </c>
    </row>
    <row r="3082" spans="9:14">
      <c r="I3082" s="62">
        <v>2017</v>
      </c>
      <c r="J3082" s="62">
        <v>2</v>
      </c>
      <c r="K3082" s="62" t="s">
        <v>21</v>
      </c>
      <c r="L3082" s="62" t="s">
        <v>2</v>
      </c>
      <c r="M3082" s="62">
        <v>140.1316</v>
      </c>
      <c r="N3082" s="62">
        <v>28.02632</v>
      </c>
    </row>
    <row r="3083" spans="9:14">
      <c r="I3083" s="62">
        <v>2017</v>
      </c>
      <c r="J3083" s="62">
        <v>3</v>
      </c>
      <c r="K3083" s="62" t="s">
        <v>21</v>
      </c>
      <c r="L3083" s="62" t="s">
        <v>2</v>
      </c>
      <c r="M3083" s="62">
        <v>91.47790000000001</v>
      </c>
      <c r="N3083" s="62">
        <v>18.29558</v>
      </c>
    </row>
    <row r="3084" spans="9:14">
      <c r="I3084" s="62">
        <v>2017</v>
      </c>
      <c r="J3084" s="62">
        <v>4</v>
      </c>
      <c r="K3084" s="62" t="s">
        <v>21</v>
      </c>
      <c r="L3084" s="62" t="s">
        <v>2</v>
      </c>
      <c r="M3084" s="62">
        <v>41.52</v>
      </c>
      <c r="N3084" s="62">
        <v>8.304</v>
      </c>
    </row>
    <row r="3085" spans="9:14">
      <c r="I3085" s="62">
        <v>2017</v>
      </c>
      <c r="J3085" s="62">
        <v>5</v>
      </c>
      <c r="K3085" s="62" t="s">
        <v>21</v>
      </c>
      <c r="L3085" s="62" t="s">
        <v>2</v>
      </c>
      <c r="M3085" s="62">
        <v>79.1675</v>
      </c>
      <c r="N3085" s="62">
        <v>15.8335</v>
      </c>
    </row>
    <row r="3086" spans="9:14">
      <c r="I3086" s="62">
        <v>2017</v>
      </c>
      <c r="J3086" s="62">
        <v>6</v>
      </c>
      <c r="K3086" s="62" t="s">
        <v>21</v>
      </c>
      <c r="L3086" s="62" t="s">
        <v>2</v>
      </c>
      <c r="M3086" s="62">
        <v>41.55</v>
      </c>
      <c r="N3086" s="62">
        <v>8.31</v>
      </c>
    </row>
    <row r="3087" spans="9:14">
      <c r="I3087" s="62">
        <v>2017</v>
      </c>
      <c r="J3087" s="62">
        <v>7</v>
      </c>
      <c r="K3087" s="62" t="s">
        <v>21</v>
      </c>
      <c r="L3087" s="62" t="s">
        <v>2</v>
      </c>
      <c r="M3087" s="62">
        <v>34.76</v>
      </c>
      <c r="N3087" s="62">
        <v>6.952</v>
      </c>
    </row>
    <row r="3088" spans="9:14">
      <c r="I3088" s="62">
        <v>2017</v>
      </c>
      <c r="J3088" s="62">
        <v>9</v>
      </c>
      <c r="K3088" s="62" t="s">
        <v>21</v>
      </c>
      <c r="L3088" s="62" t="s">
        <v>2</v>
      </c>
      <c r="M3088" s="62">
        <v>35.4</v>
      </c>
      <c r="N3088" s="62">
        <v>7.08</v>
      </c>
    </row>
    <row r="3089" spans="9:14">
      <c r="I3089" s="62">
        <v>2017</v>
      </c>
      <c r="J3089" s="62">
        <v>10</v>
      </c>
      <c r="K3089" s="62" t="s">
        <v>21</v>
      </c>
      <c r="L3089" s="62" t="s">
        <v>2</v>
      </c>
      <c r="M3089" s="62">
        <v>30.03</v>
      </c>
      <c r="N3089" s="62">
        <v>6.006</v>
      </c>
    </row>
    <row r="3090" spans="9:14">
      <c r="I3090" s="62">
        <v>2017</v>
      </c>
      <c r="J3090" s="62">
        <v>11</v>
      </c>
      <c r="K3090" s="62" t="s">
        <v>21</v>
      </c>
      <c r="L3090" s="62" t="s">
        <v>2</v>
      </c>
      <c r="M3090" s="62">
        <v>15.715</v>
      </c>
      <c r="N3090" s="62">
        <v>3.143</v>
      </c>
    </row>
    <row r="3091" spans="9:14">
      <c r="I3091" s="62">
        <v>2018</v>
      </c>
      <c r="J3091" s="62">
        <v>1</v>
      </c>
      <c r="K3091" s="62" t="s">
        <v>21</v>
      </c>
      <c r="L3091" s="62" t="s">
        <v>2</v>
      </c>
      <c r="M3091" s="62">
        <v>65.12</v>
      </c>
      <c r="N3091" s="62">
        <v>13.024</v>
      </c>
    </row>
    <row r="3092" spans="9:14">
      <c r="I3092" s="62">
        <v>2018</v>
      </c>
      <c r="J3092" s="62">
        <v>2</v>
      </c>
      <c r="K3092" s="62" t="s">
        <v>21</v>
      </c>
      <c r="L3092" s="62" t="s">
        <v>2</v>
      </c>
      <c r="M3092" s="62">
        <v>50.235</v>
      </c>
      <c r="N3092" s="62">
        <v>10.047</v>
      </c>
    </row>
    <row r="3093" spans="9:14">
      <c r="I3093" s="62">
        <v>2018</v>
      </c>
      <c r="J3093" s="62">
        <v>3</v>
      </c>
      <c r="K3093" s="62" t="s">
        <v>21</v>
      </c>
      <c r="L3093" s="62" t="s">
        <v>2</v>
      </c>
      <c r="M3093" s="62">
        <v>65</v>
      </c>
      <c r="N3093" s="62">
        <v>13</v>
      </c>
    </row>
    <row r="3094" spans="9:14">
      <c r="I3094" s="62">
        <v>2018</v>
      </c>
      <c r="J3094" s="62">
        <v>4</v>
      </c>
      <c r="K3094" s="62" t="s">
        <v>21</v>
      </c>
      <c r="L3094" s="62" t="s">
        <v>2</v>
      </c>
      <c r="M3094" s="62">
        <v>82.98999999999999</v>
      </c>
      <c r="N3094" s="62">
        <v>16.598</v>
      </c>
    </row>
    <row r="3095" spans="9:14">
      <c r="I3095" s="62">
        <v>2018</v>
      </c>
      <c r="J3095" s="62">
        <v>5</v>
      </c>
      <c r="K3095" s="62" t="s">
        <v>21</v>
      </c>
      <c r="L3095" s="62" t="s">
        <v>2</v>
      </c>
      <c r="M3095" s="62">
        <v>98.285</v>
      </c>
      <c r="N3095" s="62">
        <v>19.657</v>
      </c>
    </row>
    <row r="3096" spans="9:14">
      <c r="I3096" s="62">
        <v>2018</v>
      </c>
      <c r="J3096" s="62">
        <v>6</v>
      </c>
      <c r="K3096" s="62" t="s">
        <v>21</v>
      </c>
      <c r="L3096" s="62" t="s">
        <v>2</v>
      </c>
      <c r="M3096" s="62">
        <v>48.065</v>
      </c>
      <c r="N3096" s="62">
        <v>9.613</v>
      </c>
    </row>
    <row r="3097" spans="9:14">
      <c r="I3097" s="62">
        <v>2018</v>
      </c>
      <c r="J3097" s="62">
        <v>7</v>
      </c>
      <c r="K3097" s="62" t="s">
        <v>21</v>
      </c>
      <c r="L3097" s="62" t="s">
        <v>2</v>
      </c>
      <c r="M3097" s="62">
        <v>32</v>
      </c>
      <c r="N3097" s="62">
        <v>6.4</v>
      </c>
    </row>
    <row r="3098" spans="9:14">
      <c r="I3098" s="62">
        <v>2018</v>
      </c>
      <c r="J3098" s="62">
        <v>8</v>
      </c>
      <c r="K3098" s="62" t="s">
        <v>21</v>
      </c>
      <c r="L3098" s="62" t="s">
        <v>2</v>
      </c>
      <c r="M3098" s="62">
        <v>23.645</v>
      </c>
      <c r="N3098" s="62">
        <v>4.729</v>
      </c>
    </row>
    <row r="3099" spans="9:14">
      <c r="I3099" s="62">
        <v>2018</v>
      </c>
      <c r="J3099" s="62">
        <v>9</v>
      </c>
      <c r="K3099" s="62" t="s">
        <v>21</v>
      </c>
      <c r="L3099" s="62" t="s">
        <v>2</v>
      </c>
      <c r="M3099" s="62">
        <v>83.9815</v>
      </c>
      <c r="N3099" s="62">
        <v>16.7963</v>
      </c>
    </row>
    <row r="3100" spans="9:14">
      <c r="I3100" s="62">
        <v>2018</v>
      </c>
      <c r="J3100" s="62">
        <v>10</v>
      </c>
      <c r="K3100" s="62" t="s">
        <v>21</v>
      </c>
      <c r="L3100" s="62" t="s">
        <v>2</v>
      </c>
      <c r="M3100" s="62">
        <v>172.594</v>
      </c>
      <c r="N3100" s="62">
        <v>34.5188</v>
      </c>
    </row>
    <row r="3101" spans="9:14">
      <c r="I3101" s="62">
        <v>2018</v>
      </c>
      <c r="J3101" s="62">
        <v>11</v>
      </c>
      <c r="K3101" s="62" t="s">
        <v>21</v>
      </c>
      <c r="L3101" s="62" t="s">
        <v>2</v>
      </c>
      <c r="M3101" s="62">
        <v>52.92</v>
      </c>
      <c r="N3101" s="62">
        <v>10.584</v>
      </c>
    </row>
    <row r="3102" spans="9:14">
      <c r="I3102" s="62">
        <v>2018</v>
      </c>
      <c r="J3102" s="62">
        <v>12</v>
      </c>
      <c r="K3102" s="62" t="s">
        <v>21</v>
      </c>
      <c r="L3102" s="62" t="s">
        <v>2</v>
      </c>
      <c r="M3102" s="62">
        <v>5.3</v>
      </c>
      <c r="N3102" s="62">
        <v>1.06</v>
      </c>
    </row>
    <row r="3103" spans="9:14">
      <c r="I3103" s="62">
        <v>2019</v>
      </c>
      <c r="J3103" s="62">
        <v>1</v>
      </c>
      <c r="K3103" s="62" t="s">
        <v>21</v>
      </c>
      <c r="L3103" s="62" t="s">
        <v>2</v>
      </c>
      <c r="M3103" s="62">
        <v>24.465</v>
      </c>
      <c r="N3103" s="62">
        <v>4.893000000000001</v>
      </c>
    </row>
    <row r="3104" spans="9:14">
      <c r="I3104" s="62">
        <v>2019</v>
      </c>
      <c r="J3104" s="62">
        <v>2</v>
      </c>
      <c r="K3104" s="62" t="s">
        <v>21</v>
      </c>
      <c r="L3104" s="62" t="s">
        <v>2</v>
      </c>
      <c r="M3104" s="62">
        <v>48.47</v>
      </c>
      <c r="N3104" s="62">
        <v>9.694000000000001</v>
      </c>
    </row>
    <row r="3105" spans="9:14">
      <c r="I3105" s="62">
        <v>2019</v>
      </c>
      <c r="J3105" s="62">
        <v>3</v>
      </c>
      <c r="K3105" s="62" t="s">
        <v>21</v>
      </c>
      <c r="L3105" s="62" t="s">
        <v>2</v>
      </c>
      <c r="M3105" s="62">
        <v>140.803</v>
      </c>
      <c r="N3105" s="62">
        <v>28.1606</v>
      </c>
    </row>
    <row r="3106" spans="9:14">
      <c r="I3106" s="62">
        <v>2019</v>
      </c>
      <c r="J3106" s="62">
        <v>4</v>
      </c>
      <c r="K3106" s="62" t="s">
        <v>21</v>
      </c>
      <c r="L3106" s="62" t="s">
        <v>2</v>
      </c>
      <c r="M3106" s="62">
        <v>185.51</v>
      </c>
      <c r="N3106" s="62">
        <v>37.102</v>
      </c>
    </row>
    <row r="3107" spans="9:14">
      <c r="I3107" s="62">
        <v>2019</v>
      </c>
      <c r="J3107" s="62">
        <v>5</v>
      </c>
      <c r="K3107" s="62" t="s">
        <v>21</v>
      </c>
      <c r="L3107" s="62" t="s">
        <v>2</v>
      </c>
      <c r="M3107" s="62">
        <v>77.5</v>
      </c>
      <c r="N3107" s="62">
        <v>15.5</v>
      </c>
    </row>
    <row r="3108" spans="9:14">
      <c r="I3108" s="62">
        <v>2019</v>
      </c>
      <c r="J3108" s="62">
        <v>6</v>
      </c>
      <c r="K3108" s="62" t="s">
        <v>21</v>
      </c>
      <c r="L3108" s="62" t="s">
        <v>2</v>
      </c>
      <c r="M3108" s="62">
        <v>64.557</v>
      </c>
      <c r="N3108" s="62">
        <v>12.9114</v>
      </c>
    </row>
    <row r="3109" spans="9:14">
      <c r="I3109" s="62">
        <v>2019</v>
      </c>
      <c r="J3109" s="62">
        <v>7</v>
      </c>
      <c r="K3109" s="62" t="s">
        <v>21</v>
      </c>
      <c r="L3109" s="62" t="s">
        <v>2</v>
      </c>
      <c r="M3109" s="62">
        <v>41.65</v>
      </c>
      <c r="N3109" s="62">
        <v>8.33</v>
      </c>
    </row>
    <row r="3110" spans="9:14">
      <c r="I3110" s="62">
        <v>2019</v>
      </c>
      <c r="J3110" s="62">
        <v>8</v>
      </c>
      <c r="K3110" s="62" t="s">
        <v>21</v>
      </c>
      <c r="L3110" s="62" t="s">
        <v>2</v>
      </c>
      <c r="M3110" s="62">
        <v>20.9</v>
      </c>
      <c r="N3110" s="62">
        <v>4.18</v>
      </c>
    </row>
    <row r="3111" spans="9:14">
      <c r="I3111" s="62">
        <v>2019</v>
      </c>
      <c r="J3111" s="62">
        <v>9</v>
      </c>
      <c r="K3111" s="62" t="s">
        <v>21</v>
      </c>
      <c r="L3111" s="62" t="s">
        <v>2</v>
      </c>
      <c r="M3111" s="62">
        <v>75.64</v>
      </c>
      <c r="N3111" s="62">
        <v>15.128</v>
      </c>
    </row>
    <row r="3112" spans="9:14">
      <c r="I3112" s="62">
        <v>2019</v>
      </c>
      <c r="J3112" s="62">
        <v>10</v>
      </c>
      <c r="K3112" s="62" t="s">
        <v>21</v>
      </c>
      <c r="L3112" s="62" t="s">
        <v>2</v>
      </c>
      <c r="M3112" s="62">
        <v>187.957</v>
      </c>
      <c r="N3112" s="62">
        <v>37.5914</v>
      </c>
    </row>
    <row r="3113" spans="9:14">
      <c r="I3113" s="62">
        <v>2019</v>
      </c>
      <c r="J3113" s="62">
        <v>11</v>
      </c>
      <c r="K3113" s="62" t="s">
        <v>21</v>
      </c>
      <c r="L3113" s="62" t="s">
        <v>2</v>
      </c>
      <c r="M3113" s="62">
        <v>126.71</v>
      </c>
      <c r="N3113" s="62">
        <v>25.342</v>
      </c>
    </row>
    <row r="3114" spans="9:14">
      <c r="I3114" s="62">
        <v>2019</v>
      </c>
      <c r="J3114" s="62">
        <v>12</v>
      </c>
      <c r="K3114" s="62" t="s">
        <v>21</v>
      </c>
      <c r="L3114" s="62" t="s">
        <v>2</v>
      </c>
      <c r="M3114" s="62">
        <v>21.46</v>
      </c>
      <c r="N3114" s="62">
        <v>4.292</v>
      </c>
    </row>
    <row r="3115" spans="9:14">
      <c r="I3115" s="62">
        <v>2020</v>
      </c>
      <c r="J3115" s="62">
        <v>1</v>
      </c>
      <c r="K3115" s="62" t="s">
        <v>21</v>
      </c>
      <c r="L3115" s="62" t="s">
        <v>2</v>
      </c>
      <c r="M3115" s="62">
        <v>8.050000000000001</v>
      </c>
      <c r="N3115" s="62">
        <v>1.61</v>
      </c>
    </row>
    <row r="3116" spans="9:14">
      <c r="I3116" s="62">
        <v>2020</v>
      </c>
      <c r="J3116" s="62">
        <v>2</v>
      </c>
      <c r="K3116" s="62" t="s">
        <v>21</v>
      </c>
      <c r="L3116" s="62" t="s">
        <v>2</v>
      </c>
      <c r="M3116" s="62">
        <v>7.715</v>
      </c>
      <c r="N3116" s="62">
        <v>1.543</v>
      </c>
    </row>
    <row r="3117" spans="9:14">
      <c r="I3117" s="62">
        <v>2020</v>
      </c>
      <c r="J3117" s="62">
        <v>3</v>
      </c>
      <c r="K3117" s="62" t="s">
        <v>21</v>
      </c>
      <c r="L3117" s="62" t="s">
        <v>2</v>
      </c>
      <c r="M3117" s="62">
        <v>48.93</v>
      </c>
      <c r="N3117" s="62">
        <v>9.786000000000001</v>
      </c>
    </row>
    <row r="3118" spans="9:14">
      <c r="I3118" s="62">
        <v>2020</v>
      </c>
      <c r="J3118" s="62">
        <v>4</v>
      </c>
      <c r="K3118" s="62" t="s">
        <v>21</v>
      </c>
      <c r="L3118" s="62" t="s">
        <v>2</v>
      </c>
      <c r="M3118" s="62">
        <v>110.495</v>
      </c>
      <c r="N3118" s="62">
        <v>22.099</v>
      </c>
    </row>
    <row r="3119" spans="9:14">
      <c r="I3119" s="62">
        <v>2020</v>
      </c>
      <c r="J3119" s="62">
        <v>5</v>
      </c>
      <c r="K3119" s="62" t="s">
        <v>21</v>
      </c>
      <c r="L3119" s="62" t="s">
        <v>2</v>
      </c>
      <c r="M3119" s="62">
        <v>179.168</v>
      </c>
      <c r="N3119" s="62">
        <v>35.8336</v>
      </c>
    </row>
    <row r="3120" spans="9:14">
      <c r="I3120" s="62">
        <v>2020</v>
      </c>
      <c r="J3120" s="62">
        <v>6</v>
      </c>
      <c r="K3120" s="62" t="s">
        <v>21</v>
      </c>
      <c r="L3120" s="62" t="s">
        <v>2</v>
      </c>
      <c r="M3120" s="62">
        <v>86.40000000000001</v>
      </c>
      <c r="N3120" s="62">
        <v>17.28</v>
      </c>
    </row>
    <row r="3121" spans="9:14">
      <c r="I3121" s="62">
        <v>2020</v>
      </c>
      <c r="J3121" s="62">
        <v>7</v>
      </c>
      <c r="K3121" s="62" t="s">
        <v>21</v>
      </c>
      <c r="L3121" s="62" t="s">
        <v>2</v>
      </c>
      <c r="M3121" s="62">
        <v>60.28</v>
      </c>
      <c r="N3121" s="62">
        <v>12.056</v>
      </c>
    </row>
    <row r="3122" spans="9:14">
      <c r="I3122" s="62">
        <v>2020</v>
      </c>
      <c r="J3122" s="62">
        <v>8</v>
      </c>
      <c r="K3122" s="62" t="s">
        <v>21</v>
      </c>
      <c r="L3122" s="62" t="s">
        <v>2</v>
      </c>
      <c r="M3122" s="62">
        <v>53</v>
      </c>
      <c r="N3122" s="62">
        <v>10.6</v>
      </c>
    </row>
    <row r="3123" spans="9:14">
      <c r="I3123" s="62">
        <v>2020</v>
      </c>
      <c r="J3123" s="62">
        <v>9</v>
      </c>
      <c r="K3123" s="62" t="s">
        <v>21</v>
      </c>
      <c r="L3123" s="62" t="s">
        <v>2</v>
      </c>
      <c r="M3123" s="62">
        <v>119.615</v>
      </c>
      <c r="N3123" s="62">
        <v>23.923</v>
      </c>
    </row>
    <row r="3124" spans="9:14">
      <c r="I3124" s="62">
        <v>2020</v>
      </c>
      <c r="J3124" s="62">
        <v>10</v>
      </c>
      <c r="K3124" s="62" t="s">
        <v>21</v>
      </c>
      <c r="L3124" s="62" t="s">
        <v>2</v>
      </c>
      <c r="M3124" s="62">
        <v>155.42</v>
      </c>
      <c r="N3124" s="62">
        <v>31.084</v>
      </c>
    </row>
    <row r="3125" spans="9:14">
      <c r="I3125" s="62">
        <v>2020</v>
      </c>
      <c r="J3125" s="62">
        <v>11</v>
      </c>
      <c r="K3125" s="62" t="s">
        <v>21</v>
      </c>
      <c r="L3125" s="62" t="s">
        <v>2</v>
      </c>
      <c r="M3125" s="62">
        <v>109.355</v>
      </c>
      <c r="N3125" s="62">
        <v>21.871</v>
      </c>
    </row>
    <row r="3126" spans="9:14">
      <c r="I3126" s="62">
        <v>2020</v>
      </c>
      <c r="J3126" s="62">
        <v>12</v>
      </c>
      <c r="K3126" s="62" t="s">
        <v>21</v>
      </c>
      <c r="L3126" s="62" t="s">
        <v>2</v>
      </c>
      <c r="M3126" s="62">
        <v>80</v>
      </c>
      <c r="N3126" s="62">
        <v>16</v>
      </c>
    </row>
    <row r="3127" spans="9:14">
      <c r="I3127" s="62">
        <v>2021</v>
      </c>
      <c r="J3127" s="62">
        <v>1</v>
      </c>
      <c r="K3127" s="62" t="s">
        <v>21</v>
      </c>
      <c r="L3127" s="62" t="s">
        <v>2</v>
      </c>
      <c r="M3127" s="62">
        <v>82.02</v>
      </c>
      <c r="N3127" s="62">
        <v>16.404</v>
      </c>
    </row>
    <row r="3128" spans="9:14">
      <c r="I3128" s="62">
        <v>2021</v>
      </c>
      <c r="J3128" s="62">
        <v>2</v>
      </c>
      <c r="K3128" s="62" t="s">
        <v>21</v>
      </c>
      <c r="L3128" s="62" t="s">
        <v>2</v>
      </c>
      <c r="M3128" s="62">
        <v>100.25</v>
      </c>
      <c r="N3128" s="62">
        <v>20.05</v>
      </c>
    </row>
    <row r="3129" spans="9:14">
      <c r="I3129" s="62">
        <v>2021</v>
      </c>
      <c r="J3129" s="62">
        <v>3</v>
      </c>
      <c r="K3129" s="62" t="s">
        <v>21</v>
      </c>
      <c r="L3129" s="62" t="s">
        <v>2</v>
      </c>
      <c r="M3129" s="62">
        <v>94.7</v>
      </c>
      <c r="N3129" s="62">
        <v>18.94</v>
      </c>
    </row>
    <row r="3130" spans="9:14">
      <c r="I3130" s="62">
        <v>2021</v>
      </c>
      <c r="J3130" s="62">
        <v>4</v>
      </c>
      <c r="K3130" s="62" t="s">
        <v>21</v>
      </c>
      <c r="L3130" s="62" t="s">
        <v>2</v>
      </c>
      <c r="M3130" s="62">
        <v>56</v>
      </c>
      <c r="N3130" s="62">
        <v>11.2</v>
      </c>
    </row>
    <row r="3131" spans="9:14">
      <c r="I3131" s="62">
        <v>2021</v>
      </c>
      <c r="J3131" s="62">
        <v>5</v>
      </c>
      <c r="K3131" s="62" t="s">
        <v>21</v>
      </c>
      <c r="L3131" s="62" t="s">
        <v>2</v>
      </c>
      <c r="M3131" s="62">
        <v>53</v>
      </c>
      <c r="N3131" s="62">
        <v>10.6</v>
      </c>
    </row>
    <row r="3132" spans="9:14">
      <c r="I3132" s="62">
        <v>2021</v>
      </c>
      <c r="J3132" s="62">
        <v>6</v>
      </c>
      <c r="K3132" s="62" t="s">
        <v>21</v>
      </c>
      <c r="L3132" s="62" t="s">
        <v>2</v>
      </c>
      <c r="M3132" s="62">
        <v>60.26</v>
      </c>
      <c r="N3132" s="62">
        <v>12.052</v>
      </c>
    </row>
    <row r="3133" spans="9:14">
      <c r="I3133" s="62">
        <v>2021</v>
      </c>
      <c r="J3133" s="62">
        <v>7</v>
      </c>
      <c r="K3133" s="62" t="s">
        <v>21</v>
      </c>
      <c r="L3133" s="62" t="s">
        <v>2</v>
      </c>
      <c r="M3133" s="62">
        <v>80.405</v>
      </c>
      <c r="N3133" s="62">
        <v>16.081</v>
      </c>
    </row>
    <row r="3134" spans="9:14">
      <c r="I3134" s="62">
        <v>2021</v>
      </c>
      <c r="J3134" s="62">
        <v>8</v>
      </c>
      <c r="K3134" s="62" t="s">
        <v>21</v>
      </c>
      <c r="L3134" s="62" t="s">
        <v>2</v>
      </c>
      <c r="M3134" s="62">
        <v>76.96000000000001</v>
      </c>
      <c r="N3134" s="62">
        <v>15.392</v>
      </c>
    </row>
    <row r="3135" spans="9:14">
      <c r="I3135" s="62">
        <v>2021</v>
      </c>
      <c r="J3135" s="62">
        <v>9</v>
      </c>
      <c r="K3135" s="62" t="s">
        <v>21</v>
      </c>
      <c r="L3135" s="62" t="s">
        <v>2</v>
      </c>
      <c r="M3135" s="62">
        <v>53</v>
      </c>
      <c r="N3135" s="62">
        <v>10.6</v>
      </c>
    </row>
    <row r="3136" spans="9:14">
      <c r="I3136" s="62">
        <v>2021</v>
      </c>
      <c r="J3136" s="62">
        <v>10</v>
      </c>
      <c r="K3136" s="62" t="s">
        <v>21</v>
      </c>
      <c r="L3136" s="62" t="s">
        <v>2</v>
      </c>
      <c r="M3136" s="62">
        <v>66.655</v>
      </c>
      <c r="N3136" s="62">
        <v>13.331</v>
      </c>
    </row>
    <row r="3137" spans="9:14">
      <c r="I3137" s="62">
        <v>2022</v>
      </c>
      <c r="J3137" s="62">
        <v>1</v>
      </c>
      <c r="K3137" s="62" t="s">
        <v>21</v>
      </c>
      <c r="L3137" s="62" t="s">
        <v>2</v>
      </c>
      <c r="M3137" s="62">
        <v>92.81</v>
      </c>
      <c r="N3137" s="62">
        <v>18.562</v>
      </c>
    </row>
    <row r="3138" spans="9:14">
      <c r="I3138" s="62">
        <v>2022</v>
      </c>
      <c r="J3138" s="62">
        <v>2</v>
      </c>
      <c r="K3138" s="62" t="s">
        <v>21</v>
      </c>
      <c r="L3138" s="62" t="s">
        <v>2</v>
      </c>
      <c r="M3138" s="62">
        <v>148.59</v>
      </c>
      <c r="N3138" s="62">
        <v>29.718</v>
      </c>
    </row>
    <row r="3139" spans="9:14">
      <c r="I3139" s="62">
        <v>2022</v>
      </c>
      <c r="J3139" s="62">
        <v>3</v>
      </c>
      <c r="K3139" s="62" t="s">
        <v>21</v>
      </c>
      <c r="L3139" s="62" t="s">
        <v>2</v>
      </c>
      <c r="M3139" s="62">
        <v>60.98</v>
      </c>
      <c r="N3139" s="62">
        <v>12.196</v>
      </c>
    </row>
    <row r="3140" spans="9:14">
      <c r="I3140" s="62">
        <v>2022</v>
      </c>
      <c r="J3140" s="62">
        <v>4</v>
      </c>
      <c r="K3140" s="62" t="s">
        <v>21</v>
      </c>
      <c r="L3140" s="62" t="s">
        <v>2</v>
      </c>
      <c r="M3140" s="62">
        <v>31.3906</v>
      </c>
      <c r="N3140" s="62">
        <v>6.27812</v>
      </c>
    </row>
    <row r="3141" spans="9:14">
      <c r="I3141" s="62">
        <v>2022</v>
      </c>
      <c r="J3141" s="62">
        <v>5</v>
      </c>
      <c r="K3141" s="62" t="s">
        <v>21</v>
      </c>
      <c r="L3141" s="62" t="s">
        <v>2</v>
      </c>
      <c r="M3141" s="62">
        <v>62.362</v>
      </c>
      <c r="N3141" s="62">
        <v>12.4724</v>
      </c>
    </row>
    <row r="3142" spans="9:14">
      <c r="I3142" s="62">
        <v>2022</v>
      </c>
      <c r="J3142" s="62">
        <v>6</v>
      </c>
      <c r="K3142" s="62" t="s">
        <v>21</v>
      </c>
      <c r="L3142" s="62" t="s">
        <v>2</v>
      </c>
      <c r="M3142" s="62">
        <v>65.25</v>
      </c>
      <c r="N3142" s="62">
        <v>13.05</v>
      </c>
    </row>
    <row r="3143" spans="9:14">
      <c r="I3143" s="62">
        <v>2022</v>
      </c>
      <c r="J3143" s="62">
        <v>7</v>
      </c>
      <c r="K3143" s="62" t="s">
        <v>21</v>
      </c>
      <c r="L3143" s="62" t="s">
        <v>2</v>
      </c>
      <c r="M3143" s="62">
        <v>24.02</v>
      </c>
      <c r="N3143" s="62">
        <v>4.804</v>
      </c>
    </row>
    <row r="3144" spans="9:14">
      <c r="I3144" s="62">
        <v>2022</v>
      </c>
      <c r="J3144" s="62">
        <v>8</v>
      </c>
      <c r="K3144" s="62" t="s">
        <v>21</v>
      </c>
      <c r="L3144" s="62" t="s">
        <v>2</v>
      </c>
      <c r="M3144" s="62">
        <v>24.23</v>
      </c>
      <c r="N3144" s="62">
        <v>4.846</v>
      </c>
    </row>
    <row r="3145" spans="9:14">
      <c r="I3145" s="62">
        <v>2022</v>
      </c>
      <c r="J3145" s="62">
        <v>9</v>
      </c>
      <c r="K3145" s="62" t="s">
        <v>21</v>
      </c>
      <c r="L3145" s="62" t="s">
        <v>2</v>
      </c>
      <c r="M3145" s="62">
        <v>115.415</v>
      </c>
      <c r="N3145" s="62">
        <v>23.083</v>
      </c>
    </row>
    <row r="3146" spans="9:14">
      <c r="I3146" s="62">
        <v>2022</v>
      </c>
      <c r="J3146" s="62">
        <v>10</v>
      </c>
      <c r="K3146" s="62" t="s">
        <v>21</v>
      </c>
      <c r="L3146" s="62" t="s">
        <v>2</v>
      </c>
      <c r="M3146" s="62">
        <v>137.975</v>
      </c>
      <c r="N3146" s="62">
        <v>27.595</v>
      </c>
    </row>
    <row r="3147" spans="9:14">
      <c r="I3147" s="62">
        <v>2022</v>
      </c>
      <c r="J3147" s="62">
        <v>11</v>
      </c>
      <c r="K3147" s="62" t="s">
        <v>21</v>
      </c>
      <c r="L3147" s="62" t="s">
        <v>2</v>
      </c>
      <c r="M3147" s="62">
        <v>28.31</v>
      </c>
      <c r="N3147" s="62">
        <v>5.662000000000001</v>
      </c>
    </row>
    <row r="3148" spans="9:14">
      <c r="I3148" s="62">
        <v>2022</v>
      </c>
      <c r="J3148" s="62">
        <v>12</v>
      </c>
      <c r="K3148" s="62" t="s">
        <v>21</v>
      </c>
      <c r="L3148" s="62" t="s">
        <v>2</v>
      </c>
      <c r="M3148" s="62">
        <v>16.53</v>
      </c>
      <c r="N3148" s="62">
        <v>3.306</v>
      </c>
    </row>
    <row r="3149" spans="9:14">
      <c r="I3149" s="62">
        <v>2023</v>
      </c>
      <c r="J3149" s="62">
        <v>1</v>
      </c>
      <c r="K3149" s="62" t="s">
        <v>21</v>
      </c>
      <c r="L3149" s="62" t="s">
        <v>2</v>
      </c>
      <c r="M3149" s="62">
        <v>130.995</v>
      </c>
      <c r="N3149" s="62">
        <v>26.199</v>
      </c>
    </row>
    <row r="3150" spans="9:14">
      <c r="I3150" s="62">
        <v>2023</v>
      </c>
      <c r="J3150" s="62">
        <v>2</v>
      </c>
      <c r="K3150" s="62" t="s">
        <v>21</v>
      </c>
      <c r="L3150" s="62" t="s">
        <v>2</v>
      </c>
      <c r="M3150" s="62">
        <v>148.22</v>
      </c>
      <c r="N3150" s="62">
        <v>29.644</v>
      </c>
    </row>
    <row r="3151" spans="9:14">
      <c r="I3151" s="62">
        <v>2023</v>
      </c>
      <c r="J3151" s="62">
        <v>3</v>
      </c>
      <c r="K3151" s="62" t="s">
        <v>21</v>
      </c>
      <c r="L3151" s="62" t="s">
        <v>2</v>
      </c>
      <c r="M3151" s="62">
        <v>202</v>
      </c>
      <c r="N3151" s="62">
        <v>40.4</v>
      </c>
    </row>
    <row r="3152" spans="9:14">
      <c r="I3152" s="62">
        <v>2023</v>
      </c>
      <c r="J3152" s="62">
        <v>4</v>
      </c>
      <c r="K3152" s="62" t="s">
        <v>21</v>
      </c>
      <c r="L3152" s="62" t="s">
        <v>2</v>
      </c>
      <c r="M3152" s="62">
        <v>257.51</v>
      </c>
      <c r="N3152" s="62">
        <v>51.502</v>
      </c>
    </row>
    <row r="3153" spans="9:14">
      <c r="I3153" s="62">
        <v>2023</v>
      </c>
      <c r="J3153" s="62">
        <v>5</v>
      </c>
      <c r="K3153" s="62" t="s">
        <v>21</v>
      </c>
      <c r="L3153" s="62" t="s">
        <v>2</v>
      </c>
      <c r="M3153" s="62">
        <v>83.34999999999999</v>
      </c>
      <c r="N3153" s="62">
        <v>16.67</v>
      </c>
    </row>
    <row r="3154" spans="9:14">
      <c r="I3154" s="62">
        <v>2023</v>
      </c>
      <c r="J3154" s="62">
        <v>6</v>
      </c>
      <c r="K3154" s="62" t="s">
        <v>21</v>
      </c>
      <c r="L3154" s="62" t="s">
        <v>2</v>
      </c>
      <c r="M3154" s="62">
        <v>2.24</v>
      </c>
      <c r="N3154" s="62">
        <v>0.4480000000000001</v>
      </c>
    </row>
    <row r="3155" spans="9:14">
      <c r="I3155" s="62">
        <v>2023</v>
      </c>
      <c r="J3155" s="62">
        <v>9</v>
      </c>
      <c r="K3155" s="62" t="s">
        <v>21</v>
      </c>
      <c r="L3155" s="62" t="s">
        <v>2</v>
      </c>
      <c r="M3155" s="62">
        <v>127.7048</v>
      </c>
      <c r="N3155" s="62">
        <v>25.54096</v>
      </c>
    </row>
    <row r="3156" spans="9:14">
      <c r="I3156" s="62">
        <v>2023</v>
      </c>
      <c r="J3156" s="62">
        <v>10</v>
      </c>
      <c r="K3156" s="62" t="s">
        <v>21</v>
      </c>
      <c r="L3156" s="62" t="s">
        <v>2</v>
      </c>
      <c r="M3156" s="62">
        <v>199.2408</v>
      </c>
      <c r="N3156" s="62">
        <v>39.84816</v>
      </c>
    </row>
    <row r="3157" spans="9:14">
      <c r="I3157" s="62">
        <v>2023</v>
      </c>
      <c r="J3157" s="62">
        <v>11</v>
      </c>
      <c r="K3157" s="62" t="s">
        <v>21</v>
      </c>
      <c r="L3157" s="62" t="s">
        <v>2</v>
      </c>
      <c r="M3157" s="62">
        <v>10.83</v>
      </c>
      <c r="N3157" s="62">
        <v>2.166</v>
      </c>
    </row>
    <row r="3158" spans="9:14">
      <c r="I3158" s="62">
        <v>2023</v>
      </c>
      <c r="J3158" s="62">
        <v>12</v>
      </c>
      <c r="K3158" s="62" t="s">
        <v>21</v>
      </c>
      <c r="L3158" s="62" t="s">
        <v>2</v>
      </c>
      <c r="M3158" s="62">
        <v>8.338200000000001</v>
      </c>
      <c r="N3158" s="62">
        <v>1.66764</v>
      </c>
    </row>
    <row r="3159" spans="9:14">
      <c r="I3159" s="62">
        <v>2024</v>
      </c>
      <c r="J3159" s="62">
        <v>1</v>
      </c>
      <c r="K3159" s="62" t="s">
        <v>21</v>
      </c>
      <c r="L3159" s="62" t="s">
        <v>2</v>
      </c>
      <c r="M3159" s="62">
        <v>139.408</v>
      </c>
      <c r="N3159" s="62">
        <v>27.8816</v>
      </c>
    </row>
    <row r="3160" spans="9:14">
      <c r="I3160" s="62">
        <v>2024</v>
      </c>
      <c r="J3160" s="62">
        <v>2</v>
      </c>
      <c r="K3160" s="62" t="s">
        <v>21</v>
      </c>
      <c r="L3160" s="62" t="s">
        <v>2</v>
      </c>
      <c r="M3160" s="62">
        <v>193.99</v>
      </c>
      <c r="N3160" s="62">
        <v>38.798</v>
      </c>
    </row>
    <row r="3161" spans="9:14">
      <c r="I3161" s="62">
        <v>2024</v>
      </c>
      <c r="J3161" s="62">
        <v>3</v>
      </c>
      <c r="K3161" s="62" t="s">
        <v>21</v>
      </c>
      <c r="L3161" s="62" t="s">
        <v>2</v>
      </c>
      <c r="M3161" s="62">
        <v>173.964</v>
      </c>
      <c r="N3161" s="62">
        <v>34.79280000000001</v>
      </c>
    </row>
    <row r="3162" spans="9:14">
      <c r="I3162" s="62">
        <v>2024</v>
      </c>
      <c r="J3162" s="62">
        <v>4</v>
      </c>
      <c r="K3162" s="62" t="s">
        <v>21</v>
      </c>
      <c r="L3162" s="62" t="s">
        <v>2</v>
      </c>
      <c r="M3162" s="62">
        <v>131.3232</v>
      </c>
      <c r="N3162" s="62">
        <v>26.26464</v>
      </c>
    </row>
    <row r="3163" spans="9:14">
      <c r="I3163" s="62">
        <v>2024</v>
      </c>
      <c r="J3163" s="62">
        <v>5</v>
      </c>
      <c r="K3163" s="62" t="s">
        <v>21</v>
      </c>
      <c r="L3163" s="62" t="s">
        <v>2</v>
      </c>
      <c r="M3163" s="62">
        <v>61.39</v>
      </c>
      <c r="N3163" s="62">
        <v>12.278</v>
      </c>
    </row>
    <row r="3164" spans="9:14">
      <c r="I3164" s="62">
        <v>2024</v>
      </c>
      <c r="J3164" s="62">
        <v>6</v>
      </c>
      <c r="K3164" s="62" t="s">
        <v>21</v>
      </c>
      <c r="L3164" s="62" t="s">
        <v>2</v>
      </c>
      <c r="M3164" s="62">
        <v>88.16</v>
      </c>
      <c r="N3164" s="62">
        <v>17.632</v>
      </c>
    </row>
    <row r="3165" spans="9:14">
      <c r="I3165" s="62">
        <v>2024</v>
      </c>
      <c r="J3165" s="62">
        <v>7</v>
      </c>
      <c r="K3165" s="62" t="s">
        <v>21</v>
      </c>
      <c r="L3165" s="62" t="s">
        <v>2</v>
      </c>
      <c r="M3165" s="62">
        <v>31.8525</v>
      </c>
      <c r="N3165" s="62">
        <v>6.3705</v>
      </c>
    </row>
    <row r="3166" spans="9:14">
      <c r="I3166" s="62">
        <v>2024</v>
      </c>
      <c r="J3166" s="62">
        <v>8</v>
      </c>
      <c r="K3166" s="62" t="s">
        <v>21</v>
      </c>
      <c r="L3166" s="62" t="s">
        <v>2</v>
      </c>
      <c r="M3166" s="62">
        <v>4.328200000000001</v>
      </c>
      <c r="N3166" s="62">
        <v>0.8656400000000002</v>
      </c>
    </row>
    <row r="3167" spans="9:14">
      <c r="I3167" s="62">
        <v>2024</v>
      </c>
      <c r="J3167" s="62">
        <v>9</v>
      </c>
      <c r="K3167" s="62" t="s">
        <v>21</v>
      </c>
      <c r="L3167" s="62" t="s">
        <v>2</v>
      </c>
      <c r="M3167" s="62">
        <v>35.485</v>
      </c>
      <c r="N3167" s="62">
        <v>7.097</v>
      </c>
    </row>
    <row r="3168" spans="9:14">
      <c r="I3168" s="62">
        <v>2024</v>
      </c>
      <c r="J3168" s="62">
        <v>10</v>
      </c>
      <c r="K3168" s="62" t="s">
        <v>21</v>
      </c>
      <c r="L3168" s="62" t="s">
        <v>2</v>
      </c>
      <c r="M3168" s="62">
        <v>71.52500000000001</v>
      </c>
      <c r="N3168" s="62">
        <v>14.305</v>
      </c>
    </row>
    <row r="3169" spans="9:14">
      <c r="I3169" s="62">
        <v>2024</v>
      </c>
      <c r="J3169" s="62">
        <v>11</v>
      </c>
      <c r="K3169" s="62" t="s">
        <v>21</v>
      </c>
      <c r="L3169" s="62" t="s">
        <v>2</v>
      </c>
      <c r="M3169" s="62">
        <v>32.57</v>
      </c>
      <c r="N3169" s="62">
        <v>6.514000000000001</v>
      </c>
    </row>
    <row r="3170" spans="9:14">
      <c r="I3170" s="62">
        <v>2024</v>
      </c>
      <c r="J3170" s="62">
        <v>12</v>
      </c>
      <c r="K3170" s="62" t="s">
        <v>21</v>
      </c>
      <c r="L3170" s="62" t="s">
        <v>2</v>
      </c>
      <c r="M3170" s="62">
        <v>2.3265</v>
      </c>
      <c r="N3170" s="62">
        <v>0.4653</v>
      </c>
    </row>
    <row r="3171" spans="9:14">
      <c r="I3171" s="62">
        <v>2025</v>
      </c>
      <c r="J3171" s="62">
        <v>1</v>
      </c>
      <c r="K3171" s="62" t="s">
        <v>21</v>
      </c>
      <c r="L3171" s="62" t="s">
        <v>2</v>
      </c>
      <c r="M3171" s="62">
        <v>41.9969</v>
      </c>
      <c r="N3171" s="62">
        <v>8.399380000000001</v>
      </c>
    </row>
    <row r="3172" spans="9:14">
      <c r="I3172" s="62">
        <v>2025</v>
      </c>
      <c r="J3172" s="62">
        <v>2</v>
      </c>
      <c r="K3172" s="62" t="s">
        <v>21</v>
      </c>
      <c r="L3172" s="62" t="s">
        <v>2</v>
      </c>
      <c r="M3172" s="62">
        <v>188.1424</v>
      </c>
      <c r="N3172" s="62">
        <v>37.62848</v>
      </c>
    </row>
    <row r="3173" spans="9:14">
      <c r="I3173" s="62">
        <v>2025</v>
      </c>
      <c r="J3173" s="62">
        <v>3</v>
      </c>
      <c r="K3173" s="62" t="s">
        <v>21</v>
      </c>
      <c r="L3173" s="62" t="s">
        <v>2</v>
      </c>
      <c r="M3173" s="62">
        <v>114.058</v>
      </c>
      <c r="N3173" s="62">
        <v>22.8116</v>
      </c>
    </row>
    <row r="3174" spans="9:14">
      <c r="I3174" s="62">
        <v>2025</v>
      </c>
      <c r="J3174" s="62">
        <v>4</v>
      </c>
      <c r="K3174" s="62" t="s">
        <v>21</v>
      </c>
      <c r="L3174" s="62" t="s">
        <v>2</v>
      </c>
      <c r="M3174" s="62">
        <v>69.035</v>
      </c>
      <c r="N3174" s="62">
        <v>13.807</v>
      </c>
    </row>
    <row r="3175" spans="9:14">
      <c r="I3175" s="62">
        <v>2025</v>
      </c>
      <c r="J3175" s="62">
        <v>5</v>
      </c>
      <c r="K3175" s="62" t="s">
        <v>21</v>
      </c>
      <c r="L3175" s="62" t="s">
        <v>2</v>
      </c>
      <c r="M3175" s="62">
        <v>18.56</v>
      </c>
      <c r="N3175" s="62">
        <v>3.712</v>
      </c>
    </row>
    <row r="3176" spans="9:14">
      <c r="I3176" s="62">
        <v>2025</v>
      </c>
      <c r="J3176" s="62">
        <v>6</v>
      </c>
      <c r="K3176" s="62" t="s">
        <v>21</v>
      </c>
      <c r="L3176" s="62" t="s">
        <v>2</v>
      </c>
      <c r="M3176" s="62">
        <v>32</v>
      </c>
      <c r="N3176" s="62">
        <v>6.4</v>
      </c>
    </row>
    <row r="3177" spans="9:14">
      <c r="I3177" s="62">
        <v>2025</v>
      </c>
      <c r="J3177" s="62">
        <v>7</v>
      </c>
      <c r="K3177" s="62" t="s">
        <v>21</v>
      </c>
      <c r="L3177" s="62" t="s">
        <v>2</v>
      </c>
      <c r="M3177" s="62">
        <v>6.727</v>
      </c>
      <c r="N3177" s="62">
        <v>1.3454</v>
      </c>
    </row>
    <row r="3178" spans="9:14">
      <c r="I3178" s="62">
        <v>2025</v>
      </c>
      <c r="J3178" s="62">
        <v>8</v>
      </c>
      <c r="K3178" s="62" t="s">
        <v>21</v>
      </c>
      <c r="L3178" s="62" t="s">
        <v>2</v>
      </c>
      <c r="M3178" s="62">
        <v>8.855</v>
      </c>
      <c r="N3178" s="62">
        <v>1.771</v>
      </c>
    </row>
    <row r="3179" spans="9:14">
      <c r="I3179" s="62">
        <v>2025</v>
      </c>
      <c r="J3179" s="62">
        <v>9</v>
      </c>
      <c r="K3179" s="62" t="s">
        <v>21</v>
      </c>
      <c r="L3179" s="62" t="s">
        <v>2</v>
      </c>
      <c r="M3179" s="62">
        <v>73.93599999999999</v>
      </c>
      <c r="N3179" s="62">
        <v>14.7872</v>
      </c>
    </row>
    <row r="3180" spans="9:14">
      <c r="I3180" s="62">
        <v>2025</v>
      </c>
      <c r="J3180" s="62">
        <v>10</v>
      </c>
      <c r="K3180" s="62" t="s">
        <v>21</v>
      </c>
      <c r="L3180" s="62" t="s">
        <v>2</v>
      </c>
      <c r="M3180" s="62">
        <v>199.359</v>
      </c>
      <c r="N3180" s="62">
        <v>39.87180000000001</v>
      </c>
    </row>
    <row r="3181" spans="9:14">
      <c r="I3181" s="62">
        <v>2025</v>
      </c>
      <c r="J3181" s="62">
        <v>11</v>
      </c>
      <c r="K3181" s="62" t="s">
        <v>21</v>
      </c>
      <c r="L3181" s="62" t="s">
        <v>2</v>
      </c>
      <c r="M3181" s="62">
        <v>120.06</v>
      </c>
      <c r="N3181" s="62">
        <v>24.012</v>
      </c>
    </row>
    <row r="3182" spans="9:14">
      <c r="I3182" s="62">
        <v>2025</v>
      </c>
      <c r="J3182" s="62">
        <v>12</v>
      </c>
      <c r="K3182" s="62" t="s">
        <v>21</v>
      </c>
      <c r="L3182" s="62" t="s">
        <v>2</v>
      </c>
      <c r="M3182" s="62">
        <v>7.2</v>
      </c>
      <c r="N3182" s="62">
        <v>1.44</v>
      </c>
    </row>
    <row r="3183" spans="9:14">
      <c r="I3183" s="62">
        <v>2026</v>
      </c>
      <c r="J3183" s="62">
        <v>1</v>
      </c>
      <c r="K3183" s="62" t="s">
        <v>21</v>
      </c>
      <c r="L3183" s="62" t="s">
        <v>2</v>
      </c>
      <c r="M3183" s="62">
        <v>24.32</v>
      </c>
      <c r="N3183" s="62">
        <v>4.864000000000001</v>
      </c>
    </row>
    <row r="3184" spans="9:14">
      <c r="I3184" s="62">
        <v>2026</v>
      </c>
      <c r="J3184" s="62">
        <v>2</v>
      </c>
      <c r="K3184" s="62" t="s">
        <v>21</v>
      </c>
      <c r="L3184" s="62" t="s">
        <v>2</v>
      </c>
      <c r="M3184" s="62">
        <v>92.7225</v>
      </c>
      <c r="N3184" s="62">
        <v>18.5445</v>
      </c>
    </row>
    <row r="3185" spans="9:14">
      <c r="I3185" s="62">
        <v>2026</v>
      </c>
      <c r="J3185" s="62">
        <v>3</v>
      </c>
      <c r="K3185" s="62" t="s">
        <v>21</v>
      </c>
      <c r="L3185" s="62" t="s">
        <v>2</v>
      </c>
      <c r="M3185" s="62">
        <v>123.5375</v>
      </c>
      <c r="N3185" s="62">
        <v>24.7075</v>
      </c>
    </row>
    <row r="3186" spans="9:14">
      <c r="I3186" s="62">
        <v>2026</v>
      </c>
      <c r="J3186" s="62">
        <v>4</v>
      </c>
      <c r="K3186" s="62" t="s">
        <v>21</v>
      </c>
      <c r="L3186" s="62" t="s">
        <v>2</v>
      </c>
      <c r="M3186" s="62">
        <v>95.72</v>
      </c>
      <c r="N3186" s="62">
        <v>19.144</v>
      </c>
    </row>
    <row r="3187" spans="9:14">
      <c r="I3187" s="62">
        <v>2026</v>
      </c>
      <c r="J3187" s="62">
        <v>5</v>
      </c>
      <c r="K3187" s="62" t="s">
        <v>21</v>
      </c>
      <c r="L3187" s="62" t="s">
        <v>2</v>
      </c>
      <c r="M3187" s="62">
        <v>30.4</v>
      </c>
      <c r="N3187" s="62">
        <v>6.08</v>
      </c>
    </row>
    <row r="3188" spans="9:14">
      <c r="I3188" s="62">
        <v>2026</v>
      </c>
      <c r="J3188" s="62">
        <v>7</v>
      </c>
      <c r="K3188" s="62" t="s">
        <v>21</v>
      </c>
      <c r="L3188" s="62" t="s">
        <v>2</v>
      </c>
      <c r="M3188" s="62">
        <v>25</v>
      </c>
      <c r="N3188" s="62">
        <v>5</v>
      </c>
    </row>
    <row r="3189" spans="9:14">
      <c r="I3189" s="62">
        <v>2026</v>
      </c>
      <c r="J3189" s="62">
        <v>9</v>
      </c>
      <c r="K3189" s="62" t="s">
        <v>21</v>
      </c>
      <c r="L3189" s="62" t="s">
        <v>2</v>
      </c>
      <c r="M3189" s="62">
        <v>107.72</v>
      </c>
      <c r="N3189" s="62">
        <v>21.544</v>
      </c>
    </row>
    <row r="3190" spans="9:14">
      <c r="I3190" s="62">
        <v>2026</v>
      </c>
      <c r="J3190" s="62">
        <v>10</v>
      </c>
      <c r="K3190" s="62" t="s">
        <v>21</v>
      </c>
      <c r="L3190" s="62" t="s">
        <v>2</v>
      </c>
      <c r="M3190" s="62">
        <v>127.332</v>
      </c>
      <c r="N3190" s="62">
        <v>25.4664</v>
      </c>
    </row>
    <row r="3191" spans="9:14">
      <c r="I3191" s="62">
        <v>2026</v>
      </c>
      <c r="J3191" s="62">
        <v>11</v>
      </c>
      <c r="K3191" s="62" t="s">
        <v>21</v>
      </c>
      <c r="L3191" s="62" t="s">
        <v>2</v>
      </c>
      <c r="M3191" s="62">
        <v>54.59</v>
      </c>
      <c r="N3191" s="62">
        <v>10.918</v>
      </c>
    </row>
    <row r="3192" spans="9:14">
      <c r="I3192" s="62">
        <v>2027</v>
      </c>
      <c r="J3192" s="62">
        <v>1</v>
      </c>
      <c r="K3192" s="62" t="s">
        <v>21</v>
      </c>
      <c r="L3192" s="62" t="s">
        <v>2</v>
      </c>
      <c r="M3192" s="62">
        <v>63.855</v>
      </c>
      <c r="N3192" s="62">
        <v>12.771</v>
      </c>
    </row>
    <row r="3193" spans="9:14">
      <c r="I3193" s="62">
        <v>2027</v>
      </c>
      <c r="J3193" s="62">
        <v>2</v>
      </c>
      <c r="K3193" s="62" t="s">
        <v>21</v>
      </c>
      <c r="L3193" s="62" t="s">
        <v>2</v>
      </c>
      <c r="M3193" s="62">
        <v>65.42</v>
      </c>
      <c r="N3193" s="62">
        <v>13.084</v>
      </c>
    </row>
    <row r="3194" spans="9:14">
      <c r="I3194" s="62">
        <v>2027</v>
      </c>
      <c r="J3194" s="62">
        <v>3</v>
      </c>
      <c r="K3194" s="62" t="s">
        <v>21</v>
      </c>
      <c r="L3194" s="62" t="s">
        <v>2</v>
      </c>
      <c r="M3194" s="62">
        <v>49.921</v>
      </c>
      <c r="N3194" s="62">
        <v>9.984200000000001</v>
      </c>
    </row>
    <row r="3195" spans="9:14">
      <c r="I3195" s="62">
        <v>2027</v>
      </c>
      <c r="J3195" s="62">
        <v>4</v>
      </c>
      <c r="K3195" s="62" t="s">
        <v>21</v>
      </c>
      <c r="L3195" s="62" t="s">
        <v>2</v>
      </c>
      <c r="M3195" s="62">
        <v>115</v>
      </c>
      <c r="N3195" s="62">
        <v>23</v>
      </c>
    </row>
    <row r="3196" spans="9:14">
      <c r="I3196" s="62">
        <v>2027</v>
      </c>
      <c r="J3196" s="62">
        <v>5</v>
      </c>
      <c r="K3196" s="62" t="s">
        <v>21</v>
      </c>
      <c r="L3196" s="62" t="s">
        <v>2</v>
      </c>
      <c r="M3196" s="62">
        <v>105.62</v>
      </c>
      <c r="N3196" s="62">
        <v>21.124</v>
      </c>
    </row>
    <row r="3197" spans="9:14">
      <c r="I3197" s="62">
        <v>2027</v>
      </c>
      <c r="J3197" s="62">
        <v>6</v>
      </c>
      <c r="K3197" s="62" t="s">
        <v>21</v>
      </c>
      <c r="L3197" s="62" t="s">
        <v>2</v>
      </c>
      <c r="M3197" s="62">
        <v>4.2</v>
      </c>
      <c r="N3197" s="62">
        <v>0.8400000000000001</v>
      </c>
    </row>
    <row r="3198" spans="9:14">
      <c r="I3198" s="62">
        <v>2027</v>
      </c>
      <c r="J3198" s="62">
        <v>9</v>
      </c>
      <c r="K3198" s="62" t="s">
        <v>21</v>
      </c>
      <c r="L3198" s="62" t="s">
        <v>2</v>
      </c>
      <c r="M3198" s="62">
        <v>212.835</v>
      </c>
      <c r="N3198" s="62">
        <v>42.56700000000001</v>
      </c>
    </row>
    <row r="3199" spans="9:14">
      <c r="I3199" s="62">
        <v>2027</v>
      </c>
      <c r="J3199" s="62">
        <v>10</v>
      </c>
      <c r="K3199" s="62" t="s">
        <v>21</v>
      </c>
      <c r="L3199" s="62" t="s">
        <v>2</v>
      </c>
      <c r="M3199" s="62">
        <v>103.92</v>
      </c>
      <c r="N3199" s="62">
        <v>20.784</v>
      </c>
    </row>
    <row r="3200" spans="9:14">
      <c r="I3200" s="62">
        <v>2027</v>
      </c>
      <c r="J3200" s="62">
        <v>11</v>
      </c>
      <c r="K3200" s="62" t="s">
        <v>21</v>
      </c>
      <c r="L3200" s="62" t="s">
        <v>2</v>
      </c>
      <c r="M3200" s="62">
        <v>11.35</v>
      </c>
      <c r="N3200" s="62">
        <v>2.27</v>
      </c>
    </row>
    <row r="3201" spans="9:14">
      <c r="I3201" s="62">
        <v>2014</v>
      </c>
      <c r="J3201" s="62">
        <v>1</v>
      </c>
      <c r="K3201" s="62" t="s">
        <v>21</v>
      </c>
      <c r="L3201" s="62" t="s">
        <v>3</v>
      </c>
      <c r="M3201" s="62">
        <v>31.9</v>
      </c>
      <c r="N3201" s="62">
        <v>6.38</v>
      </c>
    </row>
    <row r="3202" spans="9:14">
      <c r="I3202" s="62">
        <v>2014</v>
      </c>
      <c r="J3202" s="62">
        <v>2</v>
      </c>
      <c r="K3202" s="62" t="s">
        <v>21</v>
      </c>
      <c r="L3202" s="62" t="s">
        <v>3</v>
      </c>
      <c r="M3202" s="62">
        <v>15.395</v>
      </c>
      <c r="N3202" s="62">
        <v>3.079</v>
      </c>
    </row>
    <row r="3203" spans="9:14">
      <c r="I3203" s="62">
        <v>2014</v>
      </c>
      <c r="J3203" s="62">
        <v>3</v>
      </c>
      <c r="K3203" s="62" t="s">
        <v>21</v>
      </c>
      <c r="L3203" s="62" t="s">
        <v>3</v>
      </c>
      <c r="M3203" s="62">
        <v>4.59</v>
      </c>
      <c r="N3203" s="62">
        <v>0.9180000000000001</v>
      </c>
    </row>
    <row r="3204" spans="9:14">
      <c r="I3204" s="62">
        <v>2014</v>
      </c>
      <c r="J3204" s="62">
        <v>4</v>
      </c>
      <c r="K3204" s="62" t="s">
        <v>21</v>
      </c>
      <c r="L3204" s="62" t="s">
        <v>3</v>
      </c>
      <c r="M3204" s="62">
        <v>17.343</v>
      </c>
      <c r="N3204" s="62">
        <v>3.4686</v>
      </c>
    </row>
    <row r="3205" spans="9:14">
      <c r="I3205" s="62">
        <v>2014</v>
      </c>
      <c r="J3205" s="62">
        <v>5</v>
      </c>
      <c r="K3205" s="62" t="s">
        <v>21</v>
      </c>
      <c r="L3205" s="62" t="s">
        <v>3</v>
      </c>
      <c r="M3205" s="62">
        <v>21.486</v>
      </c>
      <c r="N3205" s="62">
        <v>4.2972</v>
      </c>
    </row>
    <row r="3206" spans="9:14">
      <c r="I3206" s="62">
        <v>2014</v>
      </c>
      <c r="J3206" s="62">
        <v>6</v>
      </c>
      <c r="K3206" s="62" t="s">
        <v>21</v>
      </c>
      <c r="L3206" s="62" t="s">
        <v>3</v>
      </c>
      <c r="M3206" s="62">
        <v>15.205</v>
      </c>
      <c r="N3206" s="62">
        <v>3.041</v>
      </c>
    </row>
    <row r="3207" spans="9:14">
      <c r="I3207" s="62">
        <v>2014</v>
      </c>
      <c r="J3207" s="62">
        <v>7</v>
      </c>
      <c r="K3207" s="62" t="s">
        <v>21</v>
      </c>
      <c r="L3207" s="62" t="s">
        <v>3</v>
      </c>
      <c r="M3207" s="62">
        <v>32.4</v>
      </c>
      <c r="N3207" s="62">
        <v>6.48</v>
      </c>
    </row>
    <row r="3208" spans="9:14">
      <c r="I3208" s="62">
        <v>2014</v>
      </c>
      <c r="J3208" s="62">
        <v>8</v>
      </c>
      <c r="K3208" s="62" t="s">
        <v>21</v>
      </c>
      <c r="L3208" s="62" t="s">
        <v>3</v>
      </c>
      <c r="M3208" s="62">
        <v>65.4864</v>
      </c>
      <c r="N3208" s="62">
        <v>13.09728</v>
      </c>
    </row>
    <row r="3209" spans="9:14">
      <c r="I3209" s="62">
        <v>2014</v>
      </c>
      <c r="J3209" s="62">
        <v>9</v>
      </c>
      <c r="K3209" s="62" t="s">
        <v>21</v>
      </c>
      <c r="L3209" s="62" t="s">
        <v>3</v>
      </c>
      <c r="M3209" s="62">
        <v>17.6016</v>
      </c>
      <c r="N3209" s="62">
        <v>3.52032</v>
      </c>
    </row>
    <row r="3210" spans="9:14">
      <c r="I3210" s="62">
        <v>2014</v>
      </c>
      <c r="J3210" s="62">
        <v>10</v>
      </c>
      <c r="K3210" s="62" t="s">
        <v>21</v>
      </c>
      <c r="L3210" s="62" t="s">
        <v>3</v>
      </c>
      <c r="M3210" s="62">
        <v>40.11</v>
      </c>
      <c r="N3210" s="62">
        <v>8.022</v>
      </c>
    </row>
    <row r="3211" spans="9:14">
      <c r="I3211" s="62">
        <v>2014</v>
      </c>
      <c r="J3211" s="62">
        <v>11</v>
      </c>
      <c r="K3211" s="62" t="s">
        <v>21</v>
      </c>
      <c r="L3211" s="62" t="s">
        <v>3</v>
      </c>
      <c r="M3211" s="62">
        <v>59.1874</v>
      </c>
      <c r="N3211" s="62">
        <v>11.83748</v>
      </c>
    </row>
    <row r="3212" spans="9:14">
      <c r="I3212" s="62">
        <v>2014</v>
      </c>
      <c r="J3212" s="62">
        <v>12</v>
      </c>
      <c r="K3212" s="62" t="s">
        <v>21</v>
      </c>
      <c r="L3212" s="62" t="s">
        <v>3</v>
      </c>
      <c r="M3212" s="62">
        <v>8.17</v>
      </c>
      <c r="N3212" s="62">
        <v>1.634</v>
      </c>
    </row>
    <row r="3213" spans="9:14">
      <c r="I3213" s="62">
        <v>2015</v>
      </c>
      <c r="J3213" s="62">
        <v>1</v>
      </c>
      <c r="K3213" s="62" t="s">
        <v>21</v>
      </c>
      <c r="L3213" s="62" t="s">
        <v>3</v>
      </c>
      <c r="M3213" s="62">
        <v>35.6575</v>
      </c>
      <c r="N3213" s="62">
        <v>7.1315</v>
      </c>
    </row>
    <row r="3214" spans="9:14">
      <c r="I3214" s="62">
        <v>2015</v>
      </c>
      <c r="J3214" s="62">
        <v>2</v>
      </c>
      <c r="K3214" s="62" t="s">
        <v>21</v>
      </c>
      <c r="L3214" s="62" t="s">
        <v>3</v>
      </c>
      <c r="M3214" s="62">
        <v>63.67</v>
      </c>
      <c r="N3214" s="62">
        <v>12.734</v>
      </c>
    </row>
    <row r="3215" spans="9:14">
      <c r="I3215" s="62">
        <v>2015</v>
      </c>
      <c r="J3215" s="62">
        <v>3</v>
      </c>
      <c r="K3215" s="62" t="s">
        <v>21</v>
      </c>
      <c r="L3215" s="62" t="s">
        <v>3</v>
      </c>
      <c r="M3215" s="62">
        <v>68.40000000000001</v>
      </c>
      <c r="N3215" s="62">
        <v>13.68</v>
      </c>
    </row>
    <row r="3216" spans="9:14">
      <c r="I3216" s="62">
        <v>2015</v>
      </c>
      <c r="J3216" s="62">
        <v>4</v>
      </c>
      <c r="K3216" s="62" t="s">
        <v>21</v>
      </c>
      <c r="L3216" s="62" t="s">
        <v>3</v>
      </c>
      <c r="M3216" s="62">
        <v>75.12</v>
      </c>
      <c r="N3216" s="62">
        <v>15.024</v>
      </c>
    </row>
    <row r="3217" spans="9:14">
      <c r="I3217" s="62">
        <v>2015</v>
      </c>
      <c r="J3217" s="62">
        <v>5</v>
      </c>
      <c r="K3217" s="62" t="s">
        <v>21</v>
      </c>
      <c r="L3217" s="62" t="s">
        <v>3</v>
      </c>
      <c r="M3217" s="62">
        <v>114.0835</v>
      </c>
      <c r="N3217" s="62">
        <v>22.8167</v>
      </c>
    </row>
    <row r="3218" spans="9:14">
      <c r="I3218" s="62">
        <v>2015</v>
      </c>
      <c r="J3218" s="62">
        <v>6</v>
      </c>
      <c r="K3218" s="62" t="s">
        <v>21</v>
      </c>
      <c r="L3218" s="62" t="s">
        <v>3</v>
      </c>
      <c r="M3218" s="62">
        <v>88.94720000000001</v>
      </c>
      <c r="N3218" s="62">
        <v>17.78944</v>
      </c>
    </row>
    <row r="3219" spans="9:14">
      <c r="I3219" s="62">
        <v>2015</v>
      </c>
      <c r="J3219" s="62">
        <v>7</v>
      </c>
      <c r="K3219" s="62" t="s">
        <v>21</v>
      </c>
      <c r="L3219" s="62" t="s">
        <v>3</v>
      </c>
      <c r="M3219" s="62">
        <v>84.53540000000001</v>
      </c>
      <c r="N3219" s="62">
        <v>16.90708</v>
      </c>
    </row>
    <row r="3220" spans="9:14">
      <c r="I3220" s="62">
        <v>2015</v>
      </c>
      <c r="J3220" s="62">
        <v>8</v>
      </c>
      <c r="K3220" s="62" t="s">
        <v>21</v>
      </c>
      <c r="L3220" s="62" t="s">
        <v>3</v>
      </c>
      <c r="M3220" s="62">
        <v>90.20500000000001</v>
      </c>
      <c r="N3220" s="62">
        <v>18.041</v>
      </c>
    </row>
    <row r="3221" spans="9:14">
      <c r="I3221" s="62">
        <v>2015</v>
      </c>
      <c r="J3221" s="62">
        <v>9</v>
      </c>
      <c r="K3221" s="62" t="s">
        <v>21</v>
      </c>
      <c r="L3221" s="62" t="s">
        <v>3</v>
      </c>
      <c r="M3221" s="62">
        <v>163.592</v>
      </c>
      <c r="N3221" s="62">
        <v>32.7184</v>
      </c>
    </row>
    <row r="3222" spans="9:14">
      <c r="I3222" s="62">
        <v>2015</v>
      </c>
      <c r="J3222" s="62">
        <v>10</v>
      </c>
      <c r="K3222" s="62" t="s">
        <v>21</v>
      </c>
      <c r="L3222" s="62" t="s">
        <v>3</v>
      </c>
      <c r="M3222" s="62">
        <v>159.845</v>
      </c>
      <c r="N3222" s="62">
        <v>31.969</v>
      </c>
    </row>
    <row r="3223" spans="9:14">
      <c r="I3223" s="62">
        <v>2015</v>
      </c>
      <c r="J3223" s="62">
        <v>11</v>
      </c>
      <c r="K3223" s="62" t="s">
        <v>21</v>
      </c>
      <c r="L3223" s="62" t="s">
        <v>3</v>
      </c>
      <c r="M3223" s="62">
        <v>112.31</v>
      </c>
      <c r="N3223" s="62">
        <v>22.462</v>
      </c>
    </row>
    <row r="3224" spans="9:14">
      <c r="I3224" s="62">
        <v>2015</v>
      </c>
      <c r="J3224" s="62">
        <v>12</v>
      </c>
      <c r="K3224" s="62" t="s">
        <v>21</v>
      </c>
      <c r="L3224" s="62" t="s">
        <v>3</v>
      </c>
      <c r="M3224" s="62">
        <v>88.65000000000001</v>
      </c>
      <c r="N3224" s="62">
        <v>17.73</v>
      </c>
    </row>
    <row r="3225" spans="9:14">
      <c r="I3225" s="62">
        <v>2016</v>
      </c>
      <c r="J3225" s="62">
        <v>1</v>
      </c>
      <c r="K3225" s="62" t="s">
        <v>21</v>
      </c>
      <c r="L3225" s="62" t="s">
        <v>3</v>
      </c>
      <c r="M3225" s="62">
        <v>128.536</v>
      </c>
      <c r="N3225" s="62">
        <v>25.7072</v>
      </c>
    </row>
    <row r="3226" spans="9:14">
      <c r="I3226" s="62">
        <v>2016</v>
      </c>
      <c r="J3226" s="62">
        <v>2</v>
      </c>
      <c r="K3226" s="62" t="s">
        <v>21</v>
      </c>
      <c r="L3226" s="62" t="s">
        <v>3</v>
      </c>
      <c r="M3226" s="62">
        <v>111.29</v>
      </c>
      <c r="N3226" s="62">
        <v>22.258</v>
      </c>
    </row>
    <row r="3227" spans="9:14">
      <c r="I3227" s="62">
        <v>2016</v>
      </c>
      <c r="J3227" s="62">
        <v>3</v>
      </c>
      <c r="K3227" s="62" t="s">
        <v>21</v>
      </c>
      <c r="L3227" s="62" t="s">
        <v>3</v>
      </c>
      <c r="M3227" s="62">
        <v>34.02</v>
      </c>
      <c r="N3227" s="62">
        <v>6.804</v>
      </c>
    </row>
    <row r="3228" spans="9:14">
      <c r="I3228" s="62">
        <v>2016</v>
      </c>
      <c r="J3228" s="62">
        <v>4</v>
      </c>
      <c r="K3228" s="62" t="s">
        <v>21</v>
      </c>
      <c r="L3228" s="62" t="s">
        <v>3</v>
      </c>
      <c r="M3228" s="62">
        <v>79.92</v>
      </c>
      <c r="N3228" s="62">
        <v>15.984</v>
      </c>
    </row>
    <row r="3229" spans="9:14">
      <c r="I3229" s="62">
        <v>2016</v>
      </c>
      <c r="J3229" s="62">
        <v>5</v>
      </c>
      <c r="K3229" s="62" t="s">
        <v>21</v>
      </c>
      <c r="L3229" s="62" t="s">
        <v>3</v>
      </c>
      <c r="M3229" s="62">
        <v>42.5822</v>
      </c>
      <c r="N3229" s="62">
        <v>8.516440000000001</v>
      </c>
    </row>
    <row r="3230" spans="9:14">
      <c r="I3230" s="62">
        <v>2016</v>
      </c>
      <c r="J3230" s="62">
        <v>6</v>
      </c>
      <c r="K3230" s="62" t="s">
        <v>21</v>
      </c>
      <c r="L3230" s="62" t="s">
        <v>3</v>
      </c>
      <c r="M3230" s="62">
        <v>54.19</v>
      </c>
      <c r="N3230" s="62">
        <v>10.838</v>
      </c>
    </row>
    <row r="3231" spans="9:14">
      <c r="I3231" s="62">
        <v>2016</v>
      </c>
      <c r="J3231" s="62">
        <v>7</v>
      </c>
      <c r="K3231" s="62" t="s">
        <v>21</v>
      </c>
      <c r="L3231" s="62" t="s">
        <v>3</v>
      </c>
      <c r="M3231" s="62">
        <v>47.265</v>
      </c>
      <c r="N3231" s="62">
        <v>9.453000000000001</v>
      </c>
    </row>
    <row r="3232" spans="9:14">
      <c r="I3232" s="62">
        <v>2016</v>
      </c>
      <c r="J3232" s="62">
        <v>8</v>
      </c>
      <c r="K3232" s="62" t="s">
        <v>21</v>
      </c>
      <c r="L3232" s="62" t="s">
        <v>3</v>
      </c>
      <c r="M3232" s="62">
        <v>7.92</v>
      </c>
      <c r="N3232" s="62">
        <v>1.584</v>
      </c>
    </row>
    <row r="3233" spans="9:14">
      <c r="I3233" s="62">
        <v>2016</v>
      </c>
      <c r="J3233" s="62">
        <v>9</v>
      </c>
      <c r="K3233" s="62" t="s">
        <v>21</v>
      </c>
      <c r="L3233" s="62" t="s">
        <v>3</v>
      </c>
      <c r="M3233" s="62">
        <v>55.3</v>
      </c>
      <c r="N3233" s="62">
        <v>11.06</v>
      </c>
    </row>
    <row r="3234" spans="9:14">
      <c r="I3234" s="62">
        <v>2016</v>
      </c>
      <c r="J3234" s="62">
        <v>10</v>
      </c>
      <c r="K3234" s="62" t="s">
        <v>21</v>
      </c>
      <c r="L3234" s="62" t="s">
        <v>3</v>
      </c>
      <c r="M3234" s="62">
        <v>125.02</v>
      </c>
      <c r="N3234" s="62">
        <v>25.004</v>
      </c>
    </row>
    <row r="3235" spans="9:14">
      <c r="I3235" s="62">
        <v>2016</v>
      </c>
      <c r="J3235" s="62">
        <v>11</v>
      </c>
      <c r="K3235" s="62" t="s">
        <v>21</v>
      </c>
      <c r="L3235" s="62" t="s">
        <v>3</v>
      </c>
      <c r="M3235" s="62">
        <v>20.608</v>
      </c>
      <c r="N3235" s="62">
        <v>4.1216</v>
      </c>
    </row>
    <row r="3236" spans="9:14">
      <c r="I3236" s="62">
        <v>2016</v>
      </c>
      <c r="J3236" s="62">
        <v>12</v>
      </c>
      <c r="K3236" s="62" t="s">
        <v>21</v>
      </c>
      <c r="L3236" s="62" t="s">
        <v>3</v>
      </c>
      <c r="M3236" s="62">
        <v>15.4414</v>
      </c>
      <c r="N3236" s="62">
        <v>3.08828</v>
      </c>
    </row>
    <row r="3237" spans="9:14">
      <c r="I3237" s="62">
        <v>2017</v>
      </c>
      <c r="J3237" s="62">
        <v>1</v>
      </c>
      <c r="K3237" s="62" t="s">
        <v>21</v>
      </c>
      <c r="L3237" s="62" t="s">
        <v>3</v>
      </c>
      <c r="M3237" s="62">
        <v>34.189</v>
      </c>
      <c r="N3237" s="62">
        <v>6.837800000000001</v>
      </c>
    </row>
    <row r="3238" spans="9:14">
      <c r="I3238" s="62">
        <v>2017</v>
      </c>
      <c r="J3238" s="62">
        <v>2</v>
      </c>
      <c r="K3238" s="62" t="s">
        <v>21</v>
      </c>
      <c r="L3238" s="62" t="s">
        <v>3</v>
      </c>
      <c r="M3238" s="62">
        <v>33.239</v>
      </c>
      <c r="N3238" s="62">
        <v>6.6478</v>
      </c>
    </row>
    <row r="3239" spans="9:14">
      <c r="I3239" s="62">
        <v>2017</v>
      </c>
      <c r="J3239" s="62">
        <v>3</v>
      </c>
      <c r="K3239" s="62" t="s">
        <v>21</v>
      </c>
      <c r="L3239" s="62" t="s">
        <v>3</v>
      </c>
      <c r="M3239" s="62">
        <v>54.656</v>
      </c>
      <c r="N3239" s="62">
        <v>10.9312</v>
      </c>
    </row>
    <row r="3240" spans="9:14">
      <c r="I3240" s="62">
        <v>2017</v>
      </c>
      <c r="J3240" s="62">
        <v>4</v>
      </c>
      <c r="K3240" s="62" t="s">
        <v>21</v>
      </c>
      <c r="L3240" s="62" t="s">
        <v>3</v>
      </c>
      <c r="M3240" s="62">
        <v>24.065</v>
      </c>
      <c r="N3240" s="62">
        <v>4.813000000000001</v>
      </c>
    </row>
    <row r="3241" spans="9:14">
      <c r="I3241" s="62">
        <v>2017</v>
      </c>
      <c r="J3241" s="62">
        <v>5</v>
      </c>
      <c r="K3241" s="62" t="s">
        <v>21</v>
      </c>
      <c r="L3241" s="62" t="s">
        <v>3</v>
      </c>
      <c r="M3241" s="62">
        <v>77.485</v>
      </c>
      <c r="N3241" s="62">
        <v>15.497</v>
      </c>
    </row>
    <row r="3242" spans="9:14">
      <c r="I3242" s="62">
        <v>2017</v>
      </c>
      <c r="J3242" s="62">
        <v>6</v>
      </c>
      <c r="K3242" s="62" t="s">
        <v>21</v>
      </c>
      <c r="L3242" s="62" t="s">
        <v>3</v>
      </c>
      <c r="M3242" s="62">
        <v>45.16</v>
      </c>
      <c r="N3242" s="62">
        <v>9.032</v>
      </c>
    </row>
    <row r="3243" spans="9:14">
      <c r="I3243" s="62">
        <v>2017</v>
      </c>
      <c r="J3243" s="62">
        <v>7</v>
      </c>
      <c r="K3243" s="62" t="s">
        <v>21</v>
      </c>
      <c r="L3243" s="62" t="s">
        <v>3</v>
      </c>
      <c r="M3243" s="62">
        <v>18.0347</v>
      </c>
      <c r="N3243" s="62">
        <v>3.606940000000001</v>
      </c>
    </row>
    <row r="3244" spans="9:14">
      <c r="I3244" s="62">
        <v>2017</v>
      </c>
      <c r="J3244" s="62">
        <v>8</v>
      </c>
      <c r="K3244" s="62" t="s">
        <v>21</v>
      </c>
      <c r="L3244" s="62" t="s">
        <v>3</v>
      </c>
      <c r="M3244" s="62">
        <v>127.945</v>
      </c>
      <c r="N3244" s="62">
        <v>25.589</v>
      </c>
    </row>
    <row r="3245" spans="9:14">
      <c r="I3245" s="62">
        <v>2017</v>
      </c>
      <c r="J3245" s="62">
        <v>9</v>
      </c>
      <c r="K3245" s="62" t="s">
        <v>21</v>
      </c>
      <c r="L3245" s="62" t="s">
        <v>3</v>
      </c>
      <c r="M3245" s="62">
        <v>430.548</v>
      </c>
      <c r="N3245" s="62">
        <v>86.10960000000001</v>
      </c>
    </row>
    <row r="3246" spans="9:14">
      <c r="I3246" s="62">
        <v>2017</v>
      </c>
      <c r="J3246" s="62">
        <v>10</v>
      </c>
      <c r="K3246" s="62" t="s">
        <v>21</v>
      </c>
      <c r="L3246" s="62" t="s">
        <v>3</v>
      </c>
      <c r="M3246" s="62">
        <v>137.39</v>
      </c>
      <c r="N3246" s="62">
        <v>27.478</v>
      </c>
    </row>
    <row r="3247" spans="9:14">
      <c r="I3247" s="62">
        <v>2017</v>
      </c>
      <c r="J3247" s="62">
        <v>11</v>
      </c>
      <c r="K3247" s="62" t="s">
        <v>21</v>
      </c>
      <c r="L3247" s="62" t="s">
        <v>3</v>
      </c>
      <c r="M3247" s="62">
        <v>66.72</v>
      </c>
      <c r="N3247" s="62">
        <v>13.344</v>
      </c>
    </row>
    <row r="3248" spans="9:14">
      <c r="I3248" s="62">
        <v>2017</v>
      </c>
      <c r="J3248" s="62">
        <v>12</v>
      </c>
      <c r="K3248" s="62" t="s">
        <v>21</v>
      </c>
      <c r="L3248" s="62" t="s">
        <v>3</v>
      </c>
      <c r="M3248" s="62">
        <v>20.16</v>
      </c>
      <c r="N3248" s="62">
        <v>4.032</v>
      </c>
    </row>
    <row r="3249" spans="9:14">
      <c r="I3249" s="62">
        <v>2018</v>
      </c>
      <c r="J3249" s="62">
        <v>1</v>
      </c>
      <c r="K3249" s="62" t="s">
        <v>21</v>
      </c>
      <c r="L3249" s="62" t="s">
        <v>3</v>
      </c>
      <c r="M3249" s="62">
        <v>85.113</v>
      </c>
      <c r="N3249" s="62">
        <v>17.0226</v>
      </c>
    </row>
    <row r="3250" spans="9:14">
      <c r="I3250" s="62">
        <v>2018</v>
      </c>
      <c r="J3250" s="62">
        <v>2</v>
      </c>
      <c r="K3250" s="62" t="s">
        <v>21</v>
      </c>
      <c r="L3250" s="62" t="s">
        <v>3</v>
      </c>
      <c r="M3250" s="62">
        <v>168.3814</v>
      </c>
      <c r="N3250" s="62">
        <v>33.67628000000001</v>
      </c>
    </row>
    <row r="3251" spans="9:14">
      <c r="I3251" s="62">
        <v>2018</v>
      </c>
      <c r="J3251" s="62">
        <v>3</v>
      </c>
      <c r="K3251" s="62" t="s">
        <v>21</v>
      </c>
      <c r="L3251" s="62" t="s">
        <v>3</v>
      </c>
      <c r="M3251" s="62">
        <v>91.8502</v>
      </c>
      <c r="N3251" s="62">
        <v>18.37004</v>
      </c>
    </row>
    <row r="3252" spans="9:14">
      <c r="I3252" s="62">
        <v>2018</v>
      </c>
      <c r="J3252" s="62">
        <v>4</v>
      </c>
      <c r="K3252" s="62" t="s">
        <v>21</v>
      </c>
      <c r="L3252" s="62" t="s">
        <v>3</v>
      </c>
      <c r="M3252" s="62">
        <v>188.617</v>
      </c>
      <c r="N3252" s="62">
        <v>37.7234</v>
      </c>
    </row>
    <row r="3253" spans="9:14">
      <c r="I3253" s="62">
        <v>2018</v>
      </c>
      <c r="J3253" s="62">
        <v>5</v>
      </c>
      <c r="K3253" s="62" t="s">
        <v>21</v>
      </c>
      <c r="L3253" s="62" t="s">
        <v>3</v>
      </c>
      <c r="M3253" s="62">
        <v>163.95</v>
      </c>
      <c r="N3253" s="62">
        <v>32.79</v>
      </c>
    </row>
    <row r="3254" spans="9:14">
      <c r="I3254" s="62">
        <v>2018</v>
      </c>
      <c r="J3254" s="62">
        <v>6</v>
      </c>
      <c r="K3254" s="62" t="s">
        <v>21</v>
      </c>
      <c r="L3254" s="62" t="s">
        <v>3</v>
      </c>
      <c r="M3254" s="62">
        <v>24.08</v>
      </c>
      <c r="N3254" s="62">
        <v>4.816000000000001</v>
      </c>
    </row>
    <row r="3255" spans="9:14">
      <c r="I3255" s="62">
        <v>2018</v>
      </c>
      <c r="J3255" s="62">
        <v>7</v>
      </c>
      <c r="K3255" s="62" t="s">
        <v>21</v>
      </c>
      <c r="L3255" s="62" t="s">
        <v>3</v>
      </c>
      <c r="M3255" s="62">
        <v>93.06700000000001</v>
      </c>
      <c r="N3255" s="62">
        <v>18.6134</v>
      </c>
    </row>
    <row r="3256" spans="9:14">
      <c r="I3256" s="62">
        <v>2018</v>
      </c>
      <c r="J3256" s="62">
        <v>8</v>
      </c>
      <c r="K3256" s="62" t="s">
        <v>21</v>
      </c>
      <c r="L3256" s="62" t="s">
        <v>3</v>
      </c>
      <c r="M3256" s="62">
        <v>17.179</v>
      </c>
      <c r="N3256" s="62">
        <v>3.4358</v>
      </c>
    </row>
    <row r="3257" spans="9:14">
      <c r="I3257" s="62">
        <v>2018</v>
      </c>
      <c r="J3257" s="62">
        <v>9</v>
      </c>
      <c r="K3257" s="62" t="s">
        <v>21</v>
      </c>
      <c r="L3257" s="62" t="s">
        <v>3</v>
      </c>
      <c r="M3257" s="62">
        <v>178.44</v>
      </c>
      <c r="N3257" s="62">
        <v>35.688</v>
      </c>
    </row>
    <row r="3258" spans="9:14">
      <c r="I3258" s="62">
        <v>2018</v>
      </c>
      <c r="J3258" s="62">
        <v>10</v>
      </c>
      <c r="K3258" s="62" t="s">
        <v>21</v>
      </c>
      <c r="L3258" s="62" t="s">
        <v>3</v>
      </c>
      <c r="M3258" s="62">
        <v>144.845</v>
      </c>
      <c r="N3258" s="62">
        <v>28.969</v>
      </c>
    </row>
    <row r="3259" spans="9:14">
      <c r="I3259" s="62">
        <v>2018</v>
      </c>
      <c r="J3259" s="62">
        <v>11</v>
      </c>
      <c r="K3259" s="62" t="s">
        <v>21</v>
      </c>
      <c r="L3259" s="62" t="s">
        <v>3</v>
      </c>
      <c r="M3259" s="62">
        <v>114.22</v>
      </c>
      <c r="N3259" s="62">
        <v>22.844</v>
      </c>
    </row>
    <row r="3260" spans="9:14">
      <c r="I3260" s="62">
        <v>2018</v>
      </c>
      <c r="J3260" s="62">
        <v>12</v>
      </c>
      <c r="K3260" s="62" t="s">
        <v>21</v>
      </c>
      <c r="L3260" s="62" t="s">
        <v>3</v>
      </c>
      <c r="M3260" s="62">
        <v>12.35</v>
      </c>
      <c r="N3260" s="62">
        <v>2.47</v>
      </c>
    </row>
    <row r="3261" spans="9:14">
      <c r="I3261" s="62">
        <v>2019</v>
      </c>
      <c r="J3261" s="62">
        <v>1</v>
      </c>
      <c r="K3261" s="62" t="s">
        <v>21</v>
      </c>
      <c r="L3261" s="62" t="s">
        <v>3</v>
      </c>
      <c r="M3261" s="62">
        <v>168.9358</v>
      </c>
      <c r="N3261" s="62">
        <v>33.78716</v>
      </c>
    </row>
    <row r="3262" spans="9:14">
      <c r="I3262" s="62">
        <v>2019</v>
      </c>
      <c r="J3262" s="62">
        <v>2</v>
      </c>
      <c r="K3262" s="62" t="s">
        <v>21</v>
      </c>
      <c r="L3262" s="62" t="s">
        <v>3</v>
      </c>
      <c r="M3262" s="62">
        <v>212.368</v>
      </c>
      <c r="N3262" s="62">
        <v>42.4736</v>
      </c>
    </row>
    <row r="3263" spans="9:14">
      <c r="I3263" s="62">
        <v>2019</v>
      </c>
      <c r="J3263" s="62">
        <v>3</v>
      </c>
      <c r="K3263" s="62" t="s">
        <v>21</v>
      </c>
      <c r="L3263" s="62" t="s">
        <v>3</v>
      </c>
      <c r="M3263" s="62">
        <v>103.622</v>
      </c>
      <c r="N3263" s="62">
        <v>20.7244</v>
      </c>
    </row>
    <row r="3264" spans="9:14">
      <c r="I3264" s="62">
        <v>2019</v>
      </c>
      <c r="J3264" s="62">
        <v>4</v>
      </c>
      <c r="K3264" s="62" t="s">
        <v>21</v>
      </c>
      <c r="L3264" s="62" t="s">
        <v>3</v>
      </c>
      <c r="M3264" s="62">
        <v>104.52</v>
      </c>
      <c r="N3264" s="62">
        <v>20.904</v>
      </c>
    </row>
    <row r="3265" spans="9:14">
      <c r="I3265" s="62">
        <v>2019</v>
      </c>
      <c r="J3265" s="62">
        <v>5</v>
      </c>
      <c r="K3265" s="62" t="s">
        <v>21</v>
      </c>
      <c r="L3265" s="62" t="s">
        <v>3</v>
      </c>
      <c r="M3265" s="62">
        <v>211.16</v>
      </c>
      <c r="N3265" s="62">
        <v>42.232</v>
      </c>
    </row>
    <row r="3266" spans="9:14">
      <c r="I3266" s="62">
        <v>2019</v>
      </c>
      <c r="J3266" s="62">
        <v>6</v>
      </c>
      <c r="K3266" s="62" t="s">
        <v>21</v>
      </c>
      <c r="L3266" s="62" t="s">
        <v>3</v>
      </c>
      <c r="M3266" s="62">
        <v>73.523</v>
      </c>
      <c r="N3266" s="62">
        <v>14.7046</v>
      </c>
    </row>
    <row r="3267" spans="9:14">
      <c r="I3267" s="62">
        <v>2019</v>
      </c>
      <c r="J3267" s="62">
        <v>7</v>
      </c>
      <c r="K3267" s="62" t="s">
        <v>21</v>
      </c>
      <c r="L3267" s="62" t="s">
        <v>3</v>
      </c>
      <c r="M3267" s="62">
        <v>41.3681</v>
      </c>
      <c r="N3267" s="62">
        <v>8.273620000000001</v>
      </c>
    </row>
    <row r="3268" spans="9:14">
      <c r="I3268" s="62">
        <v>2019</v>
      </c>
      <c r="J3268" s="62">
        <v>8</v>
      </c>
      <c r="K3268" s="62" t="s">
        <v>21</v>
      </c>
      <c r="L3268" s="62" t="s">
        <v>3</v>
      </c>
      <c r="M3268" s="62">
        <v>65.5564</v>
      </c>
      <c r="N3268" s="62">
        <v>13.11128</v>
      </c>
    </row>
    <row r="3269" spans="9:14">
      <c r="I3269" s="62">
        <v>2019</v>
      </c>
      <c r="J3269" s="62">
        <v>9</v>
      </c>
      <c r="K3269" s="62" t="s">
        <v>21</v>
      </c>
      <c r="L3269" s="62" t="s">
        <v>3</v>
      </c>
      <c r="M3269" s="62">
        <v>150.207</v>
      </c>
      <c r="N3269" s="62">
        <v>30.0414</v>
      </c>
    </row>
    <row r="3270" spans="9:14">
      <c r="I3270" s="62">
        <v>2019</v>
      </c>
      <c r="J3270" s="62">
        <v>10</v>
      </c>
      <c r="K3270" s="62" t="s">
        <v>21</v>
      </c>
      <c r="L3270" s="62" t="s">
        <v>3</v>
      </c>
      <c r="M3270" s="62">
        <v>113.955</v>
      </c>
      <c r="N3270" s="62">
        <v>22.791</v>
      </c>
    </row>
    <row r="3271" spans="9:14">
      <c r="I3271" s="62">
        <v>2019</v>
      </c>
      <c r="J3271" s="62">
        <v>11</v>
      </c>
      <c r="K3271" s="62" t="s">
        <v>21</v>
      </c>
      <c r="L3271" s="62" t="s">
        <v>3</v>
      </c>
      <c r="M3271" s="62">
        <v>72.30800000000001</v>
      </c>
      <c r="N3271" s="62">
        <v>14.4616</v>
      </c>
    </row>
    <row r="3272" spans="9:14">
      <c r="I3272" s="62">
        <v>2019</v>
      </c>
      <c r="J3272" s="62">
        <v>12</v>
      </c>
      <c r="K3272" s="62" t="s">
        <v>21</v>
      </c>
      <c r="L3272" s="62" t="s">
        <v>3</v>
      </c>
      <c r="M3272" s="62">
        <v>9.140000000000001</v>
      </c>
      <c r="N3272" s="62">
        <v>1.828</v>
      </c>
    </row>
    <row r="3273" spans="9:14">
      <c r="I3273" s="62">
        <v>2020</v>
      </c>
      <c r="J3273" s="62">
        <v>1</v>
      </c>
      <c r="K3273" s="62" t="s">
        <v>21</v>
      </c>
      <c r="L3273" s="62" t="s">
        <v>3</v>
      </c>
      <c r="M3273" s="62">
        <v>30.766</v>
      </c>
      <c r="N3273" s="62">
        <v>6.153200000000001</v>
      </c>
    </row>
    <row r="3274" spans="9:14">
      <c r="I3274" s="62">
        <v>2020</v>
      </c>
      <c r="J3274" s="62">
        <v>2</v>
      </c>
      <c r="K3274" s="62" t="s">
        <v>21</v>
      </c>
      <c r="L3274" s="62" t="s">
        <v>3</v>
      </c>
      <c r="M3274" s="62">
        <v>58.347</v>
      </c>
      <c r="N3274" s="62">
        <v>11.6694</v>
      </c>
    </row>
    <row r="3275" spans="9:14">
      <c r="I3275" s="62">
        <v>2020</v>
      </c>
      <c r="J3275" s="62">
        <v>3</v>
      </c>
      <c r="K3275" s="62" t="s">
        <v>21</v>
      </c>
      <c r="L3275" s="62" t="s">
        <v>3</v>
      </c>
      <c r="M3275" s="62">
        <v>138.2776</v>
      </c>
      <c r="N3275" s="62">
        <v>27.65552</v>
      </c>
    </row>
    <row r="3276" spans="9:14">
      <c r="I3276" s="62">
        <v>2020</v>
      </c>
      <c r="J3276" s="62">
        <v>4</v>
      </c>
      <c r="K3276" s="62" t="s">
        <v>21</v>
      </c>
      <c r="L3276" s="62" t="s">
        <v>3</v>
      </c>
      <c r="M3276" s="62">
        <v>595.0089</v>
      </c>
      <c r="N3276" s="62">
        <v>119.00178</v>
      </c>
    </row>
    <row r="3277" spans="9:14">
      <c r="I3277" s="62">
        <v>2020</v>
      </c>
      <c r="J3277" s="62">
        <v>5</v>
      </c>
      <c r="K3277" s="62" t="s">
        <v>21</v>
      </c>
      <c r="L3277" s="62" t="s">
        <v>3</v>
      </c>
      <c r="M3277" s="62">
        <v>589.1790999999999</v>
      </c>
      <c r="N3277" s="62">
        <v>117.83582</v>
      </c>
    </row>
    <row r="3278" spans="9:14">
      <c r="I3278" s="62">
        <v>2020</v>
      </c>
      <c r="J3278" s="62">
        <v>6</v>
      </c>
      <c r="K3278" s="62" t="s">
        <v>21</v>
      </c>
      <c r="L3278" s="62" t="s">
        <v>3</v>
      </c>
      <c r="M3278" s="62">
        <v>685.1912</v>
      </c>
      <c r="N3278" s="62">
        <v>137.03824</v>
      </c>
    </row>
    <row r="3279" spans="9:14">
      <c r="I3279" s="62">
        <v>2020</v>
      </c>
      <c r="J3279" s="62">
        <v>7</v>
      </c>
      <c r="K3279" s="62" t="s">
        <v>21</v>
      </c>
      <c r="L3279" s="62" t="s">
        <v>3</v>
      </c>
      <c r="M3279" s="62">
        <v>670.979</v>
      </c>
      <c r="N3279" s="62">
        <v>134.1958</v>
      </c>
    </row>
    <row r="3280" spans="9:14">
      <c r="I3280" s="62">
        <v>2020</v>
      </c>
      <c r="J3280" s="62">
        <v>8</v>
      </c>
      <c r="K3280" s="62" t="s">
        <v>21</v>
      </c>
      <c r="L3280" s="62" t="s">
        <v>3</v>
      </c>
      <c r="M3280" s="62">
        <v>735.9895</v>
      </c>
      <c r="N3280" s="62">
        <v>147.1979</v>
      </c>
    </row>
    <row r="3281" spans="9:14">
      <c r="I3281" s="62">
        <v>2020</v>
      </c>
      <c r="J3281" s="62">
        <v>9</v>
      </c>
      <c r="K3281" s="62" t="s">
        <v>21</v>
      </c>
      <c r="L3281" s="62" t="s">
        <v>3</v>
      </c>
      <c r="M3281" s="62">
        <v>810.7201</v>
      </c>
      <c r="N3281" s="62">
        <v>162.14402</v>
      </c>
    </row>
    <row r="3282" spans="9:14">
      <c r="I3282" s="62">
        <v>2020</v>
      </c>
      <c r="J3282" s="62">
        <v>10</v>
      </c>
      <c r="K3282" s="62" t="s">
        <v>21</v>
      </c>
      <c r="L3282" s="62" t="s">
        <v>3</v>
      </c>
      <c r="M3282" s="62">
        <v>711.2862</v>
      </c>
      <c r="N3282" s="62">
        <v>142.25724</v>
      </c>
    </row>
    <row r="3283" spans="9:14">
      <c r="I3283" s="62">
        <v>2020</v>
      </c>
      <c r="J3283" s="62">
        <v>11</v>
      </c>
      <c r="K3283" s="62" t="s">
        <v>21</v>
      </c>
      <c r="L3283" s="62" t="s">
        <v>3</v>
      </c>
      <c r="M3283" s="62">
        <v>620.8215</v>
      </c>
      <c r="N3283" s="62">
        <v>124.1643</v>
      </c>
    </row>
    <row r="3284" spans="9:14">
      <c r="I3284" s="62">
        <v>2020</v>
      </c>
      <c r="J3284" s="62">
        <v>12</v>
      </c>
      <c r="K3284" s="62" t="s">
        <v>21</v>
      </c>
      <c r="L3284" s="62" t="s">
        <v>3</v>
      </c>
      <c r="M3284" s="62">
        <v>631.2245</v>
      </c>
      <c r="N3284" s="62">
        <v>126.2449</v>
      </c>
    </row>
    <row r="3285" spans="9:14">
      <c r="I3285" s="62">
        <v>2021</v>
      </c>
      <c r="J3285" s="62">
        <v>1</v>
      </c>
      <c r="K3285" s="62" t="s">
        <v>21</v>
      </c>
      <c r="L3285" s="62" t="s">
        <v>3</v>
      </c>
      <c r="M3285" s="62">
        <v>630.942</v>
      </c>
      <c r="N3285" s="62">
        <v>126.1884</v>
      </c>
    </row>
    <row r="3286" spans="9:14">
      <c r="I3286" s="62">
        <v>2021</v>
      </c>
      <c r="J3286" s="62">
        <v>2</v>
      </c>
      <c r="K3286" s="62" t="s">
        <v>21</v>
      </c>
      <c r="L3286" s="62" t="s">
        <v>3</v>
      </c>
      <c r="M3286" s="62">
        <v>922.0447</v>
      </c>
      <c r="N3286" s="62">
        <v>184.40894</v>
      </c>
    </row>
    <row r="3287" spans="9:14">
      <c r="I3287" s="62">
        <v>2021</v>
      </c>
      <c r="J3287" s="62">
        <v>3</v>
      </c>
      <c r="K3287" s="62" t="s">
        <v>21</v>
      </c>
      <c r="L3287" s="62" t="s">
        <v>3</v>
      </c>
      <c r="M3287" s="62">
        <v>713.1011999999999</v>
      </c>
      <c r="N3287" s="62">
        <v>142.62024</v>
      </c>
    </row>
    <row r="3288" spans="9:14">
      <c r="I3288" s="62">
        <v>2021</v>
      </c>
      <c r="J3288" s="62">
        <v>4</v>
      </c>
      <c r="K3288" s="62" t="s">
        <v>21</v>
      </c>
      <c r="L3288" s="62" t="s">
        <v>3</v>
      </c>
      <c r="M3288" s="62">
        <v>382.0655</v>
      </c>
      <c r="N3288" s="62">
        <v>76.4131</v>
      </c>
    </row>
    <row r="3289" spans="9:14">
      <c r="I3289" s="62">
        <v>2021</v>
      </c>
      <c r="J3289" s="62">
        <v>5</v>
      </c>
      <c r="K3289" s="62" t="s">
        <v>21</v>
      </c>
      <c r="L3289" s="62" t="s">
        <v>3</v>
      </c>
      <c r="M3289" s="62">
        <v>203.4084</v>
      </c>
      <c r="N3289" s="62">
        <v>40.68168000000001</v>
      </c>
    </row>
    <row r="3290" spans="9:14">
      <c r="I3290" s="62">
        <v>2021</v>
      </c>
      <c r="J3290" s="62">
        <v>6</v>
      </c>
      <c r="K3290" s="62" t="s">
        <v>21</v>
      </c>
      <c r="L3290" s="62" t="s">
        <v>3</v>
      </c>
      <c r="M3290" s="62">
        <v>150.385</v>
      </c>
      <c r="N3290" s="62">
        <v>30.077</v>
      </c>
    </row>
    <row r="3291" spans="9:14">
      <c r="I3291" s="62">
        <v>2021</v>
      </c>
      <c r="J3291" s="62">
        <v>7</v>
      </c>
      <c r="K3291" s="62" t="s">
        <v>21</v>
      </c>
      <c r="L3291" s="62" t="s">
        <v>3</v>
      </c>
      <c r="M3291" s="62">
        <v>133.173</v>
      </c>
      <c r="N3291" s="62">
        <v>26.6346</v>
      </c>
    </row>
    <row r="3292" spans="9:14">
      <c r="I3292" s="62">
        <v>2021</v>
      </c>
      <c r="J3292" s="62">
        <v>8</v>
      </c>
      <c r="K3292" s="62" t="s">
        <v>21</v>
      </c>
      <c r="L3292" s="62" t="s">
        <v>3</v>
      </c>
      <c r="M3292" s="62">
        <v>170.9804</v>
      </c>
      <c r="N3292" s="62">
        <v>34.19608</v>
      </c>
    </row>
    <row r="3293" spans="9:14">
      <c r="I3293" s="62">
        <v>2021</v>
      </c>
      <c r="J3293" s="62">
        <v>9</v>
      </c>
      <c r="K3293" s="62" t="s">
        <v>21</v>
      </c>
      <c r="L3293" s="62" t="s">
        <v>3</v>
      </c>
      <c r="M3293" s="62">
        <v>299.613</v>
      </c>
      <c r="N3293" s="62">
        <v>59.9226</v>
      </c>
    </row>
    <row r="3294" spans="9:14">
      <c r="I3294" s="62">
        <v>2021</v>
      </c>
      <c r="J3294" s="62">
        <v>10</v>
      </c>
      <c r="K3294" s="62" t="s">
        <v>21</v>
      </c>
      <c r="L3294" s="62" t="s">
        <v>3</v>
      </c>
      <c r="M3294" s="62">
        <v>204.04</v>
      </c>
      <c r="N3294" s="62">
        <v>40.808</v>
      </c>
    </row>
    <row r="3295" spans="9:14">
      <c r="I3295" s="62">
        <v>2021</v>
      </c>
      <c r="J3295" s="62">
        <v>11</v>
      </c>
      <c r="K3295" s="62" t="s">
        <v>21</v>
      </c>
      <c r="L3295" s="62" t="s">
        <v>3</v>
      </c>
      <c r="M3295" s="62">
        <v>242.973</v>
      </c>
      <c r="N3295" s="62">
        <v>48.59460000000001</v>
      </c>
    </row>
    <row r="3296" spans="9:14">
      <c r="I3296" s="62">
        <v>2021</v>
      </c>
      <c r="J3296" s="62">
        <v>12</v>
      </c>
      <c r="K3296" s="62" t="s">
        <v>21</v>
      </c>
      <c r="L3296" s="62" t="s">
        <v>3</v>
      </c>
      <c r="M3296" s="62">
        <v>89.58200000000001</v>
      </c>
      <c r="N3296" s="62">
        <v>17.9164</v>
      </c>
    </row>
    <row r="3297" spans="9:14">
      <c r="I3297" s="62">
        <v>2022</v>
      </c>
      <c r="J3297" s="62">
        <v>1</v>
      </c>
      <c r="K3297" s="62" t="s">
        <v>21</v>
      </c>
      <c r="L3297" s="62" t="s">
        <v>3</v>
      </c>
      <c r="M3297" s="62">
        <v>130.3924</v>
      </c>
      <c r="N3297" s="62">
        <v>26.07848</v>
      </c>
    </row>
    <row r="3298" spans="9:14">
      <c r="I3298" s="62">
        <v>2022</v>
      </c>
      <c r="J3298" s="62">
        <v>2</v>
      </c>
      <c r="K3298" s="62" t="s">
        <v>21</v>
      </c>
      <c r="L3298" s="62" t="s">
        <v>3</v>
      </c>
      <c r="M3298" s="62">
        <v>151.461</v>
      </c>
      <c r="N3298" s="62">
        <v>30.2922</v>
      </c>
    </row>
    <row r="3299" spans="9:14">
      <c r="I3299" s="62">
        <v>2022</v>
      </c>
      <c r="J3299" s="62">
        <v>3</v>
      </c>
      <c r="K3299" s="62" t="s">
        <v>21</v>
      </c>
      <c r="L3299" s="62" t="s">
        <v>3</v>
      </c>
      <c r="M3299" s="62">
        <v>85.813</v>
      </c>
      <c r="N3299" s="62">
        <v>17.1626</v>
      </c>
    </row>
    <row r="3300" spans="9:14">
      <c r="I3300" s="62">
        <v>2022</v>
      </c>
      <c r="J3300" s="62">
        <v>4</v>
      </c>
      <c r="K3300" s="62" t="s">
        <v>21</v>
      </c>
      <c r="L3300" s="62" t="s">
        <v>3</v>
      </c>
      <c r="M3300" s="62">
        <v>138.926</v>
      </c>
      <c r="N3300" s="62">
        <v>27.7852</v>
      </c>
    </row>
    <row r="3301" spans="9:14">
      <c r="I3301" s="62">
        <v>2022</v>
      </c>
      <c r="J3301" s="62">
        <v>5</v>
      </c>
      <c r="K3301" s="62" t="s">
        <v>21</v>
      </c>
      <c r="L3301" s="62" t="s">
        <v>3</v>
      </c>
      <c r="M3301" s="62">
        <v>153.885</v>
      </c>
      <c r="N3301" s="62">
        <v>30.777</v>
      </c>
    </row>
    <row r="3302" spans="9:14">
      <c r="I3302" s="62">
        <v>2022</v>
      </c>
      <c r="J3302" s="62">
        <v>6</v>
      </c>
      <c r="K3302" s="62" t="s">
        <v>21</v>
      </c>
      <c r="L3302" s="62" t="s">
        <v>3</v>
      </c>
      <c r="M3302" s="62">
        <v>101.162</v>
      </c>
      <c r="N3302" s="62">
        <v>20.2324</v>
      </c>
    </row>
    <row r="3303" spans="9:14">
      <c r="I3303" s="62">
        <v>2022</v>
      </c>
      <c r="J3303" s="62">
        <v>7</v>
      </c>
      <c r="K3303" s="62" t="s">
        <v>21</v>
      </c>
      <c r="L3303" s="62" t="s">
        <v>3</v>
      </c>
      <c r="M3303" s="62">
        <v>118.0725</v>
      </c>
      <c r="N3303" s="62">
        <v>23.6145</v>
      </c>
    </row>
    <row r="3304" spans="9:14">
      <c r="I3304" s="62">
        <v>2022</v>
      </c>
      <c r="J3304" s="62">
        <v>8</v>
      </c>
      <c r="K3304" s="62" t="s">
        <v>21</v>
      </c>
      <c r="L3304" s="62" t="s">
        <v>3</v>
      </c>
      <c r="M3304" s="62">
        <v>163.454</v>
      </c>
      <c r="N3304" s="62">
        <v>32.6908</v>
      </c>
    </row>
    <row r="3305" spans="9:14">
      <c r="I3305" s="62">
        <v>2022</v>
      </c>
      <c r="J3305" s="62">
        <v>9</v>
      </c>
      <c r="K3305" s="62" t="s">
        <v>21</v>
      </c>
      <c r="L3305" s="62" t="s">
        <v>3</v>
      </c>
      <c r="M3305" s="62">
        <v>178.1494</v>
      </c>
      <c r="N3305" s="62">
        <v>35.62988</v>
      </c>
    </row>
    <row r="3306" spans="9:14">
      <c r="I3306" s="62">
        <v>2022</v>
      </c>
      <c r="J3306" s="62">
        <v>10</v>
      </c>
      <c r="K3306" s="62" t="s">
        <v>21</v>
      </c>
      <c r="L3306" s="62" t="s">
        <v>3</v>
      </c>
      <c r="M3306" s="62">
        <v>202.451</v>
      </c>
      <c r="N3306" s="62">
        <v>40.4902</v>
      </c>
    </row>
    <row r="3307" spans="9:14">
      <c r="I3307" s="62">
        <v>2022</v>
      </c>
      <c r="J3307" s="62">
        <v>11</v>
      </c>
      <c r="K3307" s="62" t="s">
        <v>21</v>
      </c>
      <c r="L3307" s="62" t="s">
        <v>3</v>
      </c>
      <c r="M3307" s="62">
        <v>162.7371</v>
      </c>
      <c r="N3307" s="62">
        <v>32.54742</v>
      </c>
    </row>
    <row r="3308" spans="9:14">
      <c r="I3308" s="62">
        <v>2022</v>
      </c>
      <c r="J3308" s="62">
        <v>12</v>
      </c>
      <c r="K3308" s="62" t="s">
        <v>21</v>
      </c>
      <c r="L3308" s="62" t="s">
        <v>3</v>
      </c>
      <c r="M3308" s="62">
        <v>228.0245</v>
      </c>
      <c r="N3308" s="62">
        <v>45.6049</v>
      </c>
    </row>
    <row r="3309" spans="9:14">
      <c r="I3309" s="62">
        <v>2023</v>
      </c>
      <c r="J3309" s="62">
        <v>1</v>
      </c>
      <c r="K3309" s="62" t="s">
        <v>21</v>
      </c>
      <c r="L3309" s="62" t="s">
        <v>3</v>
      </c>
      <c r="M3309" s="62">
        <v>264.067</v>
      </c>
      <c r="N3309" s="62">
        <v>52.8134</v>
      </c>
    </row>
    <row r="3310" spans="9:14">
      <c r="I3310" s="62">
        <v>2023</v>
      </c>
      <c r="J3310" s="62">
        <v>2</v>
      </c>
      <c r="K3310" s="62" t="s">
        <v>21</v>
      </c>
      <c r="L3310" s="62" t="s">
        <v>3</v>
      </c>
      <c r="M3310" s="62">
        <v>293.555</v>
      </c>
      <c r="N3310" s="62">
        <v>58.711</v>
      </c>
    </row>
    <row r="3311" spans="9:14">
      <c r="I3311" s="62">
        <v>2023</v>
      </c>
      <c r="J3311" s="62">
        <v>3</v>
      </c>
      <c r="K3311" s="62" t="s">
        <v>21</v>
      </c>
      <c r="L3311" s="62" t="s">
        <v>3</v>
      </c>
      <c r="M3311" s="62">
        <v>273.295</v>
      </c>
      <c r="N3311" s="62">
        <v>54.65900000000001</v>
      </c>
    </row>
    <row r="3312" spans="9:14">
      <c r="I3312" s="62">
        <v>2023</v>
      </c>
      <c r="J3312" s="62">
        <v>4</v>
      </c>
      <c r="K3312" s="62" t="s">
        <v>21</v>
      </c>
      <c r="L3312" s="62" t="s">
        <v>3</v>
      </c>
      <c r="M3312" s="62">
        <v>187.155</v>
      </c>
      <c r="N3312" s="62">
        <v>37.431</v>
      </c>
    </row>
    <row r="3313" spans="9:14">
      <c r="I3313" s="62">
        <v>2023</v>
      </c>
      <c r="J3313" s="62">
        <v>5</v>
      </c>
      <c r="K3313" s="62" t="s">
        <v>21</v>
      </c>
      <c r="L3313" s="62" t="s">
        <v>3</v>
      </c>
      <c r="M3313" s="62">
        <v>130.54</v>
      </c>
      <c r="N3313" s="62">
        <v>26.108</v>
      </c>
    </row>
    <row r="3314" spans="9:14">
      <c r="I3314" s="62">
        <v>2023</v>
      </c>
      <c r="J3314" s="62">
        <v>6</v>
      </c>
      <c r="K3314" s="62" t="s">
        <v>21</v>
      </c>
      <c r="L3314" s="62" t="s">
        <v>3</v>
      </c>
      <c r="M3314" s="62">
        <v>119.394</v>
      </c>
      <c r="N3314" s="62">
        <v>23.8788</v>
      </c>
    </row>
    <row r="3315" spans="9:14">
      <c r="I3315" s="62">
        <v>2023</v>
      </c>
      <c r="J3315" s="62">
        <v>7</v>
      </c>
      <c r="K3315" s="62" t="s">
        <v>21</v>
      </c>
      <c r="L3315" s="62" t="s">
        <v>3</v>
      </c>
      <c r="M3315" s="62">
        <v>86.23139999999999</v>
      </c>
      <c r="N3315" s="62">
        <v>17.24628</v>
      </c>
    </row>
    <row r="3316" spans="9:14">
      <c r="I3316" s="62">
        <v>2023</v>
      </c>
      <c r="J3316" s="62">
        <v>8</v>
      </c>
      <c r="K3316" s="62" t="s">
        <v>21</v>
      </c>
      <c r="L3316" s="62" t="s">
        <v>3</v>
      </c>
      <c r="M3316" s="62">
        <v>138.989</v>
      </c>
      <c r="N3316" s="62">
        <v>27.7978</v>
      </c>
    </row>
    <row r="3317" spans="9:14">
      <c r="I3317" s="62">
        <v>2023</v>
      </c>
      <c r="J3317" s="62">
        <v>9</v>
      </c>
      <c r="K3317" s="62" t="s">
        <v>21</v>
      </c>
      <c r="L3317" s="62" t="s">
        <v>3</v>
      </c>
      <c r="M3317" s="62">
        <v>122.7494</v>
      </c>
      <c r="N3317" s="62">
        <v>24.54988</v>
      </c>
    </row>
    <row r="3318" spans="9:14">
      <c r="I3318" s="62">
        <v>2023</v>
      </c>
      <c r="J3318" s="62">
        <v>10</v>
      </c>
      <c r="K3318" s="62" t="s">
        <v>21</v>
      </c>
      <c r="L3318" s="62" t="s">
        <v>3</v>
      </c>
      <c r="M3318" s="62">
        <v>240.015</v>
      </c>
      <c r="N3318" s="62">
        <v>48.003</v>
      </c>
    </row>
    <row r="3319" spans="9:14">
      <c r="I3319" s="62">
        <v>2023</v>
      </c>
      <c r="J3319" s="62">
        <v>11</v>
      </c>
      <c r="K3319" s="62" t="s">
        <v>21</v>
      </c>
      <c r="L3319" s="62" t="s">
        <v>3</v>
      </c>
      <c r="M3319" s="62">
        <v>165.957</v>
      </c>
      <c r="N3319" s="62">
        <v>33.1914</v>
      </c>
    </row>
    <row r="3320" spans="9:14">
      <c r="I3320" s="62">
        <v>2023</v>
      </c>
      <c r="J3320" s="62">
        <v>12</v>
      </c>
      <c r="K3320" s="62" t="s">
        <v>21</v>
      </c>
      <c r="L3320" s="62" t="s">
        <v>3</v>
      </c>
      <c r="M3320" s="62">
        <v>85.773</v>
      </c>
      <c r="N3320" s="62">
        <v>17.1546</v>
      </c>
    </row>
    <row r="3321" spans="9:14">
      <c r="I3321" s="62">
        <v>2024</v>
      </c>
      <c r="J3321" s="62">
        <v>1</v>
      </c>
      <c r="K3321" s="62" t="s">
        <v>21</v>
      </c>
      <c r="L3321" s="62" t="s">
        <v>3</v>
      </c>
      <c r="M3321" s="62">
        <v>316.998</v>
      </c>
      <c r="N3321" s="62">
        <v>63.39960000000001</v>
      </c>
    </row>
    <row r="3322" spans="9:14">
      <c r="I3322" s="62">
        <v>2024</v>
      </c>
      <c r="J3322" s="62">
        <v>2</v>
      </c>
      <c r="K3322" s="62" t="s">
        <v>21</v>
      </c>
      <c r="L3322" s="62" t="s">
        <v>3</v>
      </c>
      <c r="M3322" s="62">
        <v>703.528</v>
      </c>
      <c r="N3322" s="62">
        <v>140.7056</v>
      </c>
    </row>
    <row r="3323" spans="9:14">
      <c r="I3323" s="62">
        <v>2024</v>
      </c>
      <c r="J3323" s="62">
        <v>3</v>
      </c>
      <c r="K3323" s="62" t="s">
        <v>21</v>
      </c>
      <c r="L3323" s="62" t="s">
        <v>3</v>
      </c>
      <c r="M3323" s="62">
        <v>315.8218</v>
      </c>
      <c r="N3323" s="62">
        <v>63.16436</v>
      </c>
    </row>
    <row r="3324" spans="9:14">
      <c r="I3324" s="62">
        <v>2024</v>
      </c>
      <c r="J3324" s="62">
        <v>4</v>
      </c>
      <c r="K3324" s="62" t="s">
        <v>21</v>
      </c>
      <c r="L3324" s="62" t="s">
        <v>3</v>
      </c>
      <c r="M3324" s="62">
        <v>128.86</v>
      </c>
      <c r="N3324" s="62">
        <v>25.772</v>
      </c>
    </row>
    <row r="3325" spans="9:14">
      <c r="I3325" s="62">
        <v>2024</v>
      </c>
      <c r="J3325" s="62">
        <v>5</v>
      </c>
      <c r="K3325" s="62" t="s">
        <v>21</v>
      </c>
      <c r="L3325" s="62" t="s">
        <v>3</v>
      </c>
      <c r="M3325" s="62">
        <v>83.901</v>
      </c>
      <c r="N3325" s="62">
        <v>16.7802</v>
      </c>
    </row>
    <row r="3326" spans="9:14">
      <c r="I3326" s="62">
        <v>2024</v>
      </c>
      <c r="J3326" s="62">
        <v>6</v>
      </c>
      <c r="K3326" s="62" t="s">
        <v>21</v>
      </c>
      <c r="L3326" s="62" t="s">
        <v>3</v>
      </c>
      <c r="M3326" s="62">
        <v>75.86</v>
      </c>
      <c r="N3326" s="62">
        <v>15.172</v>
      </c>
    </row>
    <row r="3327" spans="9:14">
      <c r="I3327" s="62">
        <v>2024</v>
      </c>
      <c r="J3327" s="62">
        <v>7</v>
      </c>
      <c r="K3327" s="62" t="s">
        <v>21</v>
      </c>
      <c r="L3327" s="62" t="s">
        <v>3</v>
      </c>
      <c r="M3327" s="62">
        <v>65.465</v>
      </c>
      <c r="N3327" s="62">
        <v>13.093</v>
      </c>
    </row>
    <row r="3328" spans="9:14">
      <c r="I3328" s="62">
        <v>2024</v>
      </c>
      <c r="J3328" s="62">
        <v>8</v>
      </c>
      <c r="K3328" s="62" t="s">
        <v>21</v>
      </c>
      <c r="L3328" s="62" t="s">
        <v>3</v>
      </c>
      <c r="M3328" s="62">
        <v>40.3152</v>
      </c>
      <c r="N3328" s="62">
        <v>8.063040000000001</v>
      </c>
    </row>
    <row r="3329" spans="9:14">
      <c r="I3329" s="62">
        <v>2024</v>
      </c>
      <c r="J3329" s="62">
        <v>9</v>
      </c>
      <c r="K3329" s="62" t="s">
        <v>21</v>
      </c>
      <c r="L3329" s="62" t="s">
        <v>3</v>
      </c>
      <c r="M3329" s="62">
        <v>120.545</v>
      </c>
      <c r="N3329" s="62">
        <v>24.109</v>
      </c>
    </row>
    <row r="3330" spans="9:14">
      <c r="I3330" s="62">
        <v>2024</v>
      </c>
      <c r="J3330" s="62">
        <v>10</v>
      </c>
      <c r="K3330" s="62" t="s">
        <v>21</v>
      </c>
      <c r="L3330" s="62" t="s">
        <v>3</v>
      </c>
      <c r="M3330" s="62">
        <v>260.591</v>
      </c>
      <c r="N3330" s="62">
        <v>52.1182</v>
      </c>
    </row>
    <row r="3331" spans="9:14">
      <c r="I3331" s="62">
        <v>2024</v>
      </c>
      <c r="J3331" s="62">
        <v>11</v>
      </c>
      <c r="K3331" s="62" t="s">
        <v>21</v>
      </c>
      <c r="L3331" s="62" t="s">
        <v>3</v>
      </c>
      <c r="M3331" s="62">
        <v>167.662</v>
      </c>
      <c r="N3331" s="62">
        <v>33.5324</v>
      </c>
    </row>
    <row r="3332" spans="9:14">
      <c r="I3332" s="62">
        <v>2024</v>
      </c>
      <c r="J3332" s="62">
        <v>12</v>
      </c>
      <c r="K3332" s="62" t="s">
        <v>21</v>
      </c>
      <c r="L3332" s="62" t="s">
        <v>3</v>
      </c>
      <c r="M3332" s="62">
        <v>111.1854</v>
      </c>
      <c r="N3332" s="62">
        <v>22.23708</v>
      </c>
    </row>
    <row r="3333" spans="9:14">
      <c r="I3333" s="62">
        <v>2025</v>
      </c>
      <c r="J3333" s="62">
        <v>1</v>
      </c>
      <c r="K3333" s="62" t="s">
        <v>21</v>
      </c>
      <c r="L3333" s="62" t="s">
        <v>3</v>
      </c>
      <c r="M3333" s="62">
        <v>166.4218</v>
      </c>
      <c r="N3333" s="62">
        <v>33.28436</v>
      </c>
    </row>
    <row r="3334" spans="9:14">
      <c r="I3334" s="62">
        <v>2025</v>
      </c>
      <c r="J3334" s="62">
        <v>2</v>
      </c>
      <c r="K3334" s="62" t="s">
        <v>21</v>
      </c>
      <c r="L3334" s="62" t="s">
        <v>3</v>
      </c>
      <c r="M3334" s="62">
        <v>169.9544</v>
      </c>
      <c r="N3334" s="62">
        <v>33.99088</v>
      </c>
    </row>
    <row r="3335" spans="9:14">
      <c r="I3335" s="62">
        <v>2025</v>
      </c>
      <c r="J3335" s="62">
        <v>3</v>
      </c>
      <c r="K3335" s="62" t="s">
        <v>21</v>
      </c>
      <c r="L3335" s="62" t="s">
        <v>3</v>
      </c>
      <c r="M3335" s="62">
        <v>88.89</v>
      </c>
      <c r="N3335" s="62">
        <v>17.778</v>
      </c>
    </row>
    <row r="3336" spans="9:14">
      <c r="I3336" s="62">
        <v>2025</v>
      </c>
      <c r="J3336" s="62">
        <v>4</v>
      </c>
      <c r="K3336" s="62" t="s">
        <v>21</v>
      </c>
      <c r="L3336" s="62" t="s">
        <v>3</v>
      </c>
      <c r="M3336" s="62">
        <v>170.47</v>
      </c>
      <c r="N3336" s="62">
        <v>34.094</v>
      </c>
    </row>
    <row r="3337" spans="9:14">
      <c r="I3337" s="62">
        <v>2025</v>
      </c>
      <c r="J3337" s="62">
        <v>5</v>
      </c>
      <c r="K3337" s="62" t="s">
        <v>21</v>
      </c>
      <c r="L3337" s="62" t="s">
        <v>3</v>
      </c>
      <c r="M3337" s="62">
        <v>165.0246</v>
      </c>
      <c r="N3337" s="62">
        <v>33.00492</v>
      </c>
    </row>
    <row r="3338" spans="9:14">
      <c r="I3338" s="62">
        <v>2025</v>
      </c>
      <c r="J3338" s="62">
        <v>6</v>
      </c>
      <c r="K3338" s="62" t="s">
        <v>21</v>
      </c>
      <c r="L3338" s="62" t="s">
        <v>3</v>
      </c>
      <c r="M3338" s="62">
        <v>128.395</v>
      </c>
      <c r="N3338" s="62">
        <v>25.679</v>
      </c>
    </row>
    <row r="3339" spans="9:14">
      <c r="I3339" s="62">
        <v>2025</v>
      </c>
      <c r="J3339" s="62">
        <v>7</v>
      </c>
      <c r="K3339" s="62" t="s">
        <v>21</v>
      </c>
      <c r="L3339" s="62" t="s">
        <v>3</v>
      </c>
      <c r="M3339" s="62">
        <v>76.8938</v>
      </c>
      <c r="N3339" s="62">
        <v>15.37876</v>
      </c>
    </row>
    <row r="3340" spans="9:14">
      <c r="I3340" s="62">
        <v>2025</v>
      </c>
      <c r="J3340" s="62">
        <v>8</v>
      </c>
      <c r="K3340" s="62" t="s">
        <v>21</v>
      </c>
      <c r="L3340" s="62" t="s">
        <v>3</v>
      </c>
      <c r="M3340" s="62">
        <v>75.31999999999999</v>
      </c>
      <c r="N3340" s="62">
        <v>15.064</v>
      </c>
    </row>
    <row r="3341" spans="9:14">
      <c r="I3341" s="62">
        <v>2025</v>
      </c>
      <c r="J3341" s="62">
        <v>9</v>
      </c>
      <c r="K3341" s="62" t="s">
        <v>21</v>
      </c>
      <c r="L3341" s="62" t="s">
        <v>3</v>
      </c>
      <c r="M3341" s="62">
        <v>93.79000000000001</v>
      </c>
      <c r="N3341" s="62">
        <v>18.758</v>
      </c>
    </row>
    <row r="3342" spans="9:14">
      <c r="I3342" s="62">
        <v>2025</v>
      </c>
      <c r="J3342" s="62">
        <v>10</v>
      </c>
      <c r="K3342" s="62" t="s">
        <v>21</v>
      </c>
      <c r="L3342" s="62" t="s">
        <v>3</v>
      </c>
      <c r="M3342" s="62">
        <v>155.453</v>
      </c>
      <c r="N3342" s="62">
        <v>31.0906</v>
      </c>
    </row>
    <row r="3343" spans="9:14">
      <c r="I3343" s="62">
        <v>2025</v>
      </c>
      <c r="J3343" s="62">
        <v>11</v>
      </c>
      <c r="K3343" s="62" t="s">
        <v>21</v>
      </c>
      <c r="L3343" s="62" t="s">
        <v>3</v>
      </c>
      <c r="M3343" s="62">
        <v>71.88499999999999</v>
      </c>
      <c r="N3343" s="62">
        <v>14.377</v>
      </c>
    </row>
    <row r="3344" spans="9:14">
      <c r="I3344" s="62">
        <v>2025</v>
      </c>
      <c r="J3344" s="62">
        <v>12</v>
      </c>
      <c r="K3344" s="62" t="s">
        <v>21</v>
      </c>
      <c r="L3344" s="62" t="s">
        <v>3</v>
      </c>
      <c r="M3344" s="62">
        <v>57.48</v>
      </c>
      <c r="N3344" s="62">
        <v>11.496</v>
      </c>
    </row>
    <row r="3345" spans="9:14">
      <c r="I3345" s="62">
        <v>2026</v>
      </c>
      <c r="J3345" s="62">
        <v>1</v>
      </c>
      <c r="K3345" s="62" t="s">
        <v>21</v>
      </c>
      <c r="L3345" s="62" t="s">
        <v>3</v>
      </c>
      <c r="M3345" s="62">
        <v>6.488</v>
      </c>
      <c r="N3345" s="62">
        <v>1.2976</v>
      </c>
    </row>
    <row r="3346" spans="9:14">
      <c r="I3346" s="62">
        <v>2026</v>
      </c>
      <c r="J3346" s="62">
        <v>2</v>
      </c>
      <c r="K3346" s="62" t="s">
        <v>21</v>
      </c>
      <c r="L3346" s="62" t="s">
        <v>3</v>
      </c>
      <c r="M3346" s="62">
        <v>23.935</v>
      </c>
      <c r="N3346" s="62">
        <v>4.787000000000001</v>
      </c>
    </row>
    <row r="3347" spans="9:14">
      <c r="I3347" s="62">
        <v>2026</v>
      </c>
      <c r="J3347" s="62">
        <v>3</v>
      </c>
      <c r="K3347" s="62" t="s">
        <v>21</v>
      </c>
      <c r="L3347" s="62" t="s">
        <v>3</v>
      </c>
      <c r="M3347" s="62">
        <v>74</v>
      </c>
      <c r="N3347" s="62">
        <v>14.8</v>
      </c>
    </row>
    <row r="3348" spans="9:14">
      <c r="I3348" s="62">
        <v>2026</v>
      </c>
      <c r="J3348" s="62">
        <v>4</v>
      </c>
      <c r="K3348" s="62" t="s">
        <v>21</v>
      </c>
      <c r="L3348" s="62" t="s">
        <v>3</v>
      </c>
      <c r="M3348" s="62">
        <v>165.046</v>
      </c>
      <c r="N3348" s="62">
        <v>33.0092</v>
      </c>
    </row>
    <row r="3349" spans="9:14">
      <c r="I3349" s="62">
        <v>2026</v>
      </c>
      <c r="J3349" s="62">
        <v>5</v>
      </c>
      <c r="K3349" s="62" t="s">
        <v>21</v>
      </c>
      <c r="L3349" s="62" t="s">
        <v>3</v>
      </c>
      <c r="M3349" s="62">
        <v>51.718</v>
      </c>
      <c r="N3349" s="62">
        <v>10.3436</v>
      </c>
    </row>
    <row r="3350" spans="9:14">
      <c r="I3350" s="62">
        <v>2026</v>
      </c>
      <c r="J3350" s="62">
        <v>6</v>
      </c>
      <c r="K3350" s="62" t="s">
        <v>21</v>
      </c>
      <c r="L3350" s="62" t="s">
        <v>3</v>
      </c>
      <c r="M3350" s="62">
        <v>33.33</v>
      </c>
      <c r="N3350" s="62">
        <v>6.666</v>
      </c>
    </row>
    <row r="3351" spans="9:14">
      <c r="I3351" s="62">
        <v>2014</v>
      </c>
      <c r="J3351" s="62">
        <v>1</v>
      </c>
      <c r="K3351" s="62" t="s">
        <v>22</v>
      </c>
      <c r="L3351" s="62" t="s">
        <v>1</v>
      </c>
      <c r="M3351" s="62">
        <v>224.359</v>
      </c>
      <c r="N3351" s="62">
        <v>11.21795</v>
      </c>
    </row>
    <row r="3352" spans="9:14">
      <c r="I3352" s="62">
        <v>2014</v>
      </c>
      <c r="J3352" s="62">
        <v>2</v>
      </c>
      <c r="K3352" s="62" t="s">
        <v>22</v>
      </c>
      <c r="L3352" s="62" t="s">
        <v>1</v>
      </c>
      <c r="M3352" s="62">
        <v>349.263</v>
      </c>
      <c r="N3352" s="62">
        <v>17.46315</v>
      </c>
    </row>
    <row r="3353" spans="9:14">
      <c r="I3353" s="62">
        <v>2014</v>
      </c>
      <c r="J3353" s="62">
        <v>3</v>
      </c>
      <c r="K3353" s="62" t="s">
        <v>22</v>
      </c>
      <c r="L3353" s="62" t="s">
        <v>1</v>
      </c>
      <c r="M3353" s="62">
        <v>145.2</v>
      </c>
      <c r="N3353" s="62">
        <v>7.260000000000001</v>
      </c>
    </row>
    <row r="3354" spans="9:14">
      <c r="I3354" s="62">
        <v>2014</v>
      </c>
      <c r="J3354" s="62">
        <v>4</v>
      </c>
      <c r="K3354" s="62" t="s">
        <v>22</v>
      </c>
      <c r="L3354" s="62" t="s">
        <v>1</v>
      </c>
      <c r="M3354" s="62">
        <v>86.33240000000001</v>
      </c>
      <c r="N3354" s="62">
        <v>4.31662</v>
      </c>
    </row>
    <row r="3355" spans="9:14">
      <c r="I3355" s="62">
        <v>2014</v>
      </c>
      <c r="J3355" s="62">
        <v>5</v>
      </c>
      <c r="K3355" s="62" t="s">
        <v>22</v>
      </c>
      <c r="L3355" s="62" t="s">
        <v>1</v>
      </c>
      <c r="M3355" s="62">
        <v>141.3768</v>
      </c>
      <c r="N3355" s="62">
        <v>7.06884</v>
      </c>
    </row>
    <row r="3356" spans="9:14">
      <c r="I3356" s="62">
        <v>2014</v>
      </c>
      <c r="J3356" s="62">
        <v>6</v>
      </c>
      <c r="K3356" s="62" t="s">
        <v>22</v>
      </c>
      <c r="L3356" s="62" t="s">
        <v>1</v>
      </c>
      <c r="M3356" s="62">
        <v>80.17100000000001</v>
      </c>
      <c r="N3356" s="62">
        <v>4.008550000000001</v>
      </c>
    </row>
    <row r="3357" spans="9:14">
      <c r="I3357" s="62">
        <v>2014</v>
      </c>
      <c r="J3357" s="62">
        <v>7</v>
      </c>
      <c r="K3357" s="62" t="s">
        <v>22</v>
      </c>
      <c r="L3357" s="62" t="s">
        <v>1</v>
      </c>
      <c r="M3357" s="62">
        <v>93.3</v>
      </c>
      <c r="N3357" s="62">
        <v>4.665</v>
      </c>
    </row>
    <row r="3358" spans="9:14">
      <c r="I3358" s="62">
        <v>2014</v>
      </c>
      <c r="J3358" s="62">
        <v>8</v>
      </c>
      <c r="K3358" s="62" t="s">
        <v>22</v>
      </c>
      <c r="L3358" s="62" t="s">
        <v>1</v>
      </c>
      <c r="M3358" s="62">
        <v>60.285</v>
      </c>
      <c r="N3358" s="62">
        <v>3.01425</v>
      </c>
    </row>
    <row r="3359" spans="9:14">
      <c r="I3359" s="62">
        <v>2014</v>
      </c>
      <c r="J3359" s="62">
        <v>9</v>
      </c>
      <c r="K3359" s="62" t="s">
        <v>22</v>
      </c>
      <c r="L3359" s="62" t="s">
        <v>1</v>
      </c>
      <c r="M3359" s="62">
        <v>71.15000000000001</v>
      </c>
      <c r="N3359" s="62">
        <v>3.5575</v>
      </c>
    </row>
    <row r="3360" spans="9:14">
      <c r="I3360" s="62">
        <v>2014</v>
      </c>
      <c r="J3360" s="62">
        <v>10</v>
      </c>
      <c r="K3360" s="62" t="s">
        <v>22</v>
      </c>
      <c r="L3360" s="62" t="s">
        <v>1</v>
      </c>
      <c r="M3360" s="62">
        <v>283.028</v>
      </c>
      <c r="N3360" s="62">
        <v>14.1514</v>
      </c>
    </row>
    <row r="3361" spans="9:14">
      <c r="I3361" s="62">
        <v>2014</v>
      </c>
      <c r="J3361" s="62">
        <v>11</v>
      </c>
      <c r="K3361" s="62" t="s">
        <v>22</v>
      </c>
      <c r="L3361" s="62" t="s">
        <v>1</v>
      </c>
      <c r="M3361" s="62">
        <v>191.14</v>
      </c>
      <c r="N3361" s="62">
        <v>9.557</v>
      </c>
    </row>
    <row r="3362" spans="9:14">
      <c r="I3362" s="62">
        <v>2014</v>
      </c>
      <c r="J3362" s="62">
        <v>12</v>
      </c>
      <c r="K3362" s="62" t="s">
        <v>22</v>
      </c>
      <c r="L3362" s="62" t="s">
        <v>1</v>
      </c>
      <c r="M3362" s="62">
        <v>65.11</v>
      </c>
      <c r="N3362" s="62">
        <v>3.255500000000001</v>
      </c>
    </row>
    <row r="3363" spans="9:14">
      <c r="I3363" s="62">
        <v>2015</v>
      </c>
      <c r="J3363" s="62">
        <v>1</v>
      </c>
      <c r="K3363" s="62" t="s">
        <v>22</v>
      </c>
      <c r="L3363" s="62" t="s">
        <v>1</v>
      </c>
      <c r="M3363" s="62">
        <v>91.29000000000001</v>
      </c>
      <c r="N3363" s="62">
        <v>4.5645</v>
      </c>
    </row>
    <row r="3364" spans="9:14">
      <c r="I3364" s="62">
        <v>2015</v>
      </c>
      <c r="J3364" s="62">
        <v>2</v>
      </c>
      <c r="K3364" s="62" t="s">
        <v>22</v>
      </c>
      <c r="L3364" s="62" t="s">
        <v>1</v>
      </c>
      <c r="M3364" s="62">
        <v>114.33</v>
      </c>
      <c r="N3364" s="62">
        <v>5.7165</v>
      </c>
    </row>
    <row r="3365" spans="9:14">
      <c r="I3365" s="62">
        <v>2015</v>
      </c>
      <c r="J3365" s="62">
        <v>3</v>
      </c>
      <c r="K3365" s="62" t="s">
        <v>22</v>
      </c>
      <c r="L3365" s="62" t="s">
        <v>1</v>
      </c>
      <c r="M3365" s="62">
        <v>128.57</v>
      </c>
      <c r="N3365" s="62">
        <v>6.428500000000001</v>
      </c>
    </row>
    <row r="3366" spans="9:14">
      <c r="I3366" s="62">
        <v>2015</v>
      </c>
      <c r="J3366" s="62">
        <v>4</v>
      </c>
      <c r="K3366" s="62" t="s">
        <v>22</v>
      </c>
      <c r="L3366" s="62" t="s">
        <v>1</v>
      </c>
      <c r="M3366" s="62">
        <v>225.38</v>
      </c>
      <c r="N3366" s="62">
        <v>11.269</v>
      </c>
    </row>
    <row r="3367" spans="9:14">
      <c r="I3367" s="62">
        <v>2015</v>
      </c>
      <c r="J3367" s="62">
        <v>5</v>
      </c>
      <c r="K3367" s="62" t="s">
        <v>22</v>
      </c>
      <c r="L3367" s="62" t="s">
        <v>1</v>
      </c>
      <c r="M3367" s="62">
        <v>234.485</v>
      </c>
      <c r="N3367" s="62">
        <v>11.72425</v>
      </c>
    </row>
    <row r="3368" spans="9:14">
      <c r="I3368" s="62">
        <v>2015</v>
      </c>
      <c r="J3368" s="62">
        <v>6</v>
      </c>
      <c r="K3368" s="62" t="s">
        <v>22</v>
      </c>
      <c r="L3368" s="62" t="s">
        <v>1</v>
      </c>
      <c r="M3368" s="62">
        <v>204.14</v>
      </c>
      <c r="N3368" s="62">
        <v>10.207</v>
      </c>
    </row>
    <row r="3369" spans="9:14">
      <c r="I3369" s="62">
        <v>2015</v>
      </c>
      <c r="J3369" s="62">
        <v>7</v>
      </c>
      <c r="K3369" s="62" t="s">
        <v>22</v>
      </c>
      <c r="L3369" s="62" t="s">
        <v>1</v>
      </c>
      <c r="M3369" s="62">
        <v>180.17</v>
      </c>
      <c r="N3369" s="62">
        <v>9.008500000000002</v>
      </c>
    </row>
    <row r="3370" spans="9:14">
      <c r="I3370" s="62">
        <v>2015</v>
      </c>
      <c r="J3370" s="62">
        <v>8</v>
      </c>
      <c r="K3370" s="62" t="s">
        <v>22</v>
      </c>
      <c r="L3370" s="62" t="s">
        <v>1</v>
      </c>
      <c r="M3370" s="62">
        <v>134.33</v>
      </c>
      <c r="N3370" s="62">
        <v>6.7165</v>
      </c>
    </row>
    <row r="3371" spans="9:14">
      <c r="I3371" s="62">
        <v>2015</v>
      </c>
      <c r="J3371" s="62">
        <v>9</v>
      </c>
      <c r="K3371" s="62" t="s">
        <v>22</v>
      </c>
      <c r="L3371" s="62" t="s">
        <v>1</v>
      </c>
      <c r="M3371" s="62">
        <v>217.4266</v>
      </c>
      <c r="N3371" s="62">
        <v>10.87133</v>
      </c>
    </row>
    <row r="3372" spans="9:14">
      <c r="I3372" s="62">
        <v>2015</v>
      </c>
      <c r="J3372" s="62">
        <v>10</v>
      </c>
      <c r="K3372" s="62" t="s">
        <v>22</v>
      </c>
      <c r="L3372" s="62" t="s">
        <v>1</v>
      </c>
      <c r="M3372" s="62">
        <v>188.49</v>
      </c>
      <c r="N3372" s="62">
        <v>9.4245</v>
      </c>
    </row>
    <row r="3373" spans="9:14">
      <c r="I3373" s="62">
        <v>2015</v>
      </c>
      <c r="J3373" s="62">
        <v>11</v>
      </c>
      <c r="K3373" s="62" t="s">
        <v>22</v>
      </c>
      <c r="L3373" s="62" t="s">
        <v>1</v>
      </c>
      <c r="M3373" s="62">
        <v>114.445</v>
      </c>
      <c r="N3373" s="62">
        <v>5.72225</v>
      </c>
    </row>
    <row r="3374" spans="9:14">
      <c r="I3374" s="62">
        <v>2015</v>
      </c>
      <c r="J3374" s="62">
        <v>12</v>
      </c>
      <c r="K3374" s="62" t="s">
        <v>22</v>
      </c>
      <c r="L3374" s="62" t="s">
        <v>1</v>
      </c>
      <c r="M3374" s="62">
        <v>49.18</v>
      </c>
      <c r="N3374" s="62">
        <v>2.459</v>
      </c>
    </row>
    <row r="3375" spans="9:14">
      <c r="I3375" s="62">
        <v>2016</v>
      </c>
      <c r="J3375" s="62">
        <v>1</v>
      </c>
      <c r="K3375" s="62" t="s">
        <v>22</v>
      </c>
      <c r="L3375" s="62" t="s">
        <v>1</v>
      </c>
      <c r="M3375" s="62">
        <v>199.644</v>
      </c>
      <c r="N3375" s="62">
        <v>9.982200000000001</v>
      </c>
    </row>
    <row r="3376" spans="9:14">
      <c r="I3376" s="62">
        <v>2016</v>
      </c>
      <c r="J3376" s="62">
        <v>2</v>
      </c>
      <c r="K3376" s="62" t="s">
        <v>22</v>
      </c>
      <c r="L3376" s="62" t="s">
        <v>1</v>
      </c>
      <c r="M3376" s="62">
        <v>162.79</v>
      </c>
      <c r="N3376" s="62">
        <v>8.1395</v>
      </c>
    </row>
    <row r="3377" spans="9:14">
      <c r="I3377" s="62">
        <v>2016</v>
      </c>
      <c r="J3377" s="62">
        <v>3</v>
      </c>
      <c r="K3377" s="62" t="s">
        <v>22</v>
      </c>
      <c r="L3377" s="62" t="s">
        <v>1</v>
      </c>
      <c r="M3377" s="62">
        <v>125.57</v>
      </c>
      <c r="N3377" s="62">
        <v>6.2785</v>
      </c>
    </row>
    <row r="3378" spans="9:14">
      <c r="I3378" s="62">
        <v>2016</v>
      </c>
      <c r="J3378" s="62">
        <v>4</v>
      </c>
      <c r="K3378" s="62" t="s">
        <v>22</v>
      </c>
      <c r="L3378" s="62" t="s">
        <v>1</v>
      </c>
      <c r="M3378" s="62">
        <v>69.33499999999999</v>
      </c>
      <c r="N3378" s="62">
        <v>3.46675</v>
      </c>
    </row>
    <row r="3379" spans="9:14">
      <c r="I3379" s="62">
        <v>2016</v>
      </c>
      <c r="J3379" s="62">
        <v>5</v>
      </c>
      <c r="K3379" s="62" t="s">
        <v>22</v>
      </c>
      <c r="L3379" s="62" t="s">
        <v>1</v>
      </c>
      <c r="M3379" s="62">
        <v>100.895</v>
      </c>
      <c r="N3379" s="62">
        <v>5.044750000000001</v>
      </c>
    </row>
    <row r="3380" spans="9:14">
      <c r="I3380" s="62">
        <v>2016</v>
      </c>
      <c r="J3380" s="62">
        <v>6</v>
      </c>
      <c r="K3380" s="62" t="s">
        <v>22</v>
      </c>
      <c r="L3380" s="62" t="s">
        <v>1</v>
      </c>
      <c r="M3380" s="62">
        <v>47.7</v>
      </c>
      <c r="N3380" s="62">
        <v>2.385</v>
      </c>
    </row>
    <row r="3381" spans="9:14">
      <c r="I3381" s="62">
        <v>2016</v>
      </c>
      <c r="J3381" s="62">
        <v>7</v>
      </c>
      <c r="K3381" s="62" t="s">
        <v>22</v>
      </c>
      <c r="L3381" s="62" t="s">
        <v>1</v>
      </c>
      <c r="M3381" s="62">
        <v>58.485</v>
      </c>
      <c r="N3381" s="62">
        <v>2.92425</v>
      </c>
    </row>
    <row r="3382" spans="9:14">
      <c r="I3382" s="62">
        <v>2016</v>
      </c>
      <c r="J3382" s="62">
        <v>8</v>
      </c>
      <c r="K3382" s="62" t="s">
        <v>22</v>
      </c>
      <c r="L3382" s="62" t="s">
        <v>1</v>
      </c>
      <c r="M3382" s="62">
        <v>59.86</v>
      </c>
      <c r="N3382" s="62">
        <v>2.993</v>
      </c>
    </row>
    <row r="3383" spans="9:14">
      <c r="I3383" s="62">
        <v>2016</v>
      </c>
      <c r="J3383" s="62">
        <v>9</v>
      </c>
      <c r="K3383" s="62" t="s">
        <v>22</v>
      </c>
      <c r="L3383" s="62" t="s">
        <v>1</v>
      </c>
      <c r="M3383" s="62">
        <v>206.94</v>
      </c>
      <c r="N3383" s="62">
        <v>10.347</v>
      </c>
    </row>
    <row r="3384" spans="9:14">
      <c r="I3384" s="62">
        <v>2016</v>
      </c>
      <c r="J3384" s="62">
        <v>10</v>
      </c>
      <c r="K3384" s="62" t="s">
        <v>22</v>
      </c>
      <c r="L3384" s="62" t="s">
        <v>1</v>
      </c>
      <c r="M3384" s="62">
        <v>284.37</v>
      </c>
      <c r="N3384" s="62">
        <v>14.2185</v>
      </c>
    </row>
    <row r="3385" spans="9:14">
      <c r="I3385" s="62">
        <v>2016</v>
      </c>
      <c r="J3385" s="62">
        <v>11</v>
      </c>
      <c r="K3385" s="62" t="s">
        <v>22</v>
      </c>
      <c r="L3385" s="62" t="s">
        <v>1</v>
      </c>
      <c r="M3385" s="62">
        <v>173.365</v>
      </c>
      <c r="N3385" s="62">
        <v>8.66825</v>
      </c>
    </row>
    <row r="3386" spans="9:14">
      <c r="I3386" s="62">
        <v>2016</v>
      </c>
      <c r="J3386" s="62">
        <v>12</v>
      </c>
      <c r="K3386" s="62" t="s">
        <v>22</v>
      </c>
      <c r="L3386" s="62" t="s">
        <v>1</v>
      </c>
      <c r="M3386" s="62">
        <v>121.605</v>
      </c>
      <c r="N3386" s="62">
        <v>6.08025</v>
      </c>
    </row>
    <row r="3387" spans="9:14">
      <c r="I3387" s="62">
        <v>2017</v>
      </c>
      <c r="J3387" s="62">
        <v>1</v>
      </c>
      <c r="K3387" s="62" t="s">
        <v>22</v>
      </c>
      <c r="L3387" s="62" t="s">
        <v>1</v>
      </c>
      <c r="M3387" s="62">
        <v>224.885</v>
      </c>
      <c r="N3387" s="62">
        <v>11.24425</v>
      </c>
    </row>
    <row r="3388" spans="9:14">
      <c r="I3388" s="62">
        <v>2017</v>
      </c>
      <c r="J3388" s="62">
        <v>2</v>
      </c>
      <c r="K3388" s="62" t="s">
        <v>22</v>
      </c>
      <c r="L3388" s="62" t="s">
        <v>1</v>
      </c>
      <c r="M3388" s="62">
        <v>222.37</v>
      </c>
      <c r="N3388" s="62">
        <v>11.1185</v>
      </c>
    </row>
    <row r="3389" spans="9:14">
      <c r="I3389" s="62">
        <v>2017</v>
      </c>
      <c r="J3389" s="62">
        <v>3</v>
      </c>
      <c r="K3389" s="62" t="s">
        <v>22</v>
      </c>
      <c r="L3389" s="62" t="s">
        <v>1</v>
      </c>
      <c r="M3389" s="62">
        <v>185.678</v>
      </c>
      <c r="N3389" s="62">
        <v>9.283900000000001</v>
      </c>
    </row>
    <row r="3390" spans="9:14">
      <c r="I3390" s="62">
        <v>2017</v>
      </c>
      <c r="J3390" s="62">
        <v>4</v>
      </c>
      <c r="K3390" s="62" t="s">
        <v>22</v>
      </c>
      <c r="L3390" s="62" t="s">
        <v>1</v>
      </c>
      <c r="M3390" s="62">
        <v>300.545</v>
      </c>
      <c r="N3390" s="62">
        <v>15.02725</v>
      </c>
    </row>
    <row r="3391" spans="9:14">
      <c r="I3391" s="62">
        <v>2017</v>
      </c>
      <c r="J3391" s="62">
        <v>5</v>
      </c>
      <c r="K3391" s="62" t="s">
        <v>22</v>
      </c>
      <c r="L3391" s="62" t="s">
        <v>1</v>
      </c>
      <c r="M3391" s="62">
        <v>172.866</v>
      </c>
      <c r="N3391" s="62">
        <v>8.6433</v>
      </c>
    </row>
    <row r="3392" spans="9:14">
      <c r="I3392" s="62">
        <v>2017</v>
      </c>
      <c r="J3392" s="62">
        <v>6</v>
      </c>
      <c r="K3392" s="62" t="s">
        <v>22</v>
      </c>
      <c r="L3392" s="62" t="s">
        <v>1</v>
      </c>
      <c r="M3392" s="62">
        <v>85.81999999999999</v>
      </c>
      <c r="N3392" s="62">
        <v>4.291</v>
      </c>
    </row>
    <row r="3393" spans="9:14">
      <c r="I3393" s="62">
        <v>2017</v>
      </c>
      <c r="J3393" s="62">
        <v>7</v>
      </c>
      <c r="K3393" s="62" t="s">
        <v>22</v>
      </c>
      <c r="L3393" s="62" t="s">
        <v>1</v>
      </c>
      <c r="M3393" s="62">
        <v>63.47799999999999</v>
      </c>
      <c r="N3393" s="62">
        <v>3.1739</v>
      </c>
    </row>
    <row r="3394" spans="9:14">
      <c r="I3394" s="62">
        <v>2017</v>
      </c>
      <c r="J3394" s="62">
        <v>8</v>
      </c>
      <c r="K3394" s="62" t="s">
        <v>22</v>
      </c>
      <c r="L3394" s="62" t="s">
        <v>1</v>
      </c>
      <c r="M3394" s="62">
        <v>107.7974</v>
      </c>
      <c r="N3394" s="62">
        <v>5.38987</v>
      </c>
    </row>
    <row r="3395" spans="9:14">
      <c r="I3395" s="62">
        <v>2017</v>
      </c>
      <c r="J3395" s="62">
        <v>9</v>
      </c>
      <c r="K3395" s="62" t="s">
        <v>22</v>
      </c>
      <c r="L3395" s="62" t="s">
        <v>1</v>
      </c>
      <c r="M3395" s="62">
        <v>234.025</v>
      </c>
      <c r="N3395" s="62">
        <v>11.70125</v>
      </c>
    </row>
    <row r="3396" spans="9:14">
      <c r="I3396" s="62">
        <v>2017</v>
      </c>
      <c r="J3396" s="62">
        <v>10</v>
      </c>
      <c r="K3396" s="62" t="s">
        <v>22</v>
      </c>
      <c r="L3396" s="62" t="s">
        <v>1</v>
      </c>
      <c r="M3396" s="62">
        <v>130.876</v>
      </c>
      <c r="N3396" s="62">
        <v>6.5438</v>
      </c>
    </row>
    <row r="3397" spans="9:14">
      <c r="I3397" s="62">
        <v>2017</v>
      </c>
      <c r="J3397" s="62">
        <v>11</v>
      </c>
      <c r="K3397" s="62" t="s">
        <v>22</v>
      </c>
      <c r="L3397" s="62" t="s">
        <v>1</v>
      </c>
      <c r="M3397" s="62">
        <v>14.65</v>
      </c>
      <c r="N3397" s="62">
        <v>0.7325</v>
      </c>
    </row>
    <row r="3398" spans="9:14">
      <c r="I3398" s="62">
        <v>2017</v>
      </c>
      <c r="J3398" s="62">
        <v>12</v>
      </c>
      <c r="K3398" s="62" t="s">
        <v>22</v>
      </c>
      <c r="L3398" s="62" t="s">
        <v>1</v>
      </c>
      <c r="M3398" s="62">
        <v>16.93</v>
      </c>
      <c r="N3398" s="62">
        <v>0.8465</v>
      </c>
    </row>
    <row r="3399" spans="9:14">
      <c r="I3399" s="62">
        <v>2018</v>
      </c>
      <c r="J3399" s="62">
        <v>1</v>
      </c>
      <c r="K3399" s="62" t="s">
        <v>22</v>
      </c>
      <c r="L3399" s="62" t="s">
        <v>1</v>
      </c>
      <c r="M3399" s="62">
        <v>102.4</v>
      </c>
      <c r="N3399" s="62">
        <v>5.12</v>
      </c>
    </row>
    <row r="3400" spans="9:14">
      <c r="I3400" s="62">
        <v>2018</v>
      </c>
      <c r="J3400" s="62">
        <v>2</v>
      </c>
      <c r="K3400" s="62" t="s">
        <v>22</v>
      </c>
      <c r="L3400" s="62" t="s">
        <v>1</v>
      </c>
      <c r="M3400" s="62">
        <v>340.88</v>
      </c>
      <c r="N3400" s="62">
        <v>17.044</v>
      </c>
    </row>
    <row r="3401" spans="9:14">
      <c r="I3401" s="62">
        <v>2018</v>
      </c>
      <c r="J3401" s="62">
        <v>3</v>
      </c>
      <c r="K3401" s="62" t="s">
        <v>22</v>
      </c>
      <c r="L3401" s="62" t="s">
        <v>1</v>
      </c>
      <c r="M3401" s="62">
        <v>210.515</v>
      </c>
      <c r="N3401" s="62">
        <v>10.52575</v>
      </c>
    </row>
    <row r="3402" spans="9:14">
      <c r="I3402" s="62">
        <v>2018</v>
      </c>
      <c r="J3402" s="62">
        <v>4</v>
      </c>
      <c r="K3402" s="62" t="s">
        <v>22</v>
      </c>
      <c r="L3402" s="62" t="s">
        <v>1</v>
      </c>
      <c r="M3402" s="62">
        <v>203.47</v>
      </c>
      <c r="N3402" s="62">
        <v>10.1735</v>
      </c>
    </row>
    <row r="3403" spans="9:14">
      <c r="I3403" s="62">
        <v>2018</v>
      </c>
      <c r="J3403" s="62">
        <v>5</v>
      </c>
      <c r="K3403" s="62" t="s">
        <v>22</v>
      </c>
      <c r="L3403" s="62" t="s">
        <v>1</v>
      </c>
      <c r="M3403" s="62">
        <v>105.375</v>
      </c>
      <c r="N3403" s="62">
        <v>5.26875</v>
      </c>
    </row>
    <row r="3404" spans="9:14">
      <c r="I3404" s="62">
        <v>2018</v>
      </c>
      <c r="J3404" s="62">
        <v>6</v>
      </c>
      <c r="K3404" s="62" t="s">
        <v>22</v>
      </c>
      <c r="L3404" s="62" t="s">
        <v>1</v>
      </c>
      <c r="M3404" s="62">
        <v>72.25</v>
      </c>
      <c r="N3404" s="62">
        <v>3.6125</v>
      </c>
    </row>
    <row r="3405" spans="9:14">
      <c r="I3405" s="62">
        <v>2018</v>
      </c>
      <c r="J3405" s="62">
        <v>7</v>
      </c>
      <c r="K3405" s="62" t="s">
        <v>22</v>
      </c>
      <c r="L3405" s="62" t="s">
        <v>1</v>
      </c>
      <c r="M3405" s="62">
        <v>84.86499999999999</v>
      </c>
      <c r="N3405" s="62">
        <v>4.24325</v>
      </c>
    </row>
    <row r="3406" spans="9:14">
      <c r="I3406" s="62">
        <v>2018</v>
      </c>
      <c r="J3406" s="62">
        <v>8</v>
      </c>
      <c r="K3406" s="62" t="s">
        <v>22</v>
      </c>
      <c r="L3406" s="62" t="s">
        <v>1</v>
      </c>
      <c r="M3406" s="62">
        <v>68.56</v>
      </c>
      <c r="N3406" s="62">
        <v>3.428</v>
      </c>
    </row>
    <row r="3407" spans="9:14">
      <c r="I3407" s="62">
        <v>2018</v>
      </c>
      <c r="J3407" s="62">
        <v>9</v>
      </c>
      <c r="K3407" s="62" t="s">
        <v>22</v>
      </c>
      <c r="L3407" s="62" t="s">
        <v>1</v>
      </c>
      <c r="M3407" s="62">
        <v>22.74</v>
      </c>
      <c r="N3407" s="62">
        <v>1.137</v>
      </c>
    </row>
    <row r="3408" spans="9:14">
      <c r="I3408" s="62">
        <v>2018</v>
      </c>
      <c r="J3408" s="62">
        <v>10</v>
      </c>
      <c r="K3408" s="62" t="s">
        <v>22</v>
      </c>
      <c r="L3408" s="62" t="s">
        <v>1</v>
      </c>
      <c r="M3408" s="62">
        <v>246.515</v>
      </c>
      <c r="N3408" s="62">
        <v>12.32575</v>
      </c>
    </row>
    <row r="3409" spans="9:14">
      <c r="I3409" s="62">
        <v>2018</v>
      </c>
      <c r="J3409" s="62">
        <v>11</v>
      </c>
      <c r="K3409" s="62" t="s">
        <v>22</v>
      </c>
      <c r="L3409" s="62" t="s">
        <v>1</v>
      </c>
      <c r="M3409" s="62">
        <v>208.402</v>
      </c>
      <c r="N3409" s="62">
        <v>10.4201</v>
      </c>
    </row>
    <row r="3410" spans="9:14">
      <c r="I3410" s="62">
        <v>2018</v>
      </c>
      <c r="J3410" s="62">
        <v>12</v>
      </c>
      <c r="K3410" s="62" t="s">
        <v>22</v>
      </c>
      <c r="L3410" s="62" t="s">
        <v>1</v>
      </c>
      <c r="M3410" s="62">
        <v>75.815</v>
      </c>
      <c r="N3410" s="62">
        <v>3.79075</v>
      </c>
    </row>
    <row r="3411" spans="9:14">
      <c r="I3411" s="62">
        <v>2019</v>
      </c>
      <c r="J3411" s="62">
        <v>1</v>
      </c>
      <c r="K3411" s="62" t="s">
        <v>22</v>
      </c>
      <c r="L3411" s="62" t="s">
        <v>1</v>
      </c>
      <c r="M3411" s="62">
        <v>38.41</v>
      </c>
      <c r="N3411" s="62">
        <v>1.9205</v>
      </c>
    </row>
    <row r="3412" spans="9:14">
      <c r="I3412" s="62">
        <v>2019</v>
      </c>
      <c r="J3412" s="62">
        <v>2</v>
      </c>
      <c r="K3412" s="62" t="s">
        <v>22</v>
      </c>
      <c r="L3412" s="62" t="s">
        <v>1</v>
      </c>
      <c r="M3412" s="62">
        <v>86.676</v>
      </c>
      <c r="N3412" s="62">
        <v>4.3338</v>
      </c>
    </row>
    <row r="3413" spans="9:14">
      <c r="I3413" s="62">
        <v>2019</v>
      </c>
      <c r="J3413" s="62">
        <v>3</v>
      </c>
      <c r="K3413" s="62" t="s">
        <v>22</v>
      </c>
      <c r="L3413" s="62" t="s">
        <v>1</v>
      </c>
      <c r="M3413" s="62">
        <v>82.295</v>
      </c>
      <c r="N3413" s="62">
        <v>4.11475</v>
      </c>
    </row>
    <row r="3414" spans="9:14">
      <c r="I3414" s="62">
        <v>2019</v>
      </c>
      <c r="J3414" s="62">
        <v>4</v>
      </c>
      <c r="K3414" s="62" t="s">
        <v>22</v>
      </c>
      <c r="L3414" s="62" t="s">
        <v>1</v>
      </c>
      <c r="M3414" s="62">
        <v>202.41</v>
      </c>
      <c r="N3414" s="62">
        <v>10.1205</v>
      </c>
    </row>
    <row r="3415" spans="9:14">
      <c r="I3415" s="62">
        <v>2019</v>
      </c>
      <c r="J3415" s="62">
        <v>5</v>
      </c>
      <c r="K3415" s="62" t="s">
        <v>22</v>
      </c>
      <c r="L3415" s="62" t="s">
        <v>1</v>
      </c>
      <c r="M3415" s="62">
        <v>65.214</v>
      </c>
      <c r="N3415" s="62">
        <v>3.2607</v>
      </c>
    </row>
    <row r="3416" spans="9:14">
      <c r="I3416" s="62">
        <v>2019</v>
      </c>
      <c r="J3416" s="62">
        <v>6</v>
      </c>
      <c r="K3416" s="62" t="s">
        <v>22</v>
      </c>
      <c r="L3416" s="62" t="s">
        <v>1</v>
      </c>
      <c r="M3416" s="62">
        <v>203.855</v>
      </c>
      <c r="N3416" s="62">
        <v>10.19275</v>
      </c>
    </row>
    <row r="3417" spans="9:14">
      <c r="I3417" s="62">
        <v>2019</v>
      </c>
      <c r="J3417" s="62">
        <v>7</v>
      </c>
      <c r="K3417" s="62" t="s">
        <v>22</v>
      </c>
      <c r="L3417" s="62" t="s">
        <v>1</v>
      </c>
      <c r="M3417" s="62">
        <v>102.49</v>
      </c>
      <c r="N3417" s="62">
        <v>5.1245</v>
      </c>
    </row>
    <row r="3418" spans="9:14">
      <c r="I3418" s="62">
        <v>2019</v>
      </c>
      <c r="J3418" s="62">
        <v>8</v>
      </c>
      <c r="K3418" s="62" t="s">
        <v>22</v>
      </c>
      <c r="L3418" s="62" t="s">
        <v>1</v>
      </c>
      <c r="M3418" s="62">
        <v>135.15</v>
      </c>
      <c r="N3418" s="62">
        <v>6.7575</v>
      </c>
    </row>
    <row r="3419" spans="9:14">
      <c r="I3419" s="62">
        <v>2019</v>
      </c>
      <c r="J3419" s="62">
        <v>9</v>
      </c>
      <c r="K3419" s="62" t="s">
        <v>22</v>
      </c>
      <c r="L3419" s="62" t="s">
        <v>1</v>
      </c>
      <c r="M3419" s="62">
        <v>317.867</v>
      </c>
      <c r="N3419" s="62">
        <v>15.89335</v>
      </c>
    </row>
    <row r="3420" spans="9:14">
      <c r="I3420" s="62">
        <v>2019</v>
      </c>
      <c r="J3420" s="62">
        <v>10</v>
      </c>
      <c r="K3420" s="62" t="s">
        <v>22</v>
      </c>
      <c r="L3420" s="62" t="s">
        <v>1</v>
      </c>
      <c r="M3420" s="62">
        <v>465.572</v>
      </c>
      <c r="N3420" s="62">
        <v>23.2786</v>
      </c>
    </row>
    <row r="3421" spans="9:14">
      <c r="I3421" s="62">
        <v>2019</v>
      </c>
      <c r="J3421" s="62">
        <v>11</v>
      </c>
      <c r="K3421" s="62" t="s">
        <v>22</v>
      </c>
      <c r="L3421" s="62" t="s">
        <v>1</v>
      </c>
      <c r="M3421" s="62">
        <v>260.63</v>
      </c>
      <c r="N3421" s="62">
        <v>13.0315</v>
      </c>
    </row>
    <row r="3422" spans="9:14">
      <c r="I3422" s="62">
        <v>2019</v>
      </c>
      <c r="J3422" s="62">
        <v>12</v>
      </c>
      <c r="K3422" s="62" t="s">
        <v>22</v>
      </c>
      <c r="L3422" s="62" t="s">
        <v>1</v>
      </c>
      <c r="M3422" s="62">
        <v>70.315</v>
      </c>
      <c r="N3422" s="62">
        <v>3.51575</v>
      </c>
    </row>
    <row r="3423" spans="9:14">
      <c r="I3423" s="62">
        <v>2020</v>
      </c>
      <c r="J3423" s="62">
        <v>1</v>
      </c>
      <c r="K3423" s="62" t="s">
        <v>22</v>
      </c>
      <c r="L3423" s="62" t="s">
        <v>1</v>
      </c>
      <c r="M3423" s="62">
        <v>131.55</v>
      </c>
      <c r="N3423" s="62">
        <v>6.577500000000001</v>
      </c>
    </row>
    <row r="3424" spans="9:14">
      <c r="I3424" s="62">
        <v>2020</v>
      </c>
      <c r="J3424" s="62">
        <v>2</v>
      </c>
      <c r="K3424" s="62" t="s">
        <v>22</v>
      </c>
      <c r="L3424" s="62" t="s">
        <v>1</v>
      </c>
      <c r="M3424" s="62">
        <v>196.24</v>
      </c>
      <c r="N3424" s="62">
        <v>9.812000000000001</v>
      </c>
    </row>
    <row r="3425" spans="9:14">
      <c r="I3425" s="62">
        <v>2020</v>
      </c>
      <c r="J3425" s="62">
        <v>3</v>
      </c>
      <c r="K3425" s="62" t="s">
        <v>22</v>
      </c>
      <c r="L3425" s="62" t="s">
        <v>1</v>
      </c>
      <c r="M3425" s="62">
        <v>286.5323</v>
      </c>
      <c r="N3425" s="62">
        <v>14.326615</v>
      </c>
    </row>
    <row r="3426" spans="9:14">
      <c r="I3426" s="62">
        <v>2020</v>
      </c>
      <c r="J3426" s="62">
        <v>4</v>
      </c>
      <c r="K3426" s="62" t="s">
        <v>22</v>
      </c>
      <c r="L3426" s="62" t="s">
        <v>1</v>
      </c>
      <c r="M3426" s="62">
        <v>592.5118</v>
      </c>
      <c r="N3426" s="62">
        <v>29.62559</v>
      </c>
    </row>
    <row r="3427" spans="9:14">
      <c r="I3427" s="62">
        <v>2020</v>
      </c>
      <c r="J3427" s="62">
        <v>5</v>
      </c>
      <c r="K3427" s="62" t="s">
        <v>22</v>
      </c>
      <c r="L3427" s="62" t="s">
        <v>1</v>
      </c>
      <c r="M3427" s="62">
        <v>675.7665</v>
      </c>
      <c r="N3427" s="62">
        <v>33.788325</v>
      </c>
    </row>
    <row r="3428" spans="9:14">
      <c r="I3428" s="62">
        <v>2020</v>
      </c>
      <c r="J3428" s="62">
        <v>6</v>
      </c>
      <c r="K3428" s="62" t="s">
        <v>22</v>
      </c>
      <c r="L3428" s="62" t="s">
        <v>1</v>
      </c>
      <c r="M3428" s="62">
        <v>658.8501</v>
      </c>
      <c r="N3428" s="62">
        <v>32.942505</v>
      </c>
    </row>
    <row r="3429" spans="9:14">
      <c r="I3429" s="62">
        <v>2020</v>
      </c>
      <c r="J3429" s="62">
        <v>7</v>
      </c>
      <c r="K3429" s="62" t="s">
        <v>22</v>
      </c>
      <c r="L3429" s="62" t="s">
        <v>1</v>
      </c>
      <c r="M3429" s="62">
        <v>665.401</v>
      </c>
      <c r="N3429" s="62">
        <v>33.27005</v>
      </c>
    </row>
    <row r="3430" spans="9:14">
      <c r="I3430" s="62">
        <v>2020</v>
      </c>
      <c r="J3430" s="62">
        <v>8</v>
      </c>
      <c r="K3430" s="62" t="s">
        <v>22</v>
      </c>
      <c r="L3430" s="62" t="s">
        <v>1</v>
      </c>
      <c r="M3430" s="62">
        <v>665.1</v>
      </c>
      <c r="N3430" s="62">
        <v>33.255</v>
      </c>
    </row>
    <row r="3431" spans="9:14">
      <c r="I3431" s="62">
        <v>2020</v>
      </c>
      <c r="J3431" s="62">
        <v>9</v>
      </c>
      <c r="K3431" s="62" t="s">
        <v>22</v>
      </c>
      <c r="L3431" s="62" t="s">
        <v>1</v>
      </c>
      <c r="M3431" s="62">
        <v>707.0573000000001</v>
      </c>
      <c r="N3431" s="62">
        <v>35.352865</v>
      </c>
    </row>
    <row r="3432" spans="9:14">
      <c r="I3432" s="62">
        <v>2020</v>
      </c>
      <c r="J3432" s="62">
        <v>10</v>
      </c>
      <c r="K3432" s="62" t="s">
        <v>22</v>
      </c>
      <c r="L3432" s="62" t="s">
        <v>1</v>
      </c>
      <c r="M3432" s="62">
        <v>651.549</v>
      </c>
      <c r="N3432" s="62">
        <v>32.57745</v>
      </c>
    </row>
    <row r="3433" spans="9:14">
      <c r="I3433" s="62">
        <v>2020</v>
      </c>
      <c r="J3433" s="62">
        <v>11</v>
      </c>
      <c r="K3433" s="62" t="s">
        <v>22</v>
      </c>
      <c r="L3433" s="62" t="s">
        <v>1</v>
      </c>
      <c r="M3433" s="62">
        <v>504.4427</v>
      </c>
      <c r="N3433" s="62">
        <v>25.222135</v>
      </c>
    </row>
    <row r="3434" spans="9:14">
      <c r="I3434" s="62">
        <v>2020</v>
      </c>
      <c r="J3434" s="62">
        <v>12</v>
      </c>
      <c r="K3434" s="62" t="s">
        <v>22</v>
      </c>
      <c r="L3434" s="62" t="s">
        <v>1</v>
      </c>
      <c r="M3434" s="62">
        <v>581.615</v>
      </c>
      <c r="N3434" s="62">
        <v>29.08075</v>
      </c>
    </row>
    <row r="3435" spans="9:14">
      <c r="I3435" s="62">
        <v>2021</v>
      </c>
      <c r="J3435" s="62">
        <v>1</v>
      </c>
      <c r="K3435" s="62" t="s">
        <v>22</v>
      </c>
      <c r="L3435" s="62" t="s">
        <v>1</v>
      </c>
      <c r="M3435" s="62">
        <v>568.425</v>
      </c>
      <c r="N3435" s="62">
        <v>28.42125</v>
      </c>
    </row>
    <row r="3436" spans="9:14">
      <c r="I3436" s="62">
        <v>2021</v>
      </c>
      <c r="J3436" s="62">
        <v>2</v>
      </c>
      <c r="K3436" s="62" t="s">
        <v>22</v>
      </c>
      <c r="L3436" s="62" t="s">
        <v>1</v>
      </c>
      <c r="M3436" s="62">
        <v>806.2275</v>
      </c>
      <c r="N3436" s="62">
        <v>40.31137500000001</v>
      </c>
    </row>
    <row r="3437" spans="9:14">
      <c r="I3437" s="62">
        <v>2021</v>
      </c>
      <c r="J3437" s="62">
        <v>3</v>
      </c>
      <c r="K3437" s="62" t="s">
        <v>22</v>
      </c>
      <c r="L3437" s="62" t="s">
        <v>1</v>
      </c>
      <c r="M3437" s="62">
        <v>599.0007000000001</v>
      </c>
      <c r="N3437" s="62">
        <v>29.950035</v>
      </c>
    </row>
    <row r="3438" spans="9:14">
      <c r="I3438" s="62">
        <v>2021</v>
      </c>
      <c r="J3438" s="62">
        <v>4</v>
      </c>
      <c r="K3438" s="62" t="s">
        <v>22</v>
      </c>
      <c r="L3438" s="62" t="s">
        <v>1</v>
      </c>
      <c r="M3438" s="62">
        <v>269.546</v>
      </c>
      <c r="N3438" s="62">
        <v>13.4773</v>
      </c>
    </row>
    <row r="3439" spans="9:14">
      <c r="I3439" s="62">
        <v>2021</v>
      </c>
      <c r="J3439" s="62">
        <v>5</v>
      </c>
      <c r="K3439" s="62" t="s">
        <v>22</v>
      </c>
      <c r="L3439" s="62" t="s">
        <v>1</v>
      </c>
      <c r="M3439" s="62">
        <v>218.1009</v>
      </c>
      <c r="N3439" s="62">
        <v>10.905045</v>
      </c>
    </row>
    <row r="3440" spans="9:14">
      <c r="I3440" s="62">
        <v>2021</v>
      </c>
      <c r="J3440" s="62">
        <v>6</v>
      </c>
      <c r="K3440" s="62" t="s">
        <v>22</v>
      </c>
      <c r="L3440" s="62" t="s">
        <v>1</v>
      </c>
      <c r="M3440" s="62">
        <v>203.2575</v>
      </c>
      <c r="N3440" s="62">
        <v>10.162875</v>
      </c>
    </row>
    <row r="3441" spans="9:14">
      <c r="I3441" s="62">
        <v>2021</v>
      </c>
      <c r="J3441" s="62">
        <v>7</v>
      </c>
      <c r="K3441" s="62" t="s">
        <v>22</v>
      </c>
      <c r="L3441" s="62" t="s">
        <v>1</v>
      </c>
      <c r="M3441" s="62">
        <v>157.7442</v>
      </c>
      <c r="N3441" s="62">
        <v>7.88721</v>
      </c>
    </row>
    <row r="3442" spans="9:14">
      <c r="I3442" s="62">
        <v>2021</v>
      </c>
      <c r="J3442" s="62">
        <v>8</v>
      </c>
      <c r="K3442" s="62" t="s">
        <v>22</v>
      </c>
      <c r="L3442" s="62" t="s">
        <v>1</v>
      </c>
      <c r="M3442" s="62">
        <v>192.604</v>
      </c>
      <c r="N3442" s="62">
        <v>9.6302</v>
      </c>
    </row>
    <row r="3443" spans="9:14">
      <c r="I3443" s="62">
        <v>2021</v>
      </c>
      <c r="J3443" s="62">
        <v>9</v>
      </c>
      <c r="K3443" s="62" t="s">
        <v>22</v>
      </c>
      <c r="L3443" s="62" t="s">
        <v>1</v>
      </c>
      <c r="M3443" s="62">
        <v>288.98</v>
      </c>
      <c r="N3443" s="62">
        <v>14.449</v>
      </c>
    </row>
    <row r="3444" spans="9:14">
      <c r="I3444" s="62">
        <v>2021</v>
      </c>
      <c r="J3444" s="62">
        <v>10</v>
      </c>
      <c r="K3444" s="62" t="s">
        <v>22</v>
      </c>
      <c r="L3444" s="62" t="s">
        <v>1</v>
      </c>
      <c r="M3444" s="62">
        <v>285</v>
      </c>
      <c r="N3444" s="62">
        <v>14.25</v>
      </c>
    </row>
    <row r="3445" spans="9:14">
      <c r="I3445" s="62">
        <v>2021</v>
      </c>
      <c r="J3445" s="62">
        <v>11</v>
      </c>
      <c r="K3445" s="62" t="s">
        <v>22</v>
      </c>
      <c r="L3445" s="62" t="s">
        <v>1</v>
      </c>
      <c r="M3445" s="62">
        <v>151.73</v>
      </c>
      <c r="N3445" s="62">
        <v>7.5865</v>
      </c>
    </row>
    <row r="3446" spans="9:14">
      <c r="I3446" s="62">
        <v>2021</v>
      </c>
      <c r="J3446" s="62">
        <v>12</v>
      </c>
      <c r="K3446" s="62" t="s">
        <v>22</v>
      </c>
      <c r="L3446" s="62" t="s">
        <v>1</v>
      </c>
      <c r="M3446" s="62">
        <v>133.055</v>
      </c>
      <c r="N3446" s="62">
        <v>6.65275</v>
      </c>
    </row>
    <row r="3447" spans="9:14">
      <c r="I3447" s="62">
        <v>2022</v>
      </c>
      <c r="J3447" s="62">
        <v>1</v>
      </c>
      <c r="K3447" s="62" t="s">
        <v>22</v>
      </c>
      <c r="L3447" s="62" t="s">
        <v>1</v>
      </c>
      <c r="M3447" s="62">
        <v>108.45</v>
      </c>
      <c r="N3447" s="62">
        <v>5.4225</v>
      </c>
    </row>
    <row r="3448" spans="9:14">
      <c r="I3448" s="62">
        <v>2022</v>
      </c>
      <c r="J3448" s="62">
        <v>2</v>
      </c>
      <c r="K3448" s="62" t="s">
        <v>22</v>
      </c>
      <c r="L3448" s="62" t="s">
        <v>1</v>
      </c>
      <c r="M3448" s="62">
        <v>344.83</v>
      </c>
      <c r="N3448" s="62">
        <v>17.2415</v>
      </c>
    </row>
    <row r="3449" spans="9:14">
      <c r="I3449" s="62">
        <v>2022</v>
      </c>
      <c r="J3449" s="62">
        <v>3</v>
      </c>
      <c r="K3449" s="62" t="s">
        <v>22</v>
      </c>
      <c r="L3449" s="62" t="s">
        <v>1</v>
      </c>
      <c r="M3449" s="62">
        <v>299.3275</v>
      </c>
      <c r="N3449" s="62">
        <v>14.966375</v>
      </c>
    </row>
    <row r="3450" spans="9:14">
      <c r="I3450" s="62">
        <v>2022</v>
      </c>
      <c r="J3450" s="62">
        <v>4</v>
      </c>
      <c r="K3450" s="62" t="s">
        <v>22</v>
      </c>
      <c r="L3450" s="62" t="s">
        <v>1</v>
      </c>
      <c r="M3450" s="62">
        <v>313.001</v>
      </c>
      <c r="N3450" s="62">
        <v>15.65005</v>
      </c>
    </row>
    <row r="3451" spans="9:14">
      <c r="I3451" s="62">
        <v>2022</v>
      </c>
      <c r="J3451" s="62">
        <v>5</v>
      </c>
      <c r="K3451" s="62" t="s">
        <v>22</v>
      </c>
      <c r="L3451" s="62" t="s">
        <v>1</v>
      </c>
      <c r="M3451" s="62">
        <v>259.529</v>
      </c>
      <c r="N3451" s="62">
        <v>12.97645</v>
      </c>
    </row>
    <row r="3452" spans="9:14">
      <c r="I3452" s="62">
        <v>2022</v>
      </c>
      <c r="J3452" s="62">
        <v>6</v>
      </c>
      <c r="K3452" s="62" t="s">
        <v>22</v>
      </c>
      <c r="L3452" s="62" t="s">
        <v>1</v>
      </c>
      <c r="M3452" s="62">
        <v>58.59</v>
      </c>
      <c r="N3452" s="62">
        <v>2.9295</v>
      </c>
    </row>
    <row r="3453" spans="9:14">
      <c r="I3453" s="62">
        <v>2022</v>
      </c>
      <c r="J3453" s="62">
        <v>7</v>
      </c>
      <c r="K3453" s="62" t="s">
        <v>22</v>
      </c>
      <c r="L3453" s="62" t="s">
        <v>1</v>
      </c>
      <c r="M3453" s="62">
        <v>94.2</v>
      </c>
      <c r="N3453" s="62">
        <v>4.71</v>
      </c>
    </row>
    <row r="3454" spans="9:14">
      <c r="I3454" s="62">
        <v>2022</v>
      </c>
      <c r="J3454" s="62">
        <v>8</v>
      </c>
      <c r="K3454" s="62" t="s">
        <v>22</v>
      </c>
      <c r="L3454" s="62" t="s">
        <v>1</v>
      </c>
      <c r="M3454" s="62">
        <v>86.685</v>
      </c>
      <c r="N3454" s="62">
        <v>4.33425</v>
      </c>
    </row>
    <row r="3455" spans="9:14">
      <c r="I3455" s="62">
        <v>2022</v>
      </c>
      <c r="J3455" s="62">
        <v>9</v>
      </c>
      <c r="K3455" s="62" t="s">
        <v>22</v>
      </c>
      <c r="L3455" s="62" t="s">
        <v>1</v>
      </c>
      <c r="M3455" s="62">
        <v>106.216</v>
      </c>
      <c r="N3455" s="62">
        <v>5.3108</v>
      </c>
    </row>
    <row r="3456" spans="9:14">
      <c r="I3456" s="62">
        <v>2022</v>
      </c>
      <c r="J3456" s="62">
        <v>10</v>
      </c>
      <c r="K3456" s="62" t="s">
        <v>22</v>
      </c>
      <c r="L3456" s="62" t="s">
        <v>1</v>
      </c>
      <c r="M3456" s="62">
        <v>167.047</v>
      </c>
      <c r="N3456" s="62">
        <v>8.352349999999999</v>
      </c>
    </row>
    <row r="3457" spans="9:14">
      <c r="I3457" s="62">
        <v>2022</v>
      </c>
      <c r="J3457" s="62">
        <v>11</v>
      </c>
      <c r="K3457" s="62" t="s">
        <v>22</v>
      </c>
      <c r="L3457" s="62" t="s">
        <v>1</v>
      </c>
      <c r="M3457" s="62">
        <v>75.277</v>
      </c>
      <c r="N3457" s="62">
        <v>3.76385</v>
      </c>
    </row>
    <row r="3458" spans="9:14">
      <c r="I3458" s="62">
        <v>2022</v>
      </c>
      <c r="J3458" s="62">
        <v>12</v>
      </c>
      <c r="K3458" s="62" t="s">
        <v>22</v>
      </c>
      <c r="L3458" s="62" t="s">
        <v>1</v>
      </c>
      <c r="M3458" s="62">
        <v>122.2912</v>
      </c>
      <c r="N3458" s="62">
        <v>6.114560000000001</v>
      </c>
    </row>
    <row r="3459" spans="9:14">
      <c r="I3459" s="62">
        <v>2023</v>
      </c>
      <c r="J3459" s="62">
        <v>1</v>
      </c>
      <c r="K3459" s="62" t="s">
        <v>22</v>
      </c>
      <c r="L3459" s="62" t="s">
        <v>1</v>
      </c>
      <c r="M3459" s="62">
        <v>275.03</v>
      </c>
      <c r="N3459" s="62">
        <v>13.7515</v>
      </c>
    </row>
    <row r="3460" spans="9:14">
      <c r="I3460" s="62">
        <v>2023</v>
      </c>
      <c r="J3460" s="62">
        <v>2</v>
      </c>
      <c r="K3460" s="62" t="s">
        <v>22</v>
      </c>
      <c r="L3460" s="62" t="s">
        <v>1</v>
      </c>
      <c r="M3460" s="62">
        <v>397.495</v>
      </c>
      <c r="N3460" s="62">
        <v>19.87475</v>
      </c>
    </row>
    <row r="3461" spans="9:14">
      <c r="I3461" s="62">
        <v>2023</v>
      </c>
      <c r="J3461" s="62">
        <v>3</v>
      </c>
      <c r="K3461" s="62" t="s">
        <v>22</v>
      </c>
      <c r="L3461" s="62" t="s">
        <v>1</v>
      </c>
      <c r="M3461" s="62">
        <v>469.643</v>
      </c>
      <c r="N3461" s="62">
        <v>23.48215</v>
      </c>
    </row>
    <row r="3462" spans="9:14">
      <c r="I3462" s="62">
        <v>2023</v>
      </c>
      <c r="J3462" s="62">
        <v>4</v>
      </c>
      <c r="K3462" s="62" t="s">
        <v>22</v>
      </c>
      <c r="L3462" s="62" t="s">
        <v>1</v>
      </c>
      <c r="M3462" s="62">
        <v>418.161</v>
      </c>
      <c r="N3462" s="62">
        <v>20.90805</v>
      </c>
    </row>
    <row r="3463" spans="9:14">
      <c r="I3463" s="62">
        <v>2023</v>
      </c>
      <c r="J3463" s="62">
        <v>5</v>
      </c>
      <c r="K3463" s="62" t="s">
        <v>22</v>
      </c>
      <c r="L3463" s="62" t="s">
        <v>1</v>
      </c>
      <c r="M3463" s="62">
        <v>156.644</v>
      </c>
      <c r="N3463" s="62">
        <v>7.8322</v>
      </c>
    </row>
    <row r="3464" spans="9:14">
      <c r="I3464" s="62">
        <v>2023</v>
      </c>
      <c r="J3464" s="62">
        <v>6</v>
      </c>
      <c r="K3464" s="62" t="s">
        <v>22</v>
      </c>
      <c r="L3464" s="62" t="s">
        <v>1</v>
      </c>
      <c r="M3464" s="62">
        <v>11.7462</v>
      </c>
      <c r="N3464" s="62">
        <v>0.58731</v>
      </c>
    </row>
    <row r="3465" spans="9:14">
      <c r="I3465" s="62">
        <v>2023</v>
      </c>
      <c r="J3465" s="62">
        <v>7</v>
      </c>
      <c r="K3465" s="62" t="s">
        <v>22</v>
      </c>
      <c r="L3465" s="62" t="s">
        <v>1</v>
      </c>
      <c r="M3465" s="62">
        <v>40.6884</v>
      </c>
      <c r="N3465" s="62">
        <v>2.03442</v>
      </c>
    </row>
    <row r="3466" spans="9:14">
      <c r="I3466" s="62">
        <v>2023</v>
      </c>
      <c r="J3466" s="62">
        <v>8</v>
      </c>
      <c r="K3466" s="62" t="s">
        <v>22</v>
      </c>
      <c r="L3466" s="62" t="s">
        <v>1</v>
      </c>
      <c r="M3466" s="62">
        <v>62.233</v>
      </c>
      <c r="N3466" s="62">
        <v>3.11165</v>
      </c>
    </row>
    <row r="3467" spans="9:14">
      <c r="I3467" s="62">
        <v>2023</v>
      </c>
      <c r="J3467" s="62">
        <v>9</v>
      </c>
      <c r="K3467" s="62" t="s">
        <v>22</v>
      </c>
      <c r="L3467" s="62" t="s">
        <v>1</v>
      </c>
      <c r="M3467" s="62">
        <v>85.565</v>
      </c>
      <c r="N3467" s="62">
        <v>4.27825</v>
      </c>
    </row>
    <row r="3468" spans="9:14">
      <c r="I3468" s="62">
        <v>2023</v>
      </c>
      <c r="J3468" s="62">
        <v>10</v>
      </c>
      <c r="K3468" s="62" t="s">
        <v>22</v>
      </c>
      <c r="L3468" s="62" t="s">
        <v>1</v>
      </c>
      <c r="M3468" s="62">
        <v>169.43</v>
      </c>
      <c r="N3468" s="62">
        <v>8.471500000000001</v>
      </c>
    </row>
    <row r="3469" spans="9:14">
      <c r="I3469" s="62">
        <v>2023</v>
      </c>
      <c r="J3469" s="62">
        <v>11</v>
      </c>
      <c r="K3469" s="62" t="s">
        <v>22</v>
      </c>
      <c r="L3469" s="62" t="s">
        <v>1</v>
      </c>
      <c r="M3469" s="62">
        <v>66.22</v>
      </c>
      <c r="N3469" s="62">
        <v>3.311</v>
      </c>
    </row>
    <row r="3470" spans="9:14">
      <c r="I3470" s="62">
        <v>2023</v>
      </c>
      <c r="J3470" s="62">
        <v>12</v>
      </c>
      <c r="K3470" s="62" t="s">
        <v>22</v>
      </c>
      <c r="L3470" s="62" t="s">
        <v>1</v>
      </c>
      <c r="M3470" s="62">
        <v>47.63</v>
      </c>
      <c r="N3470" s="62">
        <v>2.3815</v>
      </c>
    </row>
    <row r="3471" spans="9:14">
      <c r="I3471" s="62">
        <v>2024</v>
      </c>
      <c r="J3471" s="62">
        <v>1</v>
      </c>
      <c r="K3471" s="62" t="s">
        <v>22</v>
      </c>
      <c r="L3471" s="62" t="s">
        <v>1</v>
      </c>
      <c r="M3471" s="62">
        <v>248.172</v>
      </c>
      <c r="N3471" s="62">
        <v>12.4086</v>
      </c>
    </row>
    <row r="3472" spans="9:14">
      <c r="I3472" s="62">
        <v>2024</v>
      </c>
      <c r="J3472" s="62">
        <v>2</v>
      </c>
      <c r="K3472" s="62" t="s">
        <v>22</v>
      </c>
      <c r="L3472" s="62" t="s">
        <v>1</v>
      </c>
      <c r="M3472" s="62">
        <v>429.613</v>
      </c>
      <c r="N3472" s="62">
        <v>21.48065</v>
      </c>
    </row>
    <row r="3473" spans="9:14">
      <c r="I3473" s="62">
        <v>2024</v>
      </c>
      <c r="J3473" s="62">
        <v>3</v>
      </c>
      <c r="K3473" s="62" t="s">
        <v>22</v>
      </c>
      <c r="L3473" s="62" t="s">
        <v>1</v>
      </c>
      <c r="M3473" s="62">
        <v>305.265</v>
      </c>
      <c r="N3473" s="62">
        <v>15.26325</v>
      </c>
    </row>
    <row r="3474" spans="9:14">
      <c r="I3474" s="62">
        <v>2024</v>
      </c>
      <c r="J3474" s="62">
        <v>4</v>
      </c>
      <c r="K3474" s="62" t="s">
        <v>22</v>
      </c>
      <c r="L3474" s="62" t="s">
        <v>1</v>
      </c>
      <c r="M3474" s="62">
        <v>142.443</v>
      </c>
      <c r="N3474" s="62">
        <v>7.12215</v>
      </c>
    </row>
    <row r="3475" spans="9:14">
      <c r="I3475" s="62">
        <v>2024</v>
      </c>
      <c r="J3475" s="62">
        <v>5</v>
      </c>
      <c r="K3475" s="62" t="s">
        <v>22</v>
      </c>
      <c r="L3475" s="62" t="s">
        <v>1</v>
      </c>
      <c r="M3475" s="62">
        <v>153.69</v>
      </c>
      <c r="N3475" s="62">
        <v>7.6845</v>
      </c>
    </row>
    <row r="3476" spans="9:14">
      <c r="I3476" s="62">
        <v>2024</v>
      </c>
      <c r="J3476" s="62">
        <v>6</v>
      </c>
      <c r="K3476" s="62" t="s">
        <v>22</v>
      </c>
      <c r="L3476" s="62" t="s">
        <v>1</v>
      </c>
      <c r="M3476" s="62">
        <v>81.81</v>
      </c>
      <c r="N3476" s="62">
        <v>4.0905</v>
      </c>
    </row>
    <row r="3477" spans="9:14">
      <c r="I3477" s="62">
        <v>2024</v>
      </c>
      <c r="J3477" s="62">
        <v>7</v>
      </c>
      <c r="K3477" s="62" t="s">
        <v>22</v>
      </c>
      <c r="L3477" s="62" t="s">
        <v>1</v>
      </c>
      <c r="M3477" s="62">
        <v>44.115</v>
      </c>
      <c r="N3477" s="62">
        <v>2.20575</v>
      </c>
    </row>
    <row r="3478" spans="9:14">
      <c r="I3478" s="62">
        <v>2024</v>
      </c>
      <c r="J3478" s="62">
        <v>8</v>
      </c>
      <c r="K3478" s="62" t="s">
        <v>22</v>
      </c>
      <c r="L3478" s="62" t="s">
        <v>1</v>
      </c>
      <c r="M3478" s="62">
        <v>39.24</v>
      </c>
      <c r="N3478" s="62">
        <v>1.962</v>
      </c>
    </row>
    <row r="3479" spans="9:14">
      <c r="I3479" s="62">
        <v>2024</v>
      </c>
      <c r="J3479" s="62">
        <v>9</v>
      </c>
      <c r="K3479" s="62" t="s">
        <v>22</v>
      </c>
      <c r="L3479" s="62" t="s">
        <v>1</v>
      </c>
      <c r="M3479" s="62">
        <v>212.99</v>
      </c>
      <c r="N3479" s="62">
        <v>10.6495</v>
      </c>
    </row>
    <row r="3480" spans="9:14">
      <c r="I3480" s="62">
        <v>2024</v>
      </c>
      <c r="J3480" s="62">
        <v>10</v>
      </c>
      <c r="K3480" s="62" t="s">
        <v>22</v>
      </c>
      <c r="L3480" s="62" t="s">
        <v>1</v>
      </c>
      <c r="M3480" s="62">
        <v>245.08</v>
      </c>
      <c r="N3480" s="62">
        <v>12.254</v>
      </c>
    </row>
    <row r="3481" spans="9:14">
      <c r="I3481" s="62">
        <v>2024</v>
      </c>
      <c r="J3481" s="62">
        <v>11</v>
      </c>
      <c r="K3481" s="62" t="s">
        <v>22</v>
      </c>
      <c r="L3481" s="62" t="s">
        <v>1</v>
      </c>
      <c r="M3481" s="62">
        <v>91.11</v>
      </c>
      <c r="N3481" s="62">
        <v>4.5555</v>
      </c>
    </row>
    <row r="3482" spans="9:14">
      <c r="I3482" s="62">
        <v>2024</v>
      </c>
      <c r="J3482" s="62">
        <v>12</v>
      </c>
      <c r="K3482" s="62" t="s">
        <v>22</v>
      </c>
      <c r="L3482" s="62" t="s">
        <v>1</v>
      </c>
      <c r="M3482" s="62">
        <v>64.27</v>
      </c>
      <c r="N3482" s="62">
        <v>3.2135</v>
      </c>
    </row>
    <row r="3483" spans="9:14">
      <c r="I3483" s="62">
        <v>2025</v>
      </c>
      <c r="J3483" s="62">
        <v>1</v>
      </c>
      <c r="K3483" s="62" t="s">
        <v>22</v>
      </c>
      <c r="L3483" s="62" t="s">
        <v>1</v>
      </c>
      <c r="M3483" s="62">
        <v>102.565</v>
      </c>
      <c r="N3483" s="62">
        <v>5.12825</v>
      </c>
    </row>
    <row r="3484" spans="9:14">
      <c r="I3484" s="62">
        <v>2025</v>
      </c>
      <c r="J3484" s="62">
        <v>2</v>
      </c>
      <c r="K3484" s="62" t="s">
        <v>22</v>
      </c>
      <c r="L3484" s="62" t="s">
        <v>1</v>
      </c>
      <c r="M3484" s="62">
        <v>232.9</v>
      </c>
      <c r="N3484" s="62">
        <v>11.645</v>
      </c>
    </row>
    <row r="3485" spans="9:14">
      <c r="I3485" s="62">
        <v>2025</v>
      </c>
      <c r="J3485" s="62">
        <v>3</v>
      </c>
      <c r="K3485" s="62" t="s">
        <v>22</v>
      </c>
      <c r="L3485" s="62" t="s">
        <v>1</v>
      </c>
      <c r="M3485" s="62">
        <v>219.599</v>
      </c>
      <c r="N3485" s="62">
        <v>10.97995</v>
      </c>
    </row>
    <row r="3486" spans="9:14">
      <c r="I3486" s="62">
        <v>2025</v>
      </c>
      <c r="J3486" s="62">
        <v>4</v>
      </c>
      <c r="K3486" s="62" t="s">
        <v>22</v>
      </c>
      <c r="L3486" s="62" t="s">
        <v>1</v>
      </c>
      <c r="M3486" s="62">
        <v>244.39</v>
      </c>
      <c r="N3486" s="62">
        <v>12.2195</v>
      </c>
    </row>
    <row r="3487" spans="9:14">
      <c r="I3487" s="62">
        <v>2025</v>
      </c>
      <c r="J3487" s="62">
        <v>5</v>
      </c>
      <c r="K3487" s="62" t="s">
        <v>22</v>
      </c>
      <c r="L3487" s="62" t="s">
        <v>1</v>
      </c>
      <c r="M3487" s="62">
        <v>128.7</v>
      </c>
      <c r="N3487" s="62">
        <v>6.435</v>
      </c>
    </row>
    <row r="3488" spans="9:14">
      <c r="I3488" s="62">
        <v>2025</v>
      </c>
      <c r="J3488" s="62">
        <v>6</v>
      </c>
      <c r="K3488" s="62" t="s">
        <v>22</v>
      </c>
      <c r="L3488" s="62" t="s">
        <v>1</v>
      </c>
      <c r="M3488" s="62">
        <v>131.846</v>
      </c>
      <c r="N3488" s="62">
        <v>6.5923</v>
      </c>
    </row>
    <row r="3489" spans="9:14">
      <c r="I3489" s="62">
        <v>2025</v>
      </c>
      <c r="J3489" s="62">
        <v>7</v>
      </c>
      <c r="K3489" s="62" t="s">
        <v>22</v>
      </c>
      <c r="L3489" s="62" t="s">
        <v>1</v>
      </c>
      <c r="M3489" s="62">
        <v>139.395</v>
      </c>
      <c r="N3489" s="62">
        <v>6.96975</v>
      </c>
    </row>
    <row r="3490" spans="9:14">
      <c r="I3490" s="62">
        <v>2025</v>
      </c>
      <c r="J3490" s="62">
        <v>8</v>
      </c>
      <c r="K3490" s="62" t="s">
        <v>22</v>
      </c>
      <c r="L3490" s="62" t="s">
        <v>1</v>
      </c>
      <c r="M3490" s="62">
        <v>185.5</v>
      </c>
      <c r="N3490" s="62">
        <v>9.275</v>
      </c>
    </row>
    <row r="3491" spans="9:14">
      <c r="I3491" s="62">
        <v>2025</v>
      </c>
      <c r="J3491" s="62">
        <v>9</v>
      </c>
      <c r="K3491" s="62" t="s">
        <v>22</v>
      </c>
      <c r="L3491" s="62" t="s">
        <v>1</v>
      </c>
      <c r="M3491" s="62">
        <v>128.05</v>
      </c>
      <c r="N3491" s="62">
        <v>6.4025</v>
      </c>
    </row>
    <row r="3492" spans="9:14">
      <c r="I3492" s="62">
        <v>2025</v>
      </c>
      <c r="J3492" s="62">
        <v>10</v>
      </c>
      <c r="K3492" s="62" t="s">
        <v>22</v>
      </c>
      <c r="L3492" s="62" t="s">
        <v>1</v>
      </c>
      <c r="M3492" s="62">
        <v>226.68</v>
      </c>
      <c r="N3492" s="62">
        <v>11.334</v>
      </c>
    </row>
    <row r="3493" spans="9:14">
      <c r="I3493" s="62">
        <v>2025</v>
      </c>
      <c r="J3493" s="62">
        <v>11</v>
      </c>
      <c r="K3493" s="62" t="s">
        <v>22</v>
      </c>
      <c r="L3493" s="62" t="s">
        <v>1</v>
      </c>
      <c r="M3493" s="62">
        <v>135.755</v>
      </c>
      <c r="N3493" s="62">
        <v>6.787750000000001</v>
      </c>
    </row>
    <row r="3494" spans="9:14">
      <c r="I3494" s="62">
        <v>2025</v>
      </c>
      <c r="J3494" s="62">
        <v>12</v>
      </c>
      <c r="K3494" s="62" t="s">
        <v>22</v>
      </c>
      <c r="L3494" s="62" t="s">
        <v>1</v>
      </c>
      <c r="M3494" s="62">
        <v>84.28999999999999</v>
      </c>
      <c r="N3494" s="62">
        <v>4.2145</v>
      </c>
    </row>
    <row r="3495" spans="9:14">
      <c r="I3495" s="62">
        <v>2026</v>
      </c>
      <c r="J3495" s="62">
        <v>1</v>
      </c>
      <c r="K3495" s="62" t="s">
        <v>22</v>
      </c>
      <c r="L3495" s="62" t="s">
        <v>1</v>
      </c>
      <c r="M3495" s="62">
        <v>50.92</v>
      </c>
      <c r="N3495" s="62">
        <v>2.546</v>
      </c>
    </row>
    <row r="3496" spans="9:14">
      <c r="I3496" s="62">
        <v>2026</v>
      </c>
      <c r="J3496" s="62">
        <v>2</v>
      </c>
      <c r="K3496" s="62" t="s">
        <v>22</v>
      </c>
      <c r="L3496" s="62" t="s">
        <v>1</v>
      </c>
      <c r="M3496" s="62">
        <v>68.31999999999999</v>
      </c>
      <c r="N3496" s="62">
        <v>3.416</v>
      </c>
    </row>
    <row r="3497" spans="9:14">
      <c r="I3497" s="62">
        <v>2026</v>
      </c>
      <c r="J3497" s="62">
        <v>3</v>
      </c>
      <c r="K3497" s="62" t="s">
        <v>22</v>
      </c>
      <c r="L3497" s="62" t="s">
        <v>1</v>
      </c>
      <c r="M3497" s="62">
        <v>145.776</v>
      </c>
      <c r="N3497" s="62">
        <v>7.2888</v>
      </c>
    </row>
    <row r="3498" spans="9:14">
      <c r="I3498" s="62">
        <v>2026</v>
      </c>
      <c r="J3498" s="62">
        <v>4</v>
      </c>
      <c r="K3498" s="62" t="s">
        <v>22</v>
      </c>
      <c r="L3498" s="62" t="s">
        <v>1</v>
      </c>
      <c r="M3498" s="62">
        <v>172.765</v>
      </c>
      <c r="N3498" s="62">
        <v>8.638250000000001</v>
      </c>
    </row>
    <row r="3499" spans="9:14">
      <c r="I3499" s="62">
        <v>2026</v>
      </c>
      <c r="J3499" s="62">
        <v>5</v>
      </c>
      <c r="K3499" s="62" t="s">
        <v>22</v>
      </c>
      <c r="L3499" s="62" t="s">
        <v>1</v>
      </c>
      <c r="M3499" s="62">
        <v>92.77</v>
      </c>
      <c r="N3499" s="62">
        <v>4.638500000000001</v>
      </c>
    </row>
    <row r="3500" spans="9:14">
      <c r="I3500" s="62">
        <v>2026</v>
      </c>
      <c r="J3500" s="62">
        <v>6</v>
      </c>
      <c r="K3500" s="62" t="s">
        <v>22</v>
      </c>
      <c r="L3500" s="62" t="s">
        <v>1</v>
      </c>
      <c r="M3500" s="62">
        <v>16.58</v>
      </c>
      <c r="N3500" s="62">
        <v>0.8290000000000002</v>
      </c>
    </row>
    <row r="3501" spans="9:14">
      <c r="I3501" s="62">
        <v>2026</v>
      </c>
      <c r="J3501" s="62">
        <v>7</v>
      </c>
      <c r="K3501" s="62" t="s">
        <v>22</v>
      </c>
      <c r="L3501" s="62" t="s">
        <v>1</v>
      </c>
      <c r="M3501" s="62">
        <v>6.24</v>
      </c>
      <c r="N3501" s="62">
        <v>0.3120000000000001</v>
      </c>
    </row>
    <row r="3502" spans="9:14">
      <c r="I3502" s="62">
        <v>2026</v>
      </c>
      <c r="J3502" s="62">
        <v>8</v>
      </c>
      <c r="K3502" s="62" t="s">
        <v>22</v>
      </c>
      <c r="L3502" s="62" t="s">
        <v>1</v>
      </c>
      <c r="M3502" s="62">
        <v>58.86</v>
      </c>
      <c r="N3502" s="62">
        <v>2.943</v>
      </c>
    </row>
    <row r="3503" spans="9:14">
      <c r="I3503" s="62">
        <v>2026</v>
      </c>
      <c r="J3503" s="62">
        <v>9</v>
      </c>
      <c r="K3503" s="62" t="s">
        <v>22</v>
      </c>
      <c r="L3503" s="62" t="s">
        <v>1</v>
      </c>
      <c r="M3503" s="62">
        <v>149.15</v>
      </c>
      <c r="N3503" s="62">
        <v>7.4575</v>
      </c>
    </row>
    <row r="3504" spans="9:14">
      <c r="I3504" s="62">
        <v>2026</v>
      </c>
      <c r="J3504" s="62">
        <v>10</v>
      </c>
      <c r="K3504" s="62" t="s">
        <v>22</v>
      </c>
      <c r="L3504" s="62" t="s">
        <v>1</v>
      </c>
      <c r="M3504" s="62">
        <v>73.97999999999999</v>
      </c>
      <c r="N3504" s="62">
        <v>3.699</v>
      </c>
    </row>
    <row r="3505" spans="9:14">
      <c r="I3505" s="62">
        <v>2026</v>
      </c>
      <c r="J3505" s="62">
        <v>11</v>
      </c>
      <c r="K3505" s="62" t="s">
        <v>22</v>
      </c>
      <c r="L3505" s="62" t="s">
        <v>1</v>
      </c>
      <c r="M3505" s="62">
        <v>17.296</v>
      </c>
      <c r="N3505" s="62">
        <v>0.8648</v>
      </c>
    </row>
    <row r="3506" spans="9:14">
      <c r="I3506" s="62">
        <v>2027</v>
      </c>
      <c r="J3506" s="62">
        <v>1</v>
      </c>
      <c r="K3506" s="62" t="s">
        <v>22</v>
      </c>
      <c r="L3506" s="62" t="s">
        <v>1</v>
      </c>
      <c r="M3506" s="62">
        <v>62.91</v>
      </c>
      <c r="N3506" s="62">
        <v>3.1455</v>
      </c>
    </row>
    <row r="3507" spans="9:14">
      <c r="I3507" s="62">
        <v>2027</v>
      </c>
      <c r="J3507" s="62">
        <v>2</v>
      </c>
      <c r="K3507" s="62" t="s">
        <v>22</v>
      </c>
      <c r="L3507" s="62" t="s">
        <v>1</v>
      </c>
      <c r="M3507" s="62">
        <v>97.47</v>
      </c>
      <c r="N3507" s="62">
        <v>4.8735</v>
      </c>
    </row>
    <row r="3508" spans="9:14">
      <c r="I3508" s="62">
        <v>2027</v>
      </c>
      <c r="J3508" s="62">
        <v>3</v>
      </c>
      <c r="K3508" s="62" t="s">
        <v>22</v>
      </c>
      <c r="L3508" s="62" t="s">
        <v>1</v>
      </c>
      <c r="M3508" s="62">
        <v>75.53</v>
      </c>
      <c r="N3508" s="62">
        <v>3.7765</v>
      </c>
    </row>
    <row r="3509" spans="9:14">
      <c r="I3509" s="62">
        <v>2027</v>
      </c>
      <c r="J3509" s="62">
        <v>4</v>
      </c>
      <c r="K3509" s="62" t="s">
        <v>22</v>
      </c>
      <c r="L3509" s="62" t="s">
        <v>1</v>
      </c>
      <c r="M3509" s="62">
        <v>39.15</v>
      </c>
      <c r="N3509" s="62">
        <v>1.9575</v>
      </c>
    </row>
    <row r="3510" spans="9:14">
      <c r="I3510" s="62">
        <v>2027</v>
      </c>
      <c r="J3510" s="62">
        <v>9</v>
      </c>
      <c r="K3510" s="62" t="s">
        <v>22</v>
      </c>
      <c r="L3510" s="62" t="s">
        <v>1</v>
      </c>
      <c r="M3510" s="62">
        <v>104.88</v>
      </c>
      <c r="N3510" s="62">
        <v>5.244</v>
      </c>
    </row>
    <row r="3511" spans="9:14">
      <c r="I3511" s="62">
        <v>2027</v>
      </c>
      <c r="J3511" s="62">
        <v>10</v>
      </c>
      <c r="K3511" s="62" t="s">
        <v>22</v>
      </c>
      <c r="L3511" s="62" t="s">
        <v>1</v>
      </c>
      <c r="M3511" s="62">
        <v>63.94</v>
      </c>
      <c r="N3511" s="62">
        <v>3.197</v>
      </c>
    </row>
    <row r="3512" spans="9:14">
      <c r="I3512" s="62">
        <v>2027</v>
      </c>
      <c r="J3512" s="62">
        <v>11</v>
      </c>
      <c r="K3512" s="62" t="s">
        <v>22</v>
      </c>
      <c r="L3512" s="62" t="s">
        <v>1</v>
      </c>
      <c r="M3512" s="62">
        <v>17.653</v>
      </c>
      <c r="N3512" s="62">
        <v>0.88265</v>
      </c>
    </row>
    <row r="3513" spans="9:14">
      <c r="I3513" s="62">
        <v>2014</v>
      </c>
      <c r="J3513" s="62">
        <v>1</v>
      </c>
      <c r="K3513" s="62" t="s">
        <v>22</v>
      </c>
      <c r="L3513" s="62" t="s">
        <v>2</v>
      </c>
      <c r="M3513" s="62">
        <v>180.98</v>
      </c>
      <c r="N3513" s="62">
        <v>9.048999999999999</v>
      </c>
    </row>
    <row r="3514" spans="9:14">
      <c r="I3514" s="62">
        <v>2014</v>
      </c>
      <c r="J3514" s="62">
        <v>2</v>
      </c>
      <c r="K3514" s="62" t="s">
        <v>22</v>
      </c>
      <c r="L3514" s="62" t="s">
        <v>2</v>
      </c>
      <c r="M3514" s="62">
        <v>319.19</v>
      </c>
      <c r="N3514" s="62">
        <v>15.9595</v>
      </c>
    </row>
    <row r="3515" spans="9:14">
      <c r="I3515" s="62">
        <v>2014</v>
      </c>
      <c r="J3515" s="62">
        <v>3</v>
      </c>
      <c r="K3515" s="62" t="s">
        <v>22</v>
      </c>
      <c r="L3515" s="62" t="s">
        <v>2</v>
      </c>
      <c r="M3515" s="62">
        <v>145.2</v>
      </c>
      <c r="N3515" s="62">
        <v>7.260000000000001</v>
      </c>
    </row>
    <row r="3516" spans="9:14">
      <c r="I3516" s="62">
        <v>2014</v>
      </c>
      <c r="J3516" s="62">
        <v>4</v>
      </c>
      <c r="K3516" s="62" t="s">
        <v>22</v>
      </c>
      <c r="L3516" s="62" t="s">
        <v>2</v>
      </c>
      <c r="M3516" s="62">
        <v>73.70999999999999</v>
      </c>
      <c r="N3516" s="62">
        <v>3.6855</v>
      </c>
    </row>
    <row r="3517" spans="9:14">
      <c r="I3517" s="62">
        <v>2014</v>
      </c>
      <c r="J3517" s="62">
        <v>5</v>
      </c>
      <c r="K3517" s="62" t="s">
        <v>22</v>
      </c>
      <c r="L3517" s="62" t="s">
        <v>2</v>
      </c>
      <c r="M3517" s="62">
        <v>132.192</v>
      </c>
      <c r="N3517" s="62">
        <v>6.6096</v>
      </c>
    </row>
    <row r="3518" spans="9:14">
      <c r="I3518" s="62">
        <v>2014</v>
      </c>
      <c r="J3518" s="62">
        <v>6</v>
      </c>
      <c r="K3518" s="62" t="s">
        <v>22</v>
      </c>
      <c r="L3518" s="62" t="s">
        <v>2</v>
      </c>
      <c r="M3518" s="62">
        <v>78.071</v>
      </c>
      <c r="N3518" s="62">
        <v>3.903550000000001</v>
      </c>
    </row>
    <row r="3519" spans="9:14">
      <c r="I3519" s="62">
        <v>2014</v>
      </c>
      <c r="J3519" s="62">
        <v>7</v>
      </c>
      <c r="K3519" s="62" t="s">
        <v>22</v>
      </c>
      <c r="L3519" s="62" t="s">
        <v>2</v>
      </c>
      <c r="M3519" s="62">
        <v>23.55</v>
      </c>
      <c r="N3519" s="62">
        <v>1.1775</v>
      </c>
    </row>
    <row r="3520" spans="9:14">
      <c r="I3520" s="62">
        <v>2014</v>
      </c>
      <c r="J3520" s="62">
        <v>8</v>
      </c>
      <c r="K3520" s="62" t="s">
        <v>22</v>
      </c>
      <c r="L3520" s="62" t="s">
        <v>2</v>
      </c>
      <c r="M3520" s="62">
        <v>37.945</v>
      </c>
      <c r="N3520" s="62">
        <v>1.89725</v>
      </c>
    </row>
    <row r="3521" spans="9:14">
      <c r="I3521" s="62">
        <v>2014</v>
      </c>
      <c r="J3521" s="62">
        <v>9</v>
      </c>
      <c r="K3521" s="62" t="s">
        <v>22</v>
      </c>
      <c r="L3521" s="62" t="s">
        <v>2</v>
      </c>
      <c r="M3521" s="62">
        <v>69.34999999999999</v>
      </c>
      <c r="N3521" s="62">
        <v>3.4675</v>
      </c>
    </row>
    <row r="3522" spans="9:14">
      <c r="I3522" s="62">
        <v>2014</v>
      </c>
      <c r="J3522" s="62">
        <v>10</v>
      </c>
      <c r="K3522" s="62" t="s">
        <v>22</v>
      </c>
      <c r="L3522" s="62" t="s">
        <v>2</v>
      </c>
      <c r="M3522" s="62">
        <v>212.27</v>
      </c>
      <c r="N3522" s="62">
        <v>10.6135</v>
      </c>
    </row>
    <row r="3523" spans="9:14">
      <c r="I3523" s="62">
        <v>2014</v>
      </c>
      <c r="J3523" s="62">
        <v>11</v>
      </c>
      <c r="K3523" s="62" t="s">
        <v>22</v>
      </c>
      <c r="L3523" s="62" t="s">
        <v>2</v>
      </c>
      <c r="M3523" s="62">
        <v>144.78</v>
      </c>
      <c r="N3523" s="62">
        <v>7.239000000000001</v>
      </c>
    </row>
    <row r="3524" spans="9:14">
      <c r="I3524" s="62">
        <v>2014</v>
      </c>
      <c r="J3524" s="62">
        <v>12</v>
      </c>
      <c r="K3524" s="62" t="s">
        <v>22</v>
      </c>
      <c r="L3524" s="62" t="s">
        <v>2</v>
      </c>
      <c r="M3524" s="62">
        <v>28.3</v>
      </c>
      <c r="N3524" s="62">
        <v>1.415</v>
      </c>
    </row>
    <row r="3525" spans="9:14">
      <c r="I3525" s="62">
        <v>2015</v>
      </c>
      <c r="J3525" s="62">
        <v>1</v>
      </c>
      <c r="K3525" s="62" t="s">
        <v>22</v>
      </c>
      <c r="L3525" s="62" t="s">
        <v>2</v>
      </c>
      <c r="M3525" s="62">
        <v>53.38</v>
      </c>
      <c r="N3525" s="62">
        <v>2.669</v>
      </c>
    </row>
    <row r="3526" spans="9:14">
      <c r="I3526" s="62">
        <v>2015</v>
      </c>
      <c r="J3526" s="62">
        <v>2</v>
      </c>
      <c r="K3526" s="62" t="s">
        <v>22</v>
      </c>
      <c r="L3526" s="62" t="s">
        <v>2</v>
      </c>
      <c r="M3526" s="62">
        <v>31.93</v>
      </c>
      <c r="N3526" s="62">
        <v>1.5965</v>
      </c>
    </row>
    <row r="3527" spans="9:14">
      <c r="I3527" s="62">
        <v>2015</v>
      </c>
      <c r="J3527" s="62">
        <v>3</v>
      </c>
      <c r="K3527" s="62" t="s">
        <v>22</v>
      </c>
      <c r="L3527" s="62" t="s">
        <v>2</v>
      </c>
      <c r="M3527" s="62">
        <v>33.5</v>
      </c>
      <c r="N3527" s="62">
        <v>1.675</v>
      </c>
    </row>
    <row r="3528" spans="9:14">
      <c r="I3528" s="62">
        <v>2015</v>
      </c>
      <c r="J3528" s="62">
        <v>4</v>
      </c>
      <c r="K3528" s="62" t="s">
        <v>22</v>
      </c>
      <c r="L3528" s="62" t="s">
        <v>2</v>
      </c>
      <c r="M3528" s="62">
        <v>68.7</v>
      </c>
      <c r="N3528" s="62">
        <v>3.435</v>
      </c>
    </row>
    <row r="3529" spans="9:14">
      <c r="I3529" s="62">
        <v>2015</v>
      </c>
      <c r="J3529" s="62">
        <v>5</v>
      </c>
      <c r="K3529" s="62" t="s">
        <v>22</v>
      </c>
      <c r="L3529" s="62" t="s">
        <v>2</v>
      </c>
      <c r="M3529" s="62">
        <v>162.175</v>
      </c>
      <c r="N3529" s="62">
        <v>8.108750000000001</v>
      </c>
    </row>
    <row r="3530" spans="9:14">
      <c r="I3530" s="62">
        <v>2015</v>
      </c>
      <c r="J3530" s="62">
        <v>6</v>
      </c>
      <c r="K3530" s="62" t="s">
        <v>22</v>
      </c>
      <c r="L3530" s="62" t="s">
        <v>2</v>
      </c>
      <c r="M3530" s="62">
        <v>150.44</v>
      </c>
      <c r="N3530" s="62">
        <v>7.522</v>
      </c>
    </row>
    <row r="3531" spans="9:14">
      <c r="I3531" s="62">
        <v>2015</v>
      </c>
      <c r="J3531" s="62">
        <v>7</v>
      </c>
      <c r="K3531" s="62" t="s">
        <v>22</v>
      </c>
      <c r="L3531" s="62" t="s">
        <v>2</v>
      </c>
      <c r="M3531" s="62">
        <v>127.35</v>
      </c>
      <c r="N3531" s="62">
        <v>6.367500000000001</v>
      </c>
    </row>
    <row r="3532" spans="9:14">
      <c r="I3532" s="62">
        <v>2015</v>
      </c>
      <c r="J3532" s="62">
        <v>8</v>
      </c>
      <c r="K3532" s="62" t="s">
        <v>22</v>
      </c>
      <c r="L3532" s="62" t="s">
        <v>2</v>
      </c>
      <c r="M3532" s="62">
        <v>70.53</v>
      </c>
      <c r="N3532" s="62">
        <v>3.5265</v>
      </c>
    </row>
    <row r="3533" spans="9:14">
      <c r="I3533" s="62">
        <v>2015</v>
      </c>
      <c r="J3533" s="62">
        <v>9</v>
      </c>
      <c r="K3533" s="62" t="s">
        <v>22</v>
      </c>
      <c r="L3533" s="62" t="s">
        <v>2</v>
      </c>
      <c r="M3533" s="62">
        <v>159.237</v>
      </c>
      <c r="N3533" s="62">
        <v>7.96185</v>
      </c>
    </row>
    <row r="3534" spans="9:14">
      <c r="I3534" s="62">
        <v>2015</v>
      </c>
      <c r="J3534" s="62">
        <v>10</v>
      </c>
      <c r="K3534" s="62" t="s">
        <v>22</v>
      </c>
      <c r="L3534" s="62" t="s">
        <v>2</v>
      </c>
      <c r="M3534" s="62">
        <v>157.53</v>
      </c>
      <c r="N3534" s="62">
        <v>7.8765</v>
      </c>
    </row>
    <row r="3535" spans="9:14">
      <c r="I3535" s="62">
        <v>2015</v>
      </c>
      <c r="J3535" s="62">
        <v>11</v>
      </c>
      <c r="K3535" s="62" t="s">
        <v>22</v>
      </c>
      <c r="L3535" s="62" t="s">
        <v>2</v>
      </c>
      <c r="M3535" s="62">
        <v>45.01</v>
      </c>
      <c r="N3535" s="62">
        <v>2.2505</v>
      </c>
    </row>
    <row r="3536" spans="9:14">
      <c r="I3536" s="62">
        <v>2016</v>
      </c>
      <c r="J3536" s="62">
        <v>1</v>
      </c>
      <c r="K3536" s="62" t="s">
        <v>22</v>
      </c>
      <c r="L3536" s="62" t="s">
        <v>2</v>
      </c>
      <c r="M3536" s="62">
        <v>96.54000000000001</v>
      </c>
      <c r="N3536" s="62">
        <v>4.827</v>
      </c>
    </row>
    <row r="3537" spans="9:14">
      <c r="I3537" s="62">
        <v>2016</v>
      </c>
      <c r="J3537" s="62">
        <v>2</v>
      </c>
      <c r="K3537" s="62" t="s">
        <v>22</v>
      </c>
      <c r="L3537" s="62" t="s">
        <v>2</v>
      </c>
      <c r="M3537" s="62">
        <v>94.01000000000001</v>
      </c>
      <c r="N3537" s="62">
        <v>4.7005</v>
      </c>
    </row>
    <row r="3538" spans="9:14">
      <c r="I3538" s="62">
        <v>2016</v>
      </c>
      <c r="J3538" s="62">
        <v>3</v>
      </c>
      <c r="K3538" s="62" t="s">
        <v>22</v>
      </c>
      <c r="L3538" s="62" t="s">
        <v>2</v>
      </c>
      <c r="M3538" s="62">
        <v>49.94</v>
      </c>
      <c r="N3538" s="62">
        <v>2.497</v>
      </c>
    </row>
    <row r="3539" spans="9:14">
      <c r="I3539" s="62">
        <v>2016</v>
      </c>
      <c r="J3539" s="62">
        <v>4</v>
      </c>
      <c r="K3539" s="62" t="s">
        <v>22</v>
      </c>
      <c r="L3539" s="62" t="s">
        <v>2</v>
      </c>
      <c r="M3539" s="62">
        <v>27.625</v>
      </c>
      <c r="N3539" s="62">
        <v>1.38125</v>
      </c>
    </row>
    <row r="3540" spans="9:14">
      <c r="I3540" s="62">
        <v>2016</v>
      </c>
      <c r="J3540" s="62">
        <v>5</v>
      </c>
      <c r="K3540" s="62" t="s">
        <v>22</v>
      </c>
      <c r="L3540" s="62" t="s">
        <v>2</v>
      </c>
      <c r="M3540" s="62">
        <v>45.025</v>
      </c>
      <c r="N3540" s="62">
        <v>2.25125</v>
      </c>
    </row>
    <row r="3541" spans="9:14">
      <c r="I3541" s="62">
        <v>2016</v>
      </c>
      <c r="J3541" s="62">
        <v>6</v>
      </c>
      <c r="K3541" s="62" t="s">
        <v>22</v>
      </c>
      <c r="L3541" s="62" t="s">
        <v>2</v>
      </c>
      <c r="M3541" s="62">
        <v>17.5</v>
      </c>
      <c r="N3541" s="62">
        <v>0.875</v>
      </c>
    </row>
    <row r="3542" spans="9:14">
      <c r="I3542" s="62">
        <v>2016</v>
      </c>
      <c r="J3542" s="62">
        <v>7</v>
      </c>
      <c r="K3542" s="62" t="s">
        <v>22</v>
      </c>
      <c r="L3542" s="62" t="s">
        <v>2</v>
      </c>
      <c r="M3542" s="62">
        <v>27.005</v>
      </c>
      <c r="N3542" s="62">
        <v>1.35025</v>
      </c>
    </row>
    <row r="3543" spans="9:14">
      <c r="I3543" s="62">
        <v>2016</v>
      </c>
      <c r="J3543" s="62">
        <v>8</v>
      </c>
      <c r="K3543" s="62" t="s">
        <v>22</v>
      </c>
      <c r="L3543" s="62" t="s">
        <v>2</v>
      </c>
      <c r="M3543" s="62">
        <v>48.6</v>
      </c>
      <c r="N3543" s="62">
        <v>2.43</v>
      </c>
    </row>
    <row r="3544" spans="9:14">
      <c r="I3544" s="62">
        <v>2016</v>
      </c>
      <c r="J3544" s="62">
        <v>9</v>
      </c>
      <c r="K3544" s="62" t="s">
        <v>22</v>
      </c>
      <c r="L3544" s="62" t="s">
        <v>2</v>
      </c>
      <c r="M3544" s="62">
        <v>129.84</v>
      </c>
      <c r="N3544" s="62">
        <v>6.492000000000001</v>
      </c>
    </row>
    <row r="3545" spans="9:14">
      <c r="I3545" s="62">
        <v>2016</v>
      </c>
      <c r="J3545" s="62">
        <v>10</v>
      </c>
      <c r="K3545" s="62" t="s">
        <v>22</v>
      </c>
      <c r="L3545" s="62" t="s">
        <v>2</v>
      </c>
      <c r="M3545" s="62">
        <v>193.65</v>
      </c>
      <c r="N3545" s="62">
        <v>9.682500000000001</v>
      </c>
    </row>
    <row r="3546" spans="9:14">
      <c r="I3546" s="62">
        <v>2016</v>
      </c>
      <c r="J3546" s="62">
        <v>11</v>
      </c>
      <c r="K3546" s="62" t="s">
        <v>22</v>
      </c>
      <c r="L3546" s="62" t="s">
        <v>2</v>
      </c>
      <c r="M3546" s="62">
        <v>138</v>
      </c>
      <c r="N3546" s="62">
        <v>6.9</v>
      </c>
    </row>
    <row r="3547" spans="9:14">
      <c r="I3547" s="62">
        <v>2016</v>
      </c>
      <c r="J3547" s="62">
        <v>12</v>
      </c>
      <c r="K3547" s="62" t="s">
        <v>22</v>
      </c>
      <c r="L3547" s="62" t="s">
        <v>2</v>
      </c>
      <c r="M3547" s="62">
        <v>24.6</v>
      </c>
      <c r="N3547" s="62">
        <v>1.23</v>
      </c>
    </row>
    <row r="3548" spans="9:14">
      <c r="I3548" s="62">
        <v>2017</v>
      </c>
      <c r="J3548" s="62">
        <v>1</v>
      </c>
      <c r="K3548" s="62" t="s">
        <v>22</v>
      </c>
      <c r="L3548" s="62" t="s">
        <v>2</v>
      </c>
      <c r="M3548" s="62">
        <v>179.23</v>
      </c>
      <c r="N3548" s="62">
        <v>8.961500000000001</v>
      </c>
    </row>
    <row r="3549" spans="9:14">
      <c r="I3549" s="62">
        <v>2017</v>
      </c>
      <c r="J3549" s="62">
        <v>2</v>
      </c>
      <c r="K3549" s="62" t="s">
        <v>22</v>
      </c>
      <c r="L3549" s="62" t="s">
        <v>2</v>
      </c>
      <c r="M3549" s="62">
        <v>211.67</v>
      </c>
      <c r="N3549" s="62">
        <v>10.5835</v>
      </c>
    </row>
    <row r="3550" spans="9:14">
      <c r="I3550" s="62">
        <v>2017</v>
      </c>
      <c r="J3550" s="62">
        <v>3</v>
      </c>
      <c r="K3550" s="62" t="s">
        <v>22</v>
      </c>
      <c r="L3550" s="62" t="s">
        <v>2</v>
      </c>
      <c r="M3550" s="62">
        <v>152.428</v>
      </c>
      <c r="N3550" s="62">
        <v>7.6214</v>
      </c>
    </row>
    <row r="3551" spans="9:14">
      <c r="I3551" s="62">
        <v>2017</v>
      </c>
      <c r="J3551" s="62">
        <v>4</v>
      </c>
      <c r="K3551" s="62" t="s">
        <v>22</v>
      </c>
      <c r="L3551" s="62" t="s">
        <v>2</v>
      </c>
      <c r="M3551" s="62">
        <v>252.085</v>
      </c>
      <c r="N3551" s="62">
        <v>12.60425</v>
      </c>
    </row>
    <row r="3552" spans="9:14">
      <c r="I3552" s="62">
        <v>2017</v>
      </c>
      <c r="J3552" s="62">
        <v>5</v>
      </c>
      <c r="K3552" s="62" t="s">
        <v>22</v>
      </c>
      <c r="L3552" s="62" t="s">
        <v>2</v>
      </c>
      <c r="M3552" s="62">
        <v>129.016</v>
      </c>
      <c r="N3552" s="62">
        <v>6.450800000000001</v>
      </c>
    </row>
    <row r="3553" spans="9:14">
      <c r="I3553" s="62">
        <v>2017</v>
      </c>
      <c r="J3553" s="62">
        <v>6</v>
      </c>
      <c r="K3553" s="62" t="s">
        <v>22</v>
      </c>
      <c r="L3553" s="62" t="s">
        <v>2</v>
      </c>
      <c r="M3553" s="62">
        <v>44.42</v>
      </c>
      <c r="N3553" s="62">
        <v>2.221</v>
      </c>
    </row>
    <row r="3554" spans="9:14">
      <c r="I3554" s="62">
        <v>2017</v>
      </c>
      <c r="J3554" s="62">
        <v>7</v>
      </c>
      <c r="K3554" s="62" t="s">
        <v>22</v>
      </c>
      <c r="L3554" s="62" t="s">
        <v>2</v>
      </c>
      <c r="M3554" s="62">
        <v>14.22</v>
      </c>
      <c r="N3554" s="62">
        <v>0.7110000000000001</v>
      </c>
    </row>
    <row r="3555" spans="9:14">
      <c r="I3555" s="62">
        <v>2017</v>
      </c>
      <c r="J3555" s="62">
        <v>8</v>
      </c>
      <c r="K3555" s="62" t="s">
        <v>22</v>
      </c>
      <c r="L3555" s="62" t="s">
        <v>2</v>
      </c>
      <c r="M3555" s="62">
        <v>30.78</v>
      </c>
      <c r="N3555" s="62">
        <v>1.539</v>
      </c>
    </row>
    <row r="3556" spans="9:14">
      <c r="I3556" s="62">
        <v>2017</v>
      </c>
      <c r="J3556" s="62">
        <v>9</v>
      </c>
      <c r="K3556" s="62" t="s">
        <v>22</v>
      </c>
      <c r="L3556" s="62" t="s">
        <v>2</v>
      </c>
      <c r="M3556" s="62">
        <v>4.14</v>
      </c>
      <c r="N3556" s="62">
        <v>0.207</v>
      </c>
    </row>
    <row r="3557" spans="9:14">
      <c r="I3557" s="62">
        <v>2017</v>
      </c>
      <c r="J3557" s="62">
        <v>10</v>
      </c>
      <c r="K3557" s="62" t="s">
        <v>22</v>
      </c>
      <c r="L3557" s="62" t="s">
        <v>2</v>
      </c>
      <c r="M3557" s="62">
        <v>72.58</v>
      </c>
      <c r="N3557" s="62">
        <v>3.629</v>
      </c>
    </row>
    <row r="3558" spans="9:14">
      <c r="I3558" s="62">
        <v>2017</v>
      </c>
      <c r="J3558" s="62">
        <v>11</v>
      </c>
      <c r="K3558" s="62" t="s">
        <v>22</v>
      </c>
      <c r="L3558" s="62" t="s">
        <v>2</v>
      </c>
      <c r="M3558" s="62">
        <v>14.65</v>
      </c>
      <c r="N3558" s="62">
        <v>0.7325</v>
      </c>
    </row>
    <row r="3559" spans="9:14">
      <c r="I3559" s="62">
        <v>2017</v>
      </c>
      <c r="J3559" s="62">
        <v>12</v>
      </c>
      <c r="K3559" s="62" t="s">
        <v>22</v>
      </c>
      <c r="L3559" s="62" t="s">
        <v>2</v>
      </c>
      <c r="M3559" s="62">
        <v>14.43</v>
      </c>
      <c r="N3559" s="62">
        <v>0.7215</v>
      </c>
    </row>
    <row r="3560" spans="9:14">
      <c r="I3560" s="62">
        <v>2018</v>
      </c>
      <c r="J3560" s="62">
        <v>1</v>
      </c>
      <c r="K3560" s="62" t="s">
        <v>22</v>
      </c>
      <c r="L3560" s="62" t="s">
        <v>2</v>
      </c>
      <c r="M3560" s="62">
        <v>63.90000000000001</v>
      </c>
      <c r="N3560" s="62">
        <v>3.195</v>
      </c>
    </row>
    <row r="3561" spans="9:14">
      <c r="I3561" s="62">
        <v>2018</v>
      </c>
      <c r="J3561" s="62">
        <v>2</v>
      </c>
      <c r="K3561" s="62" t="s">
        <v>22</v>
      </c>
      <c r="L3561" s="62" t="s">
        <v>2</v>
      </c>
      <c r="M3561" s="62">
        <v>252.74</v>
      </c>
      <c r="N3561" s="62">
        <v>12.637</v>
      </c>
    </row>
    <row r="3562" spans="9:14">
      <c r="I3562" s="62">
        <v>2018</v>
      </c>
      <c r="J3562" s="62">
        <v>3</v>
      </c>
      <c r="K3562" s="62" t="s">
        <v>22</v>
      </c>
      <c r="L3562" s="62" t="s">
        <v>2</v>
      </c>
      <c r="M3562" s="62">
        <v>146.065</v>
      </c>
      <c r="N3562" s="62">
        <v>7.30325</v>
      </c>
    </row>
    <row r="3563" spans="9:14">
      <c r="I3563" s="62">
        <v>2018</v>
      </c>
      <c r="J3563" s="62">
        <v>4</v>
      </c>
      <c r="K3563" s="62" t="s">
        <v>22</v>
      </c>
      <c r="L3563" s="62" t="s">
        <v>2</v>
      </c>
      <c r="M3563" s="62">
        <v>92.27</v>
      </c>
      <c r="N3563" s="62">
        <v>4.6135</v>
      </c>
    </row>
    <row r="3564" spans="9:14">
      <c r="I3564" s="62">
        <v>2018</v>
      </c>
      <c r="J3564" s="62">
        <v>5</v>
      </c>
      <c r="K3564" s="62" t="s">
        <v>22</v>
      </c>
      <c r="L3564" s="62" t="s">
        <v>2</v>
      </c>
      <c r="M3564" s="62">
        <v>56.46</v>
      </c>
      <c r="N3564" s="62">
        <v>2.823</v>
      </c>
    </row>
    <row r="3565" spans="9:14">
      <c r="I3565" s="62">
        <v>2018</v>
      </c>
      <c r="J3565" s="62">
        <v>6</v>
      </c>
      <c r="K3565" s="62" t="s">
        <v>22</v>
      </c>
      <c r="L3565" s="62" t="s">
        <v>2</v>
      </c>
      <c r="M3565" s="62">
        <v>15.5</v>
      </c>
      <c r="N3565" s="62">
        <v>0.775</v>
      </c>
    </row>
    <row r="3566" spans="9:14">
      <c r="I3566" s="62">
        <v>2018</v>
      </c>
      <c r="J3566" s="62">
        <v>7</v>
      </c>
      <c r="K3566" s="62" t="s">
        <v>22</v>
      </c>
      <c r="L3566" s="62" t="s">
        <v>2</v>
      </c>
      <c r="M3566" s="62">
        <v>2.945</v>
      </c>
      <c r="N3566" s="62">
        <v>0.14725</v>
      </c>
    </row>
    <row r="3567" spans="9:14">
      <c r="I3567" s="62">
        <v>2018</v>
      </c>
      <c r="J3567" s="62">
        <v>8</v>
      </c>
      <c r="K3567" s="62" t="s">
        <v>22</v>
      </c>
      <c r="L3567" s="62" t="s">
        <v>2</v>
      </c>
      <c r="M3567" s="62">
        <v>20.25</v>
      </c>
      <c r="N3567" s="62">
        <v>1.0125</v>
      </c>
    </row>
    <row r="3568" spans="9:14">
      <c r="I3568" s="62">
        <v>2018</v>
      </c>
      <c r="J3568" s="62">
        <v>9</v>
      </c>
      <c r="K3568" s="62" t="s">
        <v>22</v>
      </c>
      <c r="L3568" s="62" t="s">
        <v>2</v>
      </c>
      <c r="M3568" s="62">
        <v>7.92</v>
      </c>
      <c r="N3568" s="62">
        <v>0.396</v>
      </c>
    </row>
    <row r="3569" spans="9:14">
      <c r="I3569" s="62">
        <v>2018</v>
      </c>
      <c r="J3569" s="62">
        <v>10</v>
      </c>
      <c r="K3569" s="62" t="s">
        <v>22</v>
      </c>
      <c r="L3569" s="62" t="s">
        <v>2</v>
      </c>
      <c r="M3569" s="62">
        <v>68.56</v>
      </c>
      <c r="N3569" s="62">
        <v>3.428</v>
      </c>
    </row>
    <row r="3570" spans="9:14">
      <c r="I3570" s="62">
        <v>2018</v>
      </c>
      <c r="J3570" s="62">
        <v>11</v>
      </c>
      <c r="K3570" s="62" t="s">
        <v>22</v>
      </c>
      <c r="L3570" s="62" t="s">
        <v>2</v>
      </c>
      <c r="M3570" s="62">
        <v>52.65000000000001</v>
      </c>
      <c r="N3570" s="62">
        <v>2.6325</v>
      </c>
    </row>
    <row r="3571" spans="9:14">
      <c r="I3571" s="62">
        <v>2018</v>
      </c>
      <c r="J3571" s="62">
        <v>12</v>
      </c>
      <c r="K3571" s="62" t="s">
        <v>22</v>
      </c>
      <c r="L3571" s="62" t="s">
        <v>2</v>
      </c>
      <c r="M3571" s="62">
        <v>24.75</v>
      </c>
      <c r="N3571" s="62">
        <v>1.2375</v>
      </c>
    </row>
    <row r="3572" spans="9:14">
      <c r="I3572" s="62">
        <v>2019</v>
      </c>
      <c r="J3572" s="62">
        <v>1</v>
      </c>
      <c r="K3572" s="62" t="s">
        <v>22</v>
      </c>
      <c r="L3572" s="62" t="s">
        <v>2</v>
      </c>
      <c r="M3572" s="62">
        <v>16.17</v>
      </c>
      <c r="N3572" s="62">
        <v>0.8085</v>
      </c>
    </row>
    <row r="3573" spans="9:14">
      <c r="I3573" s="62">
        <v>2019</v>
      </c>
      <c r="J3573" s="62">
        <v>2</v>
      </c>
      <c r="K3573" s="62" t="s">
        <v>22</v>
      </c>
      <c r="L3573" s="62" t="s">
        <v>2</v>
      </c>
      <c r="M3573" s="62">
        <v>37.67</v>
      </c>
      <c r="N3573" s="62">
        <v>1.8835</v>
      </c>
    </row>
    <row r="3574" spans="9:14">
      <c r="I3574" s="62">
        <v>2019</v>
      </c>
      <c r="J3574" s="62">
        <v>3</v>
      </c>
      <c r="K3574" s="62" t="s">
        <v>22</v>
      </c>
      <c r="L3574" s="62" t="s">
        <v>2</v>
      </c>
      <c r="M3574" s="62">
        <v>51.3</v>
      </c>
      <c r="N3574" s="62">
        <v>2.565</v>
      </c>
    </row>
    <row r="3575" spans="9:14">
      <c r="I3575" s="62">
        <v>2019</v>
      </c>
      <c r="J3575" s="62">
        <v>4</v>
      </c>
      <c r="K3575" s="62" t="s">
        <v>22</v>
      </c>
      <c r="L3575" s="62" t="s">
        <v>2</v>
      </c>
      <c r="M3575" s="62">
        <v>70.56</v>
      </c>
      <c r="N3575" s="62">
        <v>3.528</v>
      </c>
    </row>
    <row r="3576" spans="9:14">
      <c r="I3576" s="62">
        <v>2019</v>
      </c>
      <c r="J3576" s="62">
        <v>5</v>
      </c>
      <c r="K3576" s="62" t="s">
        <v>22</v>
      </c>
      <c r="L3576" s="62" t="s">
        <v>2</v>
      </c>
      <c r="M3576" s="62">
        <v>15.31</v>
      </c>
      <c r="N3576" s="62">
        <v>0.7655000000000001</v>
      </c>
    </row>
    <row r="3577" spans="9:14">
      <c r="I3577" s="62">
        <v>2019</v>
      </c>
      <c r="J3577" s="62">
        <v>6</v>
      </c>
      <c r="K3577" s="62" t="s">
        <v>22</v>
      </c>
      <c r="L3577" s="62" t="s">
        <v>2</v>
      </c>
      <c r="M3577" s="62">
        <v>60.235</v>
      </c>
      <c r="N3577" s="62">
        <v>3.01175</v>
      </c>
    </row>
    <row r="3578" spans="9:14">
      <c r="I3578" s="62">
        <v>2019</v>
      </c>
      <c r="J3578" s="62">
        <v>7</v>
      </c>
      <c r="K3578" s="62" t="s">
        <v>22</v>
      </c>
      <c r="L3578" s="62" t="s">
        <v>2</v>
      </c>
      <c r="M3578" s="62">
        <v>63.375</v>
      </c>
      <c r="N3578" s="62">
        <v>3.16875</v>
      </c>
    </row>
    <row r="3579" spans="9:14">
      <c r="I3579" s="62">
        <v>2019</v>
      </c>
      <c r="J3579" s="62">
        <v>8</v>
      </c>
      <c r="K3579" s="62" t="s">
        <v>22</v>
      </c>
      <c r="L3579" s="62" t="s">
        <v>2</v>
      </c>
      <c r="M3579" s="62">
        <v>92.07499999999999</v>
      </c>
      <c r="N3579" s="62">
        <v>4.60375</v>
      </c>
    </row>
    <row r="3580" spans="9:14">
      <c r="I3580" s="62">
        <v>2019</v>
      </c>
      <c r="J3580" s="62">
        <v>9</v>
      </c>
      <c r="K3580" s="62" t="s">
        <v>22</v>
      </c>
      <c r="L3580" s="62" t="s">
        <v>2</v>
      </c>
      <c r="M3580" s="62">
        <v>149.667</v>
      </c>
      <c r="N3580" s="62">
        <v>7.483350000000001</v>
      </c>
    </row>
    <row r="3581" spans="9:14">
      <c r="I3581" s="62">
        <v>2019</v>
      </c>
      <c r="J3581" s="62">
        <v>10</v>
      </c>
      <c r="K3581" s="62" t="s">
        <v>22</v>
      </c>
      <c r="L3581" s="62" t="s">
        <v>2</v>
      </c>
      <c r="M3581" s="62">
        <v>261.172</v>
      </c>
      <c r="N3581" s="62">
        <v>13.0586</v>
      </c>
    </row>
    <row r="3582" spans="9:14">
      <c r="I3582" s="62">
        <v>2019</v>
      </c>
      <c r="J3582" s="62">
        <v>11</v>
      </c>
      <c r="K3582" s="62" t="s">
        <v>22</v>
      </c>
      <c r="L3582" s="62" t="s">
        <v>2</v>
      </c>
      <c r="M3582" s="62">
        <v>164.61</v>
      </c>
      <c r="N3582" s="62">
        <v>8.230500000000001</v>
      </c>
    </row>
    <row r="3583" spans="9:14">
      <c r="I3583" s="62">
        <v>2019</v>
      </c>
      <c r="J3583" s="62">
        <v>12</v>
      </c>
      <c r="K3583" s="62" t="s">
        <v>22</v>
      </c>
      <c r="L3583" s="62" t="s">
        <v>2</v>
      </c>
      <c r="M3583" s="62">
        <v>26.985</v>
      </c>
      <c r="N3583" s="62">
        <v>1.34925</v>
      </c>
    </row>
    <row r="3584" spans="9:14">
      <c r="I3584" s="62">
        <v>2020</v>
      </c>
      <c r="J3584" s="62">
        <v>1</v>
      </c>
      <c r="K3584" s="62" t="s">
        <v>22</v>
      </c>
      <c r="L3584" s="62" t="s">
        <v>2</v>
      </c>
      <c r="M3584" s="62">
        <v>24.2</v>
      </c>
      <c r="N3584" s="62">
        <v>1.21</v>
      </c>
    </row>
    <row r="3585" spans="9:14">
      <c r="I3585" s="62">
        <v>2020</v>
      </c>
      <c r="J3585" s="62">
        <v>2</v>
      </c>
      <c r="K3585" s="62" t="s">
        <v>22</v>
      </c>
      <c r="L3585" s="62" t="s">
        <v>2</v>
      </c>
      <c r="M3585" s="62">
        <v>54.13</v>
      </c>
      <c r="N3585" s="62">
        <v>2.7065</v>
      </c>
    </row>
    <row r="3586" spans="9:14">
      <c r="I3586" s="62">
        <v>2020</v>
      </c>
      <c r="J3586" s="62">
        <v>3</v>
      </c>
      <c r="K3586" s="62" t="s">
        <v>22</v>
      </c>
      <c r="L3586" s="62" t="s">
        <v>2</v>
      </c>
      <c r="M3586" s="62">
        <v>69.44499999999999</v>
      </c>
      <c r="N3586" s="62">
        <v>3.47225</v>
      </c>
    </row>
    <row r="3587" spans="9:14">
      <c r="I3587" s="62">
        <v>2020</v>
      </c>
      <c r="J3587" s="62">
        <v>4</v>
      </c>
      <c r="K3587" s="62" t="s">
        <v>22</v>
      </c>
      <c r="L3587" s="62" t="s">
        <v>2</v>
      </c>
      <c r="M3587" s="62">
        <v>90.08</v>
      </c>
      <c r="N3587" s="62">
        <v>4.504</v>
      </c>
    </row>
    <row r="3588" spans="9:14">
      <c r="I3588" s="62">
        <v>2020</v>
      </c>
      <c r="J3588" s="62">
        <v>5</v>
      </c>
      <c r="K3588" s="62" t="s">
        <v>22</v>
      </c>
      <c r="L3588" s="62" t="s">
        <v>2</v>
      </c>
      <c r="M3588" s="62">
        <v>147.23</v>
      </c>
      <c r="N3588" s="62">
        <v>7.3615</v>
      </c>
    </row>
    <row r="3589" spans="9:14">
      <c r="I3589" s="62">
        <v>2020</v>
      </c>
      <c r="J3589" s="62">
        <v>6</v>
      </c>
      <c r="K3589" s="62" t="s">
        <v>22</v>
      </c>
      <c r="L3589" s="62" t="s">
        <v>2</v>
      </c>
      <c r="M3589" s="62">
        <v>228.14</v>
      </c>
      <c r="N3589" s="62">
        <v>11.407</v>
      </c>
    </row>
    <row r="3590" spans="9:14">
      <c r="I3590" s="62">
        <v>2020</v>
      </c>
      <c r="J3590" s="62">
        <v>7</v>
      </c>
      <c r="K3590" s="62" t="s">
        <v>22</v>
      </c>
      <c r="L3590" s="62" t="s">
        <v>2</v>
      </c>
      <c r="M3590" s="62">
        <v>243.675</v>
      </c>
      <c r="N3590" s="62">
        <v>12.18375</v>
      </c>
    </row>
    <row r="3591" spans="9:14">
      <c r="I3591" s="62">
        <v>2020</v>
      </c>
      <c r="J3591" s="62">
        <v>8</v>
      </c>
      <c r="K3591" s="62" t="s">
        <v>22</v>
      </c>
      <c r="L3591" s="62" t="s">
        <v>2</v>
      </c>
      <c r="M3591" s="62">
        <v>89.31999999999999</v>
      </c>
      <c r="N3591" s="62">
        <v>4.466</v>
      </c>
    </row>
    <row r="3592" spans="9:14">
      <c r="I3592" s="62">
        <v>2020</v>
      </c>
      <c r="J3592" s="62">
        <v>9</v>
      </c>
      <c r="K3592" s="62" t="s">
        <v>22</v>
      </c>
      <c r="L3592" s="62" t="s">
        <v>2</v>
      </c>
      <c r="M3592" s="62">
        <v>62.34</v>
      </c>
      <c r="N3592" s="62">
        <v>3.117</v>
      </c>
    </row>
    <row r="3593" spans="9:14">
      <c r="I3593" s="62">
        <v>2020</v>
      </c>
      <c r="J3593" s="62">
        <v>10</v>
      </c>
      <c r="K3593" s="62" t="s">
        <v>22</v>
      </c>
      <c r="L3593" s="62" t="s">
        <v>2</v>
      </c>
      <c r="M3593" s="62">
        <v>60.18</v>
      </c>
      <c r="N3593" s="62">
        <v>3.009</v>
      </c>
    </row>
    <row r="3594" spans="9:14">
      <c r="I3594" s="62">
        <v>2020</v>
      </c>
      <c r="J3594" s="62">
        <v>11</v>
      </c>
      <c r="K3594" s="62" t="s">
        <v>22</v>
      </c>
      <c r="L3594" s="62" t="s">
        <v>2</v>
      </c>
      <c r="M3594" s="62">
        <v>50.94</v>
      </c>
      <c r="N3594" s="62">
        <v>2.547</v>
      </c>
    </row>
    <row r="3595" spans="9:14">
      <c r="I3595" s="62">
        <v>2020</v>
      </c>
      <c r="J3595" s="62">
        <v>12</v>
      </c>
      <c r="K3595" s="62" t="s">
        <v>22</v>
      </c>
      <c r="L3595" s="62" t="s">
        <v>2</v>
      </c>
      <c r="M3595" s="62">
        <v>87.15000000000001</v>
      </c>
      <c r="N3595" s="62">
        <v>4.3575</v>
      </c>
    </row>
    <row r="3596" spans="9:14">
      <c r="I3596" s="62">
        <v>2021</v>
      </c>
      <c r="J3596" s="62">
        <v>1</v>
      </c>
      <c r="K3596" s="62" t="s">
        <v>22</v>
      </c>
      <c r="L3596" s="62" t="s">
        <v>2</v>
      </c>
      <c r="M3596" s="62">
        <v>105.6</v>
      </c>
      <c r="N3596" s="62">
        <v>5.28</v>
      </c>
    </row>
    <row r="3597" spans="9:14">
      <c r="I3597" s="62">
        <v>2021</v>
      </c>
      <c r="J3597" s="62">
        <v>2</v>
      </c>
      <c r="K3597" s="62" t="s">
        <v>22</v>
      </c>
      <c r="L3597" s="62" t="s">
        <v>2</v>
      </c>
      <c r="M3597" s="62">
        <v>102.5</v>
      </c>
      <c r="N3597" s="62">
        <v>5.125</v>
      </c>
    </row>
    <row r="3598" spans="9:14">
      <c r="I3598" s="62">
        <v>2021</v>
      </c>
      <c r="J3598" s="62">
        <v>3</v>
      </c>
      <c r="K3598" s="62" t="s">
        <v>22</v>
      </c>
      <c r="L3598" s="62" t="s">
        <v>2</v>
      </c>
      <c r="M3598" s="62">
        <v>133.158</v>
      </c>
      <c r="N3598" s="62">
        <v>6.6579</v>
      </c>
    </row>
    <row r="3599" spans="9:14">
      <c r="I3599" s="62">
        <v>2021</v>
      </c>
      <c r="J3599" s="62">
        <v>4</v>
      </c>
      <c r="K3599" s="62" t="s">
        <v>22</v>
      </c>
      <c r="L3599" s="62" t="s">
        <v>2</v>
      </c>
      <c r="M3599" s="62">
        <v>112.925</v>
      </c>
      <c r="N3599" s="62">
        <v>5.64625</v>
      </c>
    </row>
    <row r="3600" spans="9:14">
      <c r="I3600" s="62">
        <v>2021</v>
      </c>
      <c r="J3600" s="62">
        <v>5</v>
      </c>
      <c r="K3600" s="62" t="s">
        <v>22</v>
      </c>
      <c r="L3600" s="62" t="s">
        <v>2</v>
      </c>
      <c r="M3600" s="62">
        <v>120.368</v>
      </c>
      <c r="N3600" s="62">
        <v>6.0184</v>
      </c>
    </row>
    <row r="3601" spans="9:14">
      <c r="I3601" s="62">
        <v>2021</v>
      </c>
      <c r="J3601" s="62">
        <v>6</v>
      </c>
      <c r="K3601" s="62" t="s">
        <v>22</v>
      </c>
      <c r="L3601" s="62" t="s">
        <v>2</v>
      </c>
      <c r="M3601" s="62">
        <v>87.84999999999999</v>
      </c>
      <c r="N3601" s="62">
        <v>4.3925</v>
      </c>
    </row>
    <row r="3602" spans="9:14">
      <c r="I3602" s="62">
        <v>2021</v>
      </c>
      <c r="J3602" s="62">
        <v>7</v>
      </c>
      <c r="K3602" s="62" t="s">
        <v>22</v>
      </c>
      <c r="L3602" s="62" t="s">
        <v>2</v>
      </c>
      <c r="M3602" s="62">
        <v>112.84</v>
      </c>
      <c r="N3602" s="62">
        <v>5.642</v>
      </c>
    </row>
    <row r="3603" spans="9:14">
      <c r="I3603" s="62">
        <v>2021</v>
      </c>
      <c r="J3603" s="62">
        <v>8</v>
      </c>
      <c r="K3603" s="62" t="s">
        <v>22</v>
      </c>
      <c r="L3603" s="62" t="s">
        <v>2</v>
      </c>
      <c r="M3603" s="62">
        <v>110.76</v>
      </c>
      <c r="N3603" s="62">
        <v>5.538</v>
      </c>
    </row>
    <row r="3604" spans="9:14">
      <c r="I3604" s="62">
        <v>2021</v>
      </c>
      <c r="J3604" s="62">
        <v>9</v>
      </c>
      <c r="K3604" s="62" t="s">
        <v>22</v>
      </c>
      <c r="L3604" s="62" t="s">
        <v>2</v>
      </c>
      <c r="M3604" s="62">
        <v>105.1</v>
      </c>
      <c r="N3604" s="62">
        <v>5.255</v>
      </c>
    </row>
    <row r="3605" spans="9:14">
      <c r="I3605" s="62">
        <v>2021</v>
      </c>
      <c r="J3605" s="62">
        <v>10</v>
      </c>
      <c r="K3605" s="62" t="s">
        <v>22</v>
      </c>
      <c r="L3605" s="62" t="s">
        <v>2</v>
      </c>
      <c r="M3605" s="62">
        <v>116.74</v>
      </c>
      <c r="N3605" s="62">
        <v>5.837000000000001</v>
      </c>
    </row>
    <row r="3606" spans="9:14">
      <c r="I3606" s="62">
        <v>2021</v>
      </c>
      <c r="J3606" s="62">
        <v>11</v>
      </c>
      <c r="K3606" s="62" t="s">
        <v>22</v>
      </c>
      <c r="L3606" s="62" t="s">
        <v>2</v>
      </c>
      <c r="M3606" s="62">
        <v>29.99</v>
      </c>
      <c r="N3606" s="62">
        <v>1.4995</v>
      </c>
    </row>
    <row r="3607" spans="9:14">
      <c r="I3607" s="62">
        <v>2022</v>
      </c>
      <c r="J3607" s="62">
        <v>1</v>
      </c>
      <c r="K3607" s="62" t="s">
        <v>22</v>
      </c>
      <c r="L3607" s="62" t="s">
        <v>2</v>
      </c>
      <c r="M3607" s="62">
        <v>38.87</v>
      </c>
      <c r="N3607" s="62">
        <v>1.9435</v>
      </c>
    </row>
    <row r="3608" spans="9:14">
      <c r="I3608" s="62">
        <v>2022</v>
      </c>
      <c r="J3608" s="62">
        <v>2</v>
      </c>
      <c r="K3608" s="62" t="s">
        <v>22</v>
      </c>
      <c r="L3608" s="62" t="s">
        <v>2</v>
      </c>
      <c r="M3608" s="62">
        <v>160.57</v>
      </c>
      <c r="N3608" s="62">
        <v>8.028500000000001</v>
      </c>
    </row>
    <row r="3609" spans="9:14">
      <c r="I3609" s="62">
        <v>2022</v>
      </c>
      <c r="J3609" s="62">
        <v>3</v>
      </c>
      <c r="K3609" s="62" t="s">
        <v>22</v>
      </c>
      <c r="L3609" s="62" t="s">
        <v>2</v>
      </c>
      <c r="M3609" s="62">
        <v>0.825</v>
      </c>
      <c r="N3609" s="62">
        <v>0.04125</v>
      </c>
    </row>
    <row r="3610" spans="9:14">
      <c r="I3610" s="62">
        <v>2022</v>
      </c>
      <c r="J3610" s="62">
        <v>4</v>
      </c>
      <c r="K3610" s="62" t="s">
        <v>22</v>
      </c>
      <c r="L3610" s="62" t="s">
        <v>2</v>
      </c>
      <c r="M3610" s="62">
        <v>95</v>
      </c>
      <c r="N3610" s="62">
        <v>4.75</v>
      </c>
    </row>
    <row r="3611" spans="9:14">
      <c r="I3611" s="62">
        <v>2022</v>
      </c>
      <c r="J3611" s="62">
        <v>5</v>
      </c>
      <c r="K3611" s="62" t="s">
        <v>22</v>
      </c>
      <c r="L3611" s="62" t="s">
        <v>2</v>
      </c>
      <c r="M3611" s="62">
        <v>63.8</v>
      </c>
      <c r="N3611" s="62">
        <v>3.19</v>
      </c>
    </row>
    <row r="3612" spans="9:14">
      <c r="I3612" s="62">
        <v>2022</v>
      </c>
      <c r="J3612" s="62">
        <v>6</v>
      </c>
      <c r="K3612" s="62" t="s">
        <v>22</v>
      </c>
      <c r="L3612" s="62" t="s">
        <v>2</v>
      </c>
      <c r="M3612" s="62">
        <v>46.26000000000001</v>
      </c>
      <c r="N3612" s="62">
        <v>2.313000000000001</v>
      </c>
    </row>
    <row r="3613" spans="9:14">
      <c r="I3613" s="62">
        <v>2022</v>
      </c>
      <c r="J3613" s="62">
        <v>7</v>
      </c>
      <c r="K3613" s="62" t="s">
        <v>22</v>
      </c>
      <c r="L3613" s="62" t="s">
        <v>2</v>
      </c>
      <c r="M3613" s="62">
        <v>69.90000000000001</v>
      </c>
      <c r="N3613" s="62">
        <v>3.495</v>
      </c>
    </row>
    <row r="3614" spans="9:14">
      <c r="I3614" s="62">
        <v>2022</v>
      </c>
      <c r="J3614" s="62">
        <v>8</v>
      </c>
      <c r="K3614" s="62" t="s">
        <v>22</v>
      </c>
      <c r="L3614" s="62" t="s">
        <v>2</v>
      </c>
      <c r="M3614" s="62">
        <v>35.25</v>
      </c>
      <c r="N3614" s="62">
        <v>1.7625</v>
      </c>
    </row>
    <row r="3615" spans="9:14">
      <c r="I3615" s="62">
        <v>2022</v>
      </c>
      <c r="J3615" s="62">
        <v>9</v>
      </c>
      <c r="K3615" s="62" t="s">
        <v>22</v>
      </c>
      <c r="L3615" s="62" t="s">
        <v>2</v>
      </c>
      <c r="M3615" s="62">
        <v>53.85</v>
      </c>
      <c r="N3615" s="62">
        <v>2.6925</v>
      </c>
    </row>
    <row r="3616" spans="9:14">
      <c r="I3616" s="62">
        <v>2022</v>
      </c>
      <c r="J3616" s="62">
        <v>10</v>
      </c>
      <c r="K3616" s="62" t="s">
        <v>22</v>
      </c>
      <c r="L3616" s="62" t="s">
        <v>2</v>
      </c>
      <c r="M3616" s="62">
        <v>43.55</v>
      </c>
      <c r="N3616" s="62">
        <v>2.1775</v>
      </c>
    </row>
    <row r="3617" spans="9:14">
      <c r="I3617" s="62">
        <v>2023</v>
      </c>
      <c r="J3617" s="62">
        <v>1</v>
      </c>
      <c r="K3617" s="62" t="s">
        <v>22</v>
      </c>
      <c r="L3617" s="62" t="s">
        <v>2</v>
      </c>
      <c r="M3617" s="62">
        <v>89.33</v>
      </c>
      <c r="N3617" s="62">
        <v>4.4665</v>
      </c>
    </row>
    <row r="3618" spans="9:14">
      <c r="I3618" s="62">
        <v>2023</v>
      </c>
      <c r="J3618" s="62">
        <v>2</v>
      </c>
      <c r="K3618" s="62" t="s">
        <v>22</v>
      </c>
      <c r="L3618" s="62" t="s">
        <v>2</v>
      </c>
      <c r="M3618" s="62">
        <v>137.325</v>
      </c>
      <c r="N3618" s="62">
        <v>6.86625</v>
      </c>
    </row>
    <row r="3619" spans="9:14">
      <c r="I3619" s="62">
        <v>2023</v>
      </c>
      <c r="J3619" s="62">
        <v>3</v>
      </c>
      <c r="K3619" s="62" t="s">
        <v>22</v>
      </c>
      <c r="L3619" s="62" t="s">
        <v>2</v>
      </c>
      <c r="M3619" s="62">
        <v>90.72799999999999</v>
      </c>
      <c r="N3619" s="62">
        <v>4.5364</v>
      </c>
    </row>
    <row r="3620" spans="9:14">
      <c r="I3620" s="62">
        <v>2023</v>
      </c>
      <c r="J3620" s="62">
        <v>4</v>
      </c>
      <c r="K3620" s="62" t="s">
        <v>22</v>
      </c>
      <c r="L3620" s="62" t="s">
        <v>2</v>
      </c>
      <c r="M3620" s="62">
        <v>170.161</v>
      </c>
      <c r="N3620" s="62">
        <v>8.508050000000001</v>
      </c>
    </row>
    <row r="3621" spans="9:14">
      <c r="I3621" s="62">
        <v>2023</v>
      </c>
      <c r="J3621" s="62">
        <v>5</v>
      </c>
      <c r="K3621" s="62" t="s">
        <v>22</v>
      </c>
      <c r="L3621" s="62" t="s">
        <v>2</v>
      </c>
      <c r="M3621" s="62">
        <v>88.764</v>
      </c>
      <c r="N3621" s="62">
        <v>4.4382</v>
      </c>
    </row>
    <row r="3622" spans="9:14">
      <c r="I3622" s="62">
        <v>2023</v>
      </c>
      <c r="J3622" s="62">
        <v>6</v>
      </c>
      <c r="K3622" s="62" t="s">
        <v>22</v>
      </c>
      <c r="L3622" s="62" t="s">
        <v>2</v>
      </c>
      <c r="M3622" s="62">
        <v>1.295</v>
      </c>
      <c r="N3622" s="62">
        <v>0.06475</v>
      </c>
    </row>
    <row r="3623" spans="9:14">
      <c r="I3623" s="62">
        <v>2023</v>
      </c>
      <c r="J3623" s="62">
        <v>9</v>
      </c>
      <c r="K3623" s="62" t="s">
        <v>22</v>
      </c>
      <c r="L3623" s="62" t="s">
        <v>2</v>
      </c>
      <c r="M3623" s="62">
        <v>41.2</v>
      </c>
      <c r="N3623" s="62">
        <v>2.06</v>
      </c>
    </row>
    <row r="3624" spans="9:14">
      <c r="I3624" s="62">
        <v>2023</v>
      </c>
      <c r="J3624" s="62">
        <v>10</v>
      </c>
      <c r="K3624" s="62" t="s">
        <v>22</v>
      </c>
      <c r="L3624" s="62" t="s">
        <v>2</v>
      </c>
      <c r="M3624" s="62">
        <v>66.96000000000001</v>
      </c>
      <c r="N3624" s="62">
        <v>3.348</v>
      </c>
    </row>
    <row r="3625" spans="9:14">
      <c r="I3625" s="62">
        <v>2023</v>
      </c>
      <c r="J3625" s="62">
        <v>11</v>
      </c>
      <c r="K3625" s="62" t="s">
        <v>22</v>
      </c>
      <c r="L3625" s="62" t="s">
        <v>2</v>
      </c>
      <c r="M3625" s="62">
        <v>12</v>
      </c>
      <c r="N3625" s="62">
        <v>0.6000000000000001</v>
      </c>
    </row>
    <row r="3626" spans="9:14">
      <c r="I3626" s="62">
        <v>2024</v>
      </c>
      <c r="J3626" s="62">
        <v>1</v>
      </c>
      <c r="K3626" s="62" t="s">
        <v>22</v>
      </c>
      <c r="L3626" s="62" t="s">
        <v>2</v>
      </c>
      <c r="M3626" s="62">
        <v>31.35</v>
      </c>
      <c r="N3626" s="62">
        <v>1.5675</v>
      </c>
    </row>
    <row r="3627" spans="9:14">
      <c r="I3627" s="62">
        <v>2024</v>
      </c>
      <c r="J3627" s="62">
        <v>2</v>
      </c>
      <c r="K3627" s="62" t="s">
        <v>22</v>
      </c>
      <c r="L3627" s="62" t="s">
        <v>2</v>
      </c>
      <c r="M3627" s="62">
        <v>140.405</v>
      </c>
      <c r="N3627" s="62">
        <v>7.020250000000001</v>
      </c>
    </row>
    <row r="3628" spans="9:14">
      <c r="I3628" s="62">
        <v>2024</v>
      </c>
      <c r="J3628" s="62">
        <v>3</v>
      </c>
      <c r="K3628" s="62" t="s">
        <v>22</v>
      </c>
      <c r="L3628" s="62" t="s">
        <v>2</v>
      </c>
      <c r="M3628" s="62">
        <v>106.431</v>
      </c>
      <c r="N3628" s="62">
        <v>5.32155</v>
      </c>
    </row>
    <row r="3629" spans="9:14">
      <c r="I3629" s="62">
        <v>2024</v>
      </c>
      <c r="J3629" s="62">
        <v>4</v>
      </c>
      <c r="K3629" s="62" t="s">
        <v>22</v>
      </c>
      <c r="L3629" s="62" t="s">
        <v>2</v>
      </c>
      <c r="M3629" s="62">
        <v>45.923</v>
      </c>
      <c r="N3629" s="62">
        <v>2.29615</v>
      </c>
    </row>
    <row r="3630" spans="9:14">
      <c r="I3630" s="62">
        <v>2024</v>
      </c>
      <c r="J3630" s="62">
        <v>5</v>
      </c>
      <c r="K3630" s="62" t="s">
        <v>22</v>
      </c>
      <c r="L3630" s="62" t="s">
        <v>2</v>
      </c>
      <c r="M3630" s="62">
        <v>83.94</v>
      </c>
      <c r="N3630" s="62">
        <v>4.197</v>
      </c>
    </row>
    <row r="3631" spans="9:14">
      <c r="I3631" s="62">
        <v>2024</v>
      </c>
      <c r="J3631" s="62">
        <v>6</v>
      </c>
      <c r="K3631" s="62" t="s">
        <v>22</v>
      </c>
      <c r="L3631" s="62" t="s">
        <v>2</v>
      </c>
      <c r="M3631" s="62">
        <v>36.2</v>
      </c>
      <c r="N3631" s="62">
        <v>1.81</v>
      </c>
    </row>
    <row r="3632" spans="9:14">
      <c r="I3632" s="62">
        <v>2024</v>
      </c>
      <c r="J3632" s="62">
        <v>7</v>
      </c>
      <c r="K3632" s="62" t="s">
        <v>22</v>
      </c>
      <c r="L3632" s="62" t="s">
        <v>2</v>
      </c>
      <c r="M3632" s="62">
        <v>5.365</v>
      </c>
      <c r="N3632" s="62">
        <v>0.26825</v>
      </c>
    </row>
    <row r="3633" spans="9:14">
      <c r="I3633" s="62">
        <v>2024</v>
      </c>
      <c r="J3633" s="62">
        <v>9</v>
      </c>
      <c r="K3633" s="62" t="s">
        <v>22</v>
      </c>
      <c r="L3633" s="62" t="s">
        <v>2</v>
      </c>
      <c r="M3633" s="62">
        <v>79.34</v>
      </c>
      <c r="N3633" s="62">
        <v>3.967000000000001</v>
      </c>
    </row>
    <row r="3634" spans="9:14">
      <c r="I3634" s="62">
        <v>2024</v>
      </c>
      <c r="J3634" s="62">
        <v>10</v>
      </c>
      <c r="K3634" s="62" t="s">
        <v>22</v>
      </c>
      <c r="L3634" s="62" t="s">
        <v>2</v>
      </c>
      <c r="M3634" s="62">
        <v>103.74</v>
      </c>
      <c r="N3634" s="62">
        <v>5.187</v>
      </c>
    </row>
    <row r="3635" spans="9:14">
      <c r="I3635" s="62">
        <v>2024</v>
      </c>
      <c r="J3635" s="62">
        <v>11</v>
      </c>
      <c r="K3635" s="62" t="s">
        <v>22</v>
      </c>
      <c r="L3635" s="62" t="s">
        <v>2</v>
      </c>
      <c r="M3635" s="62">
        <v>19.8</v>
      </c>
      <c r="N3635" s="62">
        <v>0.9900000000000001</v>
      </c>
    </row>
    <row r="3636" spans="9:14">
      <c r="I3636" s="62">
        <v>2025</v>
      </c>
      <c r="J3636" s="62">
        <v>1</v>
      </c>
      <c r="K3636" s="62" t="s">
        <v>22</v>
      </c>
      <c r="L3636" s="62" t="s">
        <v>2</v>
      </c>
      <c r="M3636" s="62">
        <v>28.8</v>
      </c>
      <c r="N3636" s="62">
        <v>1.44</v>
      </c>
    </row>
    <row r="3637" spans="9:14">
      <c r="I3637" s="62">
        <v>2025</v>
      </c>
      <c r="J3637" s="62">
        <v>2</v>
      </c>
      <c r="K3637" s="62" t="s">
        <v>22</v>
      </c>
      <c r="L3637" s="62" t="s">
        <v>2</v>
      </c>
      <c r="M3637" s="62">
        <v>41.7</v>
      </c>
      <c r="N3637" s="62">
        <v>2.085</v>
      </c>
    </row>
    <row r="3638" spans="9:14">
      <c r="I3638" s="62">
        <v>2025</v>
      </c>
      <c r="J3638" s="62">
        <v>3</v>
      </c>
      <c r="K3638" s="62" t="s">
        <v>22</v>
      </c>
      <c r="L3638" s="62" t="s">
        <v>2</v>
      </c>
      <c r="M3638" s="62">
        <v>9.669</v>
      </c>
      <c r="N3638" s="62">
        <v>0.48345</v>
      </c>
    </row>
    <row r="3639" spans="9:14">
      <c r="I3639" s="62">
        <v>2025</v>
      </c>
      <c r="J3639" s="62">
        <v>4</v>
      </c>
      <c r="K3639" s="62" t="s">
        <v>22</v>
      </c>
      <c r="L3639" s="62" t="s">
        <v>2</v>
      </c>
      <c r="M3639" s="62">
        <v>64.31</v>
      </c>
      <c r="N3639" s="62">
        <v>3.2155</v>
      </c>
    </row>
    <row r="3640" spans="9:14">
      <c r="I3640" s="62">
        <v>2025</v>
      </c>
      <c r="J3640" s="62">
        <v>5</v>
      </c>
      <c r="K3640" s="62" t="s">
        <v>22</v>
      </c>
      <c r="L3640" s="62" t="s">
        <v>2</v>
      </c>
      <c r="M3640" s="62">
        <v>45.6</v>
      </c>
      <c r="N3640" s="62">
        <v>2.28</v>
      </c>
    </row>
    <row r="3641" spans="9:14">
      <c r="I3641" s="62">
        <v>2025</v>
      </c>
      <c r="J3641" s="62">
        <v>6</v>
      </c>
      <c r="K3641" s="62" t="s">
        <v>22</v>
      </c>
      <c r="L3641" s="62" t="s">
        <v>2</v>
      </c>
      <c r="M3641" s="62">
        <v>20.811</v>
      </c>
      <c r="N3641" s="62">
        <v>1.04055</v>
      </c>
    </row>
    <row r="3642" spans="9:14">
      <c r="I3642" s="62">
        <v>2025</v>
      </c>
      <c r="J3642" s="62">
        <v>8</v>
      </c>
      <c r="K3642" s="62" t="s">
        <v>22</v>
      </c>
      <c r="L3642" s="62" t="s">
        <v>2</v>
      </c>
      <c r="M3642" s="62">
        <v>27.5</v>
      </c>
      <c r="N3642" s="62">
        <v>1.375</v>
      </c>
    </row>
    <row r="3643" spans="9:14">
      <c r="I3643" s="62">
        <v>2025</v>
      </c>
      <c r="J3643" s="62">
        <v>9</v>
      </c>
      <c r="K3643" s="62" t="s">
        <v>22</v>
      </c>
      <c r="L3643" s="62" t="s">
        <v>2</v>
      </c>
      <c r="M3643" s="62">
        <v>13.11</v>
      </c>
      <c r="N3643" s="62">
        <v>0.6555</v>
      </c>
    </row>
    <row r="3644" spans="9:14">
      <c r="I3644" s="62">
        <v>2025</v>
      </c>
      <c r="J3644" s="62">
        <v>10</v>
      </c>
      <c r="K3644" s="62" t="s">
        <v>22</v>
      </c>
      <c r="L3644" s="62" t="s">
        <v>2</v>
      </c>
      <c r="M3644" s="62">
        <v>128.28</v>
      </c>
      <c r="N3644" s="62">
        <v>6.414000000000001</v>
      </c>
    </row>
    <row r="3645" spans="9:14">
      <c r="I3645" s="62">
        <v>2025</v>
      </c>
      <c r="J3645" s="62">
        <v>11</v>
      </c>
      <c r="K3645" s="62" t="s">
        <v>22</v>
      </c>
      <c r="L3645" s="62" t="s">
        <v>2</v>
      </c>
      <c r="M3645" s="62">
        <v>57.21</v>
      </c>
      <c r="N3645" s="62">
        <v>2.8605</v>
      </c>
    </row>
    <row r="3646" spans="9:14">
      <c r="I3646" s="62">
        <v>2025</v>
      </c>
      <c r="J3646" s="62">
        <v>12</v>
      </c>
      <c r="K3646" s="62" t="s">
        <v>22</v>
      </c>
      <c r="L3646" s="62" t="s">
        <v>2</v>
      </c>
      <c r="M3646" s="62">
        <v>3.84</v>
      </c>
      <c r="N3646" s="62">
        <v>0.192</v>
      </c>
    </row>
    <row r="3647" spans="9:14">
      <c r="I3647" s="62">
        <v>2026</v>
      </c>
      <c r="J3647" s="62">
        <v>1</v>
      </c>
      <c r="K3647" s="62" t="s">
        <v>22</v>
      </c>
      <c r="L3647" s="62" t="s">
        <v>2</v>
      </c>
      <c r="M3647" s="62">
        <v>44.38</v>
      </c>
      <c r="N3647" s="62">
        <v>2.219</v>
      </c>
    </row>
    <row r="3648" spans="9:14">
      <c r="I3648" s="62">
        <v>2026</v>
      </c>
      <c r="J3648" s="62">
        <v>2</v>
      </c>
      <c r="K3648" s="62" t="s">
        <v>22</v>
      </c>
      <c r="L3648" s="62" t="s">
        <v>2</v>
      </c>
      <c r="M3648" s="62">
        <v>49.32</v>
      </c>
      <c r="N3648" s="62">
        <v>2.466</v>
      </c>
    </row>
    <row r="3649" spans="9:14">
      <c r="I3649" s="62">
        <v>2026</v>
      </c>
      <c r="J3649" s="62">
        <v>3</v>
      </c>
      <c r="K3649" s="62" t="s">
        <v>22</v>
      </c>
      <c r="L3649" s="62" t="s">
        <v>2</v>
      </c>
      <c r="M3649" s="62">
        <v>81.245</v>
      </c>
      <c r="N3649" s="62">
        <v>4.06225</v>
      </c>
    </row>
    <row r="3650" spans="9:14">
      <c r="I3650" s="62">
        <v>2026</v>
      </c>
      <c r="J3650" s="62">
        <v>4</v>
      </c>
      <c r="K3650" s="62" t="s">
        <v>22</v>
      </c>
      <c r="L3650" s="62" t="s">
        <v>2</v>
      </c>
      <c r="M3650" s="62">
        <v>106.25</v>
      </c>
      <c r="N3650" s="62">
        <v>5.3125</v>
      </c>
    </row>
    <row r="3651" spans="9:14">
      <c r="I3651" s="62">
        <v>2026</v>
      </c>
      <c r="J3651" s="62">
        <v>5</v>
      </c>
      <c r="K3651" s="62" t="s">
        <v>22</v>
      </c>
      <c r="L3651" s="62" t="s">
        <v>2</v>
      </c>
      <c r="M3651" s="62">
        <v>59.05</v>
      </c>
      <c r="N3651" s="62">
        <v>2.9525</v>
      </c>
    </row>
    <row r="3652" spans="9:14">
      <c r="I3652" s="62">
        <v>2026</v>
      </c>
      <c r="J3652" s="62">
        <v>6</v>
      </c>
      <c r="K3652" s="62" t="s">
        <v>22</v>
      </c>
      <c r="L3652" s="62" t="s">
        <v>2</v>
      </c>
      <c r="M3652" s="62">
        <v>6.5</v>
      </c>
      <c r="N3652" s="62">
        <v>0.325</v>
      </c>
    </row>
    <row r="3653" spans="9:14">
      <c r="I3653" s="62">
        <v>2026</v>
      </c>
      <c r="J3653" s="62">
        <v>7</v>
      </c>
      <c r="K3653" s="62" t="s">
        <v>22</v>
      </c>
      <c r="L3653" s="62" t="s">
        <v>2</v>
      </c>
      <c r="M3653" s="62">
        <v>6.24</v>
      </c>
      <c r="N3653" s="62">
        <v>0.3120000000000001</v>
      </c>
    </row>
    <row r="3654" spans="9:14">
      <c r="I3654" s="62">
        <v>2026</v>
      </c>
      <c r="J3654" s="62">
        <v>8</v>
      </c>
      <c r="K3654" s="62" t="s">
        <v>22</v>
      </c>
      <c r="L3654" s="62" t="s">
        <v>2</v>
      </c>
      <c r="M3654" s="62">
        <v>58.86</v>
      </c>
      <c r="N3654" s="62">
        <v>2.943</v>
      </c>
    </row>
    <row r="3655" spans="9:14">
      <c r="I3655" s="62">
        <v>2026</v>
      </c>
      <c r="J3655" s="62">
        <v>9</v>
      </c>
      <c r="K3655" s="62" t="s">
        <v>22</v>
      </c>
      <c r="L3655" s="62" t="s">
        <v>2</v>
      </c>
      <c r="M3655" s="62">
        <v>149.15</v>
      </c>
      <c r="N3655" s="62">
        <v>7.4575</v>
      </c>
    </row>
    <row r="3656" spans="9:14">
      <c r="I3656" s="62">
        <v>2026</v>
      </c>
      <c r="J3656" s="62">
        <v>10</v>
      </c>
      <c r="K3656" s="62" t="s">
        <v>22</v>
      </c>
      <c r="L3656" s="62" t="s">
        <v>2</v>
      </c>
      <c r="M3656" s="62">
        <v>73.97999999999999</v>
      </c>
      <c r="N3656" s="62">
        <v>3.699</v>
      </c>
    </row>
    <row r="3657" spans="9:14">
      <c r="I3657" s="62">
        <v>2026</v>
      </c>
      <c r="J3657" s="62">
        <v>11</v>
      </c>
      <c r="K3657" s="62" t="s">
        <v>22</v>
      </c>
      <c r="L3657" s="62" t="s">
        <v>2</v>
      </c>
      <c r="M3657" s="62">
        <v>17.296</v>
      </c>
      <c r="N3657" s="62">
        <v>0.8648</v>
      </c>
    </row>
    <row r="3658" spans="9:14">
      <c r="I3658" s="62">
        <v>2027</v>
      </c>
      <c r="J3658" s="62">
        <v>1</v>
      </c>
      <c r="K3658" s="62" t="s">
        <v>22</v>
      </c>
      <c r="L3658" s="62" t="s">
        <v>2</v>
      </c>
      <c r="M3658" s="62">
        <v>62.91</v>
      </c>
      <c r="N3658" s="62">
        <v>3.1455</v>
      </c>
    </row>
    <row r="3659" spans="9:14">
      <c r="I3659" s="62">
        <v>2027</v>
      </c>
      <c r="J3659" s="62">
        <v>2</v>
      </c>
      <c r="K3659" s="62" t="s">
        <v>22</v>
      </c>
      <c r="L3659" s="62" t="s">
        <v>2</v>
      </c>
      <c r="M3659" s="62">
        <v>97.47</v>
      </c>
      <c r="N3659" s="62">
        <v>4.8735</v>
      </c>
    </row>
    <row r="3660" spans="9:14">
      <c r="I3660" s="62">
        <v>2027</v>
      </c>
      <c r="J3660" s="62">
        <v>3</v>
      </c>
      <c r="K3660" s="62" t="s">
        <v>22</v>
      </c>
      <c r="L3660" s="62" t="s">
        <v>2</v>
      </c>
      <c r="M3660" s="62">
        <v>75.53</v>
      </c>
      <c r="N3660" s="62">
        <v>3.7765</v>
      </c>
    </row>
    <row r="3661" spans="9:14">
      <c r="I3661" s="62">
        <v>2027</v>
      </c>
      <c r="J3661" s="62">
        <v>4</v>
      </c>
      <c r="K3661" s="62" t="s">
        <v>22</v>
      </c>
      <c r="L3661" s="62" t="s">
        <v>2</v>
      </c>
      <c r="M3661" s="62">
        <v>39.15</v>
      </c>
      <c r="N3661" s="62">
        <v>1.9575</v>
      </c>
    </row>
    <row r="3662" spans="9:14">
      <c r="I3662" s="62">
        <v>2027</v>
      </c>
      <c r="J3662" s="62">
        <v>9</v>
      </c>
      <c r="K3662" s="62" t="s">
        <v>22</v>
      </c>
      <c r="L3662" s="62" t="s">
        <v>2</v>
      </c>
      <c r="M3662" s="62">
        <v>104.88</v>
      </c>
      <c r="N3662" s="62">
        <v>5.244</v>
      </c>
    </row>
    <row r="3663" spans="9:14">
      <c r="I3663" s="62">
        <v>2027</v>
      </c>
      <c r="J3663" s="62">
        <v>10</v>
      </c>
      <c r="K3663" s="62" t="s">
        <v>22</v>
      </c>
      <c r="L3663" s="62" t="s">
        <v>2</v>
      </c>
      <c r="M3663" s="62">
        <v>63.94</v>
      </c>
      <c r="N3663" s="62">
        <v>3.197</v>
      </c>
    </row>
    <row r="3664" spans="9:14">
      <c r="I3664" s="62">
        <v>2027</v>
      </c>
      <c r="J3664" s="62">
        <v>11</v>
      </c>
      <c r="K3664" s="62" t="s">
        <v>22</v>
      </c>
      <c r="L3664" s="62" t="s">
        <v>2</v>
      </c>
      <c r="M3664" s="62">
        <v>17.653</v>
      </c>
      <c r="N3664" s="62">
        <v>0.88265</v>
      </c>
    </row>
    <row r="3665" spans="9:14">
      <c r="I3665" s="62">
        <v>2014</v>
      </c>
      <c r="J3665" s="62">
        <v>1</v>
      </c>
      <c r="K3665" s="62" t="s">
        <v>22</v>
      </c>
      <c r="L3665" s="62" t="s">
        <v>3</v>
      </c>
      <c r="M3665" s="62">
        <v>43.379</v>
      </c>
      <c r="N3665" s="62">
        <v>2.16895</v>
      </c>
    </row>
    <row r="3666" spans="9:14">
      <c r="I3666" s="62">
        <v>2014</v>
      </c>
      <c r="J3666" s="62">
        <v>2</v>
      </c>
      <c r="K3666" s="62" t="s">
        <v>22</v>
      </c>
      <c r="L3666" s="62" t="s">
        <v>3</v>
      </c>
      <c r="M3666" s="62">
        <v>30.073</v>
      </c>
      <c r="N3666" s="62">
        <v>1.50365</v>
      </c>
    </row>
    <row r="3667" spans="9:14">
      <c r="I3667" s="62">
        <v>2014</v>
      </c>
      <c r="J3667" s="62">
        <v>4</v>
      </c>
      <c r="K3667" s="62" t="s">
        <v>22</v>
      </c>
      <c r="L3667" s="62" t="s">
        <v>3</v>
      </c>
      <c r="M3667" s="62">
        <v>12.6224</v>
      </c>
      <c r="N3667" s="62">
        <v>0.6311200000000001</v>
      </c>
    </row>
    <row r="3668" spans="9:14">
      <c r="I3668" s="62">
        <v>2014</v>
      </c>
      <c r="J3668" s="62">
        <v>5</v>
      </c>
      <c r="K3668" s="62" t="s">
        <v>22</v>
      </c>
      <c r="L3668" s="62" t="s">
        <v>3</v>
      </c>
      <c r="M3668" s="62">
        <v>9.184799999999999</v>
      </c>
      <c r="N3668" s="62">
        <v>0.45924</v>
      </c>
    </row>
    <row r="3669" spans="9:14">
      <c r="I3669" s="62">
        <v>2014</v>
      </c>
      <c r="J3669" s="62">
        <v>6</v>
      </c>
      <c r="K3669" s="62" t="s">
        <v>22</v>
      </c>
      <c r="L3669" s="62" t="s">
        <v>3</v>
      </c>
      <c r="M3669" s="62">
        <v>2.1</v>
      </c>
      <c r="N3669" s="62">
        <v>0.105</v>
      </c>
    </row>
    <row r="3670" spans="9:14">
      <c r="I3670" s="62">
        <v>2014</v>
      </c>
      <c r="J3670" s="62">
        <v>7</v>
      </c>
      <c r="K3670" s="62" t="s">
        <v>22</v>
      </c>
      <c r="L3670" s="62" t="s">
        <v>3</v>
      </c>
      <c r="M3670" s="62">
        <v>69.75</v>
      </c>
      <c r="N3670" s="62">
        <v>3.4875</v>
      </c>
    </row>
    <row r="3671" spans="9:14">
      <c r="I3671" s="62">
        <v>2014</v>
      </c>
      <c r="J3671" s="62">
        <v>8</v>
      </c>
      <c r="K3671" s="62" t="s">
        <v>22</v>
      </c>
      <c r="L3671" s="62" t="s">
        <v>3</v>
      </c>
      <c r="M3671" s="62">
        <v>22.34</v>
      </c>
      <c r="N3671" s="62">
        <v>1.117</v>
      </c>
    </row>
    <row r="3672" spans="9:14">
      <c r="I3672" s="62">
        <v>2014</v>
      </c>
      <c r="J3672" s="62">
        <v>9</v>
      </c>
      <c r="K3672" s="62" t="s">
        <v>22</v>
      </c>
      <c r="L3672" s="62" t="s">
        <v>3</v>
      </c>
      <c r="M3672" s="62">
        <v>1.8</v>
      </c>
      <c r="N3672" s="62">
        <v>0.09000000000000001</v>
      </c>
    </row>
    <row r="3673" spans="9:14">
      <c r="I3673" s="62">
        <v>2014</v>
      </c>
      <c r="J3673" s="62">
        <v>10</v>
      </c>
      <c r="K3673" s="62" t="s">
        <v>22</v>
      </c>
      <c r="L3673" s="62" t="s">
        <v>3</v>
      </c>
      <c r="M3673" s="62">
        <v>70.75800000000001</v>
      </c>
      <c r="N3673" s="62">
        <v>3.5379</v>
      </c>
    </row>
    <row r="3674" spans="9:14">
      <c r="I3674" s="62">
        <v>2014</v>
      </c>
      <c r="J3674" s="62">
        <v>11</v>
      </c>
      <c r="K3674" s="62" t="s">
        <v>22</v>
      </c>
      <c r="L3674" s="62" t="s">
        <v>3</v>
      </c>
      <c r="M3674" s="62">
        <v>46.36</v>
      </c>
      <c r="N3674" s="62">
        <v>2.318</v>
      </c>
    </row>
    <row r="3675" spans="9:14">
      <c r="I3675" s="62">
        <v>2014</v>
      </c>
      <c r="J3675" s="62">
        <v>12</v>
      </c>
      <c r="K3675" s="62" t="s">
        <v>22</v>
      </c>
      <c r="L3675" s="62" t="s">
        <v>3</v>
      </c>
      <c r="M3675" s="62">
        <v>36.81</v>
      </c>
      <c r="N3675" s="62">
        <v>1.8405</v>
      </c>
    </row>
    <row r="3676" spans="9:14">
      <c r="I3676" s="62">
        <v>2015</v>
      </c>
      <c r="J3676" s="62">
        <v>1</v>
      </c>
      <c r="K3676" s="62" t="s">
        <v>22</v>
      </c>
      <c r="L3676" s="62" t="s">
        <v>3</v>
      </c>
      <c r="M3676" s="62">
        <v>37.91</v>
      </c>
      <c r="N3676" s="62">
        <v>1.8955</v>
      </c>
    </row>
    <row r="3677" spans="9:14">
      <c r="I3677" s="62">
        <v>2015</v>
      </c>
      <c r="J3677" s="62">
        <v>2</v>
      </c>
      <c r="K3677" s="62" t="s">
        <v>22</v>
      </c>
      <c r="L3677" s="62" t="s">
        <v>3</v>
      </c>
      <c r="M3677" s="62">
        <v>82.40000000000001</v>
      </c>
      <c r="N3677" s="62">
        <v>4.12</v>
      </c>
    </row>
    <row r="3678" spans="9:14">
      <c r="I3678" s="62">
        <v>2015</v>
      </c>
      <c r="J3678" s="62">
        <v>3</v>
      </c>
      <c r="K3678" s="62" t="s">
        <v>22</v>
      </c>
      <c r="L3678" s="62" t="s">
        <v>3</v>
      </c>
      <c r="M3678" s="62">
        <v>95.07000000000001</v>
      </c>
      <c r="N3678" s="62">
        <v>4.753500000000001</v>
      </c>
    </row>
    <row r="3679" spans="9:14">
      <c r="I3679" s="62">
        <v>2015</v>
      </c>
      <c r="J3679" s="62">
        <v>4</v>
      </c>
      <c r="K3679" s="62" t="s">
        <v>22</v>
      </c>
      <c r="L3679" s="62" t="s">
        <v>3</v>
      </c>
      <c r="M3679" s="62">
        <v>156.68</v>
      </c>
      <c r="N3679" s="62">
        <v>7.834000000000001</v>
      </c>
    </row>
    <row r="3680" spans="9:14">
      <c r="I3680" s="62">
        <v>2015</v>
      </c>
      <c r="J3680" s="62">
        <v>5</v>
      </c>
      <c r="K3680" s="62" t="s">
        <v>22</v>
      </c>
      <c r="L3680" s="62" t="s">
        <v>3</v>
      </c>
      <c r="M3680" s="62">
        <v>72.31</v>
      </c>
      <c r="N3680" s="62">
        <v>3.6155</v>
      </c>
    </row>
    <row r="3681" spans="9:14">
      <c r="I3681" s="62">
        <v>2015</v>
      </c>
      <c r="J3681" s="62">
        <v>6</v>
      </c>
      <c r="K3681" s="62" t="s">
        <v>22</v>
      </c>
      <c r="L3681" s="62" t="s">
        <v>3</v>
      </c>
      <c r="M3681" s="62">
        <v>53.7</v>
      </c>
      <c r="N3681" s="62">
        <v>2.685</v>
      </c>
    </row>
    <row r="3682" spans="9:14">
      <c r="I3682" s="62">
        <v>2015</v>
      </c>
      <c r="J3682" s="62">
        <v>7</v>
      </c>
      <c r="K3682" s="62" t="s">
        <v>22</v>
      </c>
      <c r="L3682" s="62" t="s">
        <v>3</v>
      </c>
      <c r="M3682" s="62">
        <v>52.82</v>
      </c>
      <c r="N3682" s="62">
        <v>2.641</v>
      </c>
    </row>
    <row r="3683" spans="9:14">
      <c r="I3683" s="62">
        <v>2015</v>
      </c>
      <c r="J3683" s="62">
        <v>8</v>
      </c>
      <c r="K3683" s="62" t="s">
        <v>22</v>
      </c>
      <c r="L3683" s="62" t="s">
        <v>3</v>
      </c>
      <c r="M3683" s="62">
        <v>63.8</v>
      </c>
      <c r="N3683" s="62">
        <v>3.19</v>
      </c>
    </row>
    <row r="3684" spans="9:14">
      <c r="I3684" s="62">
        <v>2015</v>
      </c>
      <c r="J3684" s="62">
        <v>9</v>
      </c>
      <c r="K3684" s="62" t="s">
        <v>22</v>
      </c>
      <c r="L3684" s="62" t="s">
        <v>3</v>
      </c>
      <c r="M3684" s="62">
        <v>58.1896</v>
      </c>
      <c r="N3684" s="62">
        <v>2.90948</v>
      </c>
    </row>
    <row r="3685" spans="9:14">
      <c r="I3685" s="62">
        <v>2015</v>
      </c>
      <c r="J3685" s="62">
        <v>10</v>
      </c>
      <c r="K3685" s="62" t="s">
        <v>22</v>
      </c>
      <c r="L3685" s="62" t="s">
        <v>3</v>
      </c>
      <c r="M3685" s="62">
        <v>30.96</v>
      </c>
      <c r="N3685" s="62">
        <v>1.548</v>
      </c>
    </row>
    <row r="3686" spans="9:14">
      <c r="I3686" s="62">
        <v>2015</v>
      </c>
      <c r="J3686" s="62">
        <v>11</v>
      </c>
      <c r="K3686" s="62" t="s">
        <v>22</v>
      </c>
      <c r="L3686" s="62" t="s">
        <v>3</v>
      </c>
      <c r="M3686" s="62">
        <v>69.435</v>
      </c>
      <c r="N3686" s="62">
        <v>3.47175</v>
      </c>
    </row>
    <row r="3687" spans="9:14">
      <c r="I3687" s="62">
        <v>2015</v>
      </c>
      <c r="J3687" s="62">
        <v>12</v>
      </c>
      <c r="K3687" s="62" t="s">
        <v>22</v>
      </c>
      <c r="L3687" s="62" t="s">
        <v>3</v>
      </c>
      <c r="M3687" s="62">
        <v>49.18</v>
      </c>
      <c r="N3687" s="62">
        <v>2.459</v>
      </c>
    </row>
    <row r="3688" spans="9:14">
      <c r="I3688" s="62">
        <v>2016</v>
      </c>
      <c r="J3688" s="62">
        <v>1</v>
      </c>
      <c r="K3688" s="62" t="s">
        <v>22</v>
      </c>
      <c r="L3688" s="62" t="s">
        <v>3</v>
      </c>
      <c r="M3688" s="62">
        <v>103.104</v>
      </c>
      <c r="N3688" s="62">
        <v>5.1552</v>
      </c>
    </row>
    <row r="3689" spans="9:14">
      <c r="I3689" s="62">
        <v>2016</v>
      </c>
      <c r="J3689" s="62">
        <v>2</v>
      </c>
      <c r="K3689" s="62" t="s">
        <v>22</v>
      </c>
      <c r="L3689" s="62" t="s">
        <v>3</v>
      </c>
      <c r="M3689" s="62">
        <v>68.78</v>
      </c>
      <c r="N3689" s="62">
        <v>3.439</v>
      </c>
    </row>
    <row r="3690" spans="9:14">
      <c r="I3690" s="62">
        <v>2016</v>
      </c>
      <c r="J3690" s="62">
        <v>3</v>
      </c>
      <c r="K3690" s="62" t="s">
        <v>22</v>
      </c>
      <c r="L3690" s="62" t="s">
        <v>3</v>
      </c>
      <c r="M3690" s="62">
        <v>75.63</v>
      </c>
      <c r="N3690" s="62">
        <v>3.7815</v>
      </c>
    </row>
    <row r="3691" spans="9:14">
      <c r="I3691" s="62">
        <v>2016</v>
      </c>
      <c r="J3691" s="62">
        <v>4</v>
      </c>
      <c r="K3691" s="62" t="s">
        <v>22</v>
      </c>
      <c r="L3691" s="62" t="s">
        <v>3</v>
      </c>
      <c r="M3691" s="62">
        <v>41.71</v>
      </c>
      <c r="N3691" s="62">
        <v>2.0855</v>
      </c>
    </row>
    <row r="3692" spans="9:14">
      <c r="I3692" s="62">
        <v>2016</v>
      </c>
      <c r="J3692" s="62">
        <v>5</v>
      </c>
      <c r="K3692" s="62" t="s">
        <v>22</v>
      </c>
      <c r="L3692" s="62" t="s">
        <v>3</v>
      </c>
      <c r="M3692" s="62">
        <v>55.87</v>
      </c>
      <c r="N3692" s="62">
        <v>2.7935</v>
      </c>
    </row>
    <row r="3693" spans="9:14">
      <c r="I3693" s="62">
        <v>2016</v>
      </c>
      <c r="J3693" s="62">
        <v>6</v>
      </c>
      <c r="K3693" s="62" t="s">
        <v>22</v>
      </c>
      <c r="L3693" s="62" t="s">
        <v>3</v>
      </c>
      <c r="M3693" s="62">
        <v>30.2</v>
      </c>
      <c r="N3693" s="62">
        <v>1.51</v>
      </c>
    </row>
    <row r="3694" spans="9:14">
      <c r="I3694" s="62">
        <v>2016</v>
      </c>
      <c r="J3694" s="62">
        <v>7</v>
      </c>
      <c r="K3694" s="62" t="s">
        <v>22</v>
      </c>
      <c r="L3694" s="62" t="s">
        <v>3</v>
      </c>
      <c r="M3694" s="62">
        <v>31.48</v>
      </c>
      <c r="N3694" s="62">
        <v>1.574</v>
      </c>
    </row>
    <row r="3695" spans="9:14">
      <c r="I3695" s="62">
        <v>2016</v>
      </c>
      <c r="J3695" s="62">
        <v>8</v>
      </c>
      <c r="K3695" s="62" t="s">
        <v>22</v>
      </c>
      <c r="L3695" s="62" t="s">
        <v>3</v>
      </c>
      <c r="M3695" s="62">
        <v>11.26</v>
      </c>
      <c r="N3695" s="62">
        <v>0.5630000000000001</v>
      </c>
    </row>
    <row r="3696" spans="9:14">
      <c r="I3696" s="62">
        <v>2016</v>
      </c>
      <c r="J3696" s="62">
        <v>9</v>
      </c>
      <c r="K3696" s="62" t="s">
        <v>22</v>
      </c>
      <c r="L3696" s="62" t="s">
        <v>3</v>
      </c>
      <c r="M3696" s="62">
        <v>77.10000000000001</v>
      </c>
      <c r="N3696" s="62">
        <v>3.855</v>
      </c>
    </row>
    <row r="3697" spans="9:14">
      <c r="I3697" s="62">
        <v>2016</v>
      </c>
      <c r="J3697" s="62">
        <v>10</v>
      </c>
      <c r="K3697" s="62" t="s">
        <v>22</v>
      </c>
      <c r="L3697" s="62" t="s">
        <v>3</v>
      </c>
      <c r="M3697" s="62">
        <v>90.72</v>
      </c>
      <c r="N3697" s="62">
        <v>4.536</v>
      </c>
    </row>
    <row r="3698" spans="9:14">
      <c r="I3698" s="62">
        <v>2016</v>
      </c>
      <c r="J3698" s="62">
        <v>11</v>
      </c>
      <c r="K3698" s="62" t="s">
        <v>22</v>
      </c>
      <c r="L3698" s="62" t="s">
        <v>3</v>
      </c>
      <c r="M3698" s="62">
        <v>35.365</v>
      </c>
      <c r="N3698" s="62">
        <v>1.76825</v>
      </c>
    </row>
    <row r="3699" spans="9:14">
      <c r="I3699" s="62">
        <v>2016</v>
      </c>
      <c r="J3699" s="62">
        <v>12</v>
      </c>
      <c r="K3699" s="62" t="s">
        <v>22</v>
      </c>
      <c r="L3699" s="62" t="s">
        <v>3</v>
      </c>
      <c r="M3699" s="62">
        <v>97.005</v>
      </c>
      <c r="N3699" s="62">
        <v>4.85025</v>
      </c>
    </row>
    <row r="3700" spans="9:14">
      <c r="I3700" s="62">
        <v>2017</v>
      </c>
      <c r="J3700" s="62">
        <v>1</v>
      </c>
      <c r="K3700" s="62" t="s">
        <v>22</v>
      </c>
      <c r="L3700" s="62" t="s">
        <v>3</v>
      </c>
      <c r="M3700" s="62">
        <v>45.655</v>
      </c>
      <c r="N3700" s="62">
        <v>2.28275</v>
      </c>
    </row>
    <row r="3701" spans="9:14">
      <c r="I3701" s="62">
        <v>2017</v>
      </c>
      <c r="J3701" s="62">
        <v>2</v>
      </c>
      <c r="K3701" s="62" t="s">
        <v>22</v>
      </c>
      <c r="L3701" s="62" t="s">
        <v>3</v>
      </c>
      <c r="M3701" s="62">
        <v>10.7</v>
      </c>
      <c r="N3701" s="62">
        <v>0.535</v>
      </c>
    </row>
    <row r="3702" spans="9:14">
      <c r="I3702" s="62">
        <v>2017</v>
      </c>
      <c r="J3702" s="62">
        <v>3</v>
      </c>
      <c r="K3702" s="62" t="s">
        <v>22</v>
      </c>
      <c r="L3702" s="62" t="s">
        <v>3</v>
      </c>
      <c r="M3702" s="62">
        <v>33.25</v>
      </c>
      <c r="N3702" s="62">
        <v>1.6625</v>
      </c>
    </row>
    <row r="3703" spans="9:14">
      <c r="I3703" s="62">
        <v>2017</v>
      </c>
      <c r="J3703" s="62">
        <v>4</v>
      </c>
      <c r="K3703" s="62" t="s">
        <v>22</v>
      </c>
      <c r="L3703" s="62" t="s">
        <v>3</v>
      </c>
      <c r="M3703" s="62">
        <v>48.46</v>
      </c>
      <c r="N3703" s="62">
        <v>2.423</v>
      </c>
    </row>
    <row r="3704" spans="9:14">
      <c r="I3704" s="62">
        <v>2017</v>
      </c>
      <c r="J3704" s="62">
        <v>5</v>
      </c>
      <c r="K3704" s="62" t="s">
        <v>22</v>
      </c>
      <c r="L3704" s="62" t="s">
        <v>3</v>
      </c>
      <c r="M3704" s="62">
        <v>43.84999999999999</v>
      </c>
      <c r="N3704" s="62">
        <v>2.1925</v>
      </c>
    </row>
    <row r="3705" spans="9:14">
      <c r="I3705" s="62">
        <v>2017</v>
      </c>
      <c r="J3705" s="62">
        <v>6</v>
      </c>
      <c r="K3705" s="62" t="s">
        <v>22</v>
      </c>
      <c r="L3705" s="62" t="s">
        <v>3</v>
      </c>
      <c r="M3705" s="62">
        <v>41.40000000000001</v>
      </c>
      <c r="N3705" s="62">
        <v>2.07</v>
      </c>
    </row>
    <row r="3706" spans="9:14">
      <c r="I3706" s="62">
        <v>2017</v>
      </c>
      <c r="J3706" s="62">
        <v>7</v>
      </c>
      <c r="K3706" s="62" t="s">
        <v>22</v>
      </c>
      <c r="L3706" s="62" t="s">
        <v>3</v>
      </c>
      <c r="M3706" s="62">
        <v>49.258</v>
      </c>
      <c r="N3706" s="62">
        <v>2.4629</v>
      </c>
    </row>
    <row r="3707" spans="9:14">
      <c r="I3707" s="62">
        <v>2017</v>
      </c>
      <c r="J3707" s="62">
        <v>8</v>
      </c>
      <c r="K3707" s="62" t="s">
        <v>22</v>
      </c>
      <c r="L3707" s="62" t="s">
        <v>3</v>
      </c>
      <c r="M3707" s="62">
        <v>77.01740000000001</v>
      </c>
      <c r="N3707" s="62">
        <v>3.85087</v>
      </c>
    </row>
    <row r="3708" spans="9:14">
      <c r="I3708" s="62">
        <v>2017</v>
      </c>
      <c r="J3708" s="62">
        <v>9</v>
      </c>
      <c r="K3708" s="62" t="s">
        <v>22</v>
      </c>
      <c r="L3708" s="62" t="s">
        <v>3</v>
      </c>
      <c r="M3708" s="62">
        <v>229.885</v>
      </c>
      <c r="N3708" s="62">
        <v>11.49425</v>
      </c>
    </row>
    <row r="3709" spans="9:14">
      <c r="I3709" s="62">
        <v>2017</v>
      </c>
      <c r="J3709" s="62">
        <v>10</v>
      </c>
      <c r="K3709" s="62" t="s">
        <v>22</v>
      </c>
      <c r="L3709" s="62" t="s">
        <v>3</v>
      </c>
      <c r="M3709" s="62">
        <v>58.296</v>
      </c>
      <c r="N3709" s="62">
        <v>2.914800000000001</v>
      </c>
    </row>
    <row r="3710" spans="9:14">
      <c r="I3710" s="62">
        <v>2017</v>
      </c>
      <c r="J3710" s="62">
        <v>12</v>
      </c>
      <c r="K3710" s="62" t="s">
        <v>22</v>
      </c>
      <c r="L3710" s="62" t="s">
        <v>3</v>
      </c>
      <c r="M3710" s="62">
        <v>2.5</v>
      </c>
      <c r="N3710" s="62">
        <v>0.125</v>
      </c>
    </row>
    <row r="3711" spans="9:14">
      <c r="I3711" s="62">
        <v>2018</v>
      </c>
      <c r="J3711" s="62">
        <v>1</v>
      </c>
      <c r="K3711" s="62" t="s">
        <v>22</v>
      </c>
      <c r="L3711" s="62" t="s">
        <v>3</v>
      </c>
      <c r="M3711" s="62">
        <v>38.5</v>
      </c>
      <c r="N3711" s="62">
        <v>1.925</v>
      </c>
    </row>
    <row r="3712" spans="9:14">
      <c r="I3712" s="62">
        <v>2018</v>
      </c>
      <c r="J3712" s="62">
        <v>2</v>
      </c>
      <c r="K3712" s="62" t="s">
        <v>22</v>
      </c>
      <c r="L3712" s="62" t="s">
        <v>3</v>
      </c>
      <c r="M3712" s="62">
        <v>88.14</v>
      </c>
      <c r="N3712" s="62">
        <v>4.407</v>
      </c>
    </row>
    <row r="3713" spans="9:14">
      <c r="I3713" s="62">
        <v>2018</v>
      </c>
      <c r="J3713" s="62">
        <v>3</v>
      </c>
      <c r="K3713" s="62" t="s">
        <v>22</v>
      </c>
      <c r="L3713" s="62" t="s">
        <v>3</v>
      </c>
      <c r="M3713" s="62">
        <v>64.45</v>
      </c>
      <c r="N3713" s="62">
        <v>3.2225</v>
      </c>
    </row>
    <row r="3714" spans="9:14">
      <c r="I3714" s="62">
        <v>2018</v>
      </c>
      <c r="J3714" s="62">
        <v>4</v>
      </c>
      <c r="K3714" s="62" t="s">
        <v>22</v>
      </c>
      <c r="L3714" s="62" t="s">
        <v>3</v>
      </c>
      <c r="M3714" s="62">
        <v>111.2</v>
      </c>
      <c r="N3714" s="62">
        <v>5.56</v>
      </c>
    </row>
    <row r="3715" spans="9:14">
      <c r="I3715" s="62">
        <v>2018</v>
      </c>
      <c r="J3715" s="62">
        <v>5</v>
      </c>
      <c r="K3715" s="62" t="s">
        <v>22</v>
      </c>
      <c r="L3715" s="62" t="s">
        <v>3</v>
      </c>
      <c r="M3715" s="62">
        <v>48.915</v>
      </c>
      <c r="N3715" s="62">
        <v>2.44575</v>
      </c>
    </row>
    <row r="3716" spans="9:14">
      <c r="I3716" s="62">
        <v>2018</v>
      </c>
      <c r="J3716" s="62">
        <v>6</v>
      </c>
      <c r="K3716" s="62" t="s">
        <v>22</v>
      </c>
      <c r="L3716" s="62" t="s">
        <v>3</v>
      </c>
      <c r="M3716" s="62">
        <v>56.75</v>
      </c>
      <c r="N3716" s="62">
        <v>2.8375</v>
      </c>
    </row>
    <row r="3717" spans="9:14">
      <c r="I3717" s="62">
        <v>2018</v>
      </c>
      <c r="J3717" s="62">
        <v>7</v>
      </c>
      <c r="K3717" s="62" t="s">
        <v>22</v>
      </c>
      <c r="L3717" s="62" t="s">
        <v>3</v>
      </c>
      <c r="M3717" s="62">
        <v>81.92</v>
      </c>
      <c r="N3717" s="62">
        <v>4.096</v>
      </c>
    </row>
    <row r="3718" spans="9:14">
      <c r="I3718" s="62">
        <v>2018</v>
      </c>
      <c r="J3718" s="62">
        <v>8</v>
      </c>
      <c r="K3718" s="62" t="s">
        <v>22</v>
      </c>
      <c r="L3718" s="62" t="s">
        <v>3</v>
      </c>
      <c r="M3718" s="62">
        <v>48.31</v>
      </c>
      <c r="N3718" s="62">
        <v>2.4155</v>
      </c>
    </row>
    <row r="3719" spans="9:14">
      <c r="I3719" s="62">
        <v>2018</v>
      </c>
      <c r="J3719" s="62">
        <v>9</v>
      </c>
      <c r="K3719" s="62" t="s">
        <v>22</v>
      </c>
      <c r="L3719" s="62" t="s">
        <v>3</v>
      </c>
      <c r="M3719" s="62">
        <v>14.82</v>
      </c>
      <c r="N3719" s="62">
        <v>0.7410000000000001</v>
      </c>
    </row>
    <row r="3720" spans="9:14">
      <c r="I3720" s="62">
        <v>2018</v>
      </c>
      <c r="J3720" s="62">
        <v>10</v>
      </c>
      <c r="K3720" s="62" t="s">
        <v>22</v>
      </c>
      <c r="L3720" s="62" t="s">
        <v>3</v>
      </c>
      <c r="M3720" s="62">
        <v>177.955</v>
      </c>
      <c r="N3720" s="62">
        <v>8.89775</v>
      </c>
    </row>
    <row r="3721" spans="9:14">
      <c r="I3721" s="62">
        <v>2018</v>
      </c>
      <c r="J3721" s="62">
        <v>11</v>
      </c>
      <c r="K3721" s="62" t="s">
        <v>22</v>
      </c>
      <c r="L3721" s="62" t="s">
        <v>3</v>
      </c>
      <c r="M3721" s="62">
        <v>155.752</v>
      </c>
      <c r="N3721" s="62">
        <v>7.7876</v>
      </c>
    </row>
    <row r="3722" spans="9:14">
      <c r="I3722" s="62">
        <v>2018</v>
      </c>
      <c r="J3722" s="62">
        <v>12</v>
      </c>
      <c r="K3722" s="62" t="s">
        <v>22</v>
      </c>
      <c r="L3722" s="62" t="s">
        <v>3</v>
      </c>
      <c r="M3722" s="62">
        <v>51.065</v>
      </c>
      <c r="N3722" s="62">
        <v>2.55325</v>
      </c>
    </row>
    <row r="3723" spans="9:14">
      <c r="I3723" s="62">
        <v>2019</v>
      </c>
      <c r="J3723" s="62">
        <v>1</v>
      </c>
      <c r="K3723" s="62" t="s">
        <v>22</v>
      </c>
      <c r="L3723" s="62" t="s">
        <v>3</v>
      </c>
      <c r="M3723" s="62">
        <v>22.24</v>
      </c>
      <c r="N3723" s="62">
        <v>1.112</v>
      </c>
    </row>
    <row r="3724" spans="9:14">
      <c r="I3724" s="62">
        <v>2019</v>
      </c>
      <c r="J3724" s="62">
        <v>2</v>
      </c>
      <c r="K3724" s="62" t="s">
        <v>22</v>
      </c>
      <c r="L3724" s="62" t="s">
        <v>3</v>
      </c>
      <c r="M3724" s="62">
        <v>49.006</v>
      </c>
      <c r="N3724" s="62">
        <v>2.4503</v>
      </c>
    </row>
    <row r="3725" spans="9:14">
      <c r="I3725" s="62">
        <v>2019</v>
      </c>
      <c r="J3725" s="62">
        <v>3</v>
      </c>
      <c r="K3725" s="62" t="s">
        <v>22</v>
      </c>
      <c r="L3725" s="62" t="s">
        <v>3</v>
      </c>
      <c r="M3725" s="62">
        <v>30.995</v>
      </c>
      <c r="N3725" s="62">
        <v>1.54975</v>
      </c>
    </row>
    <row r="3726" spans="9:14">
      <c r="I3726" s="62">
        <v>2019</v>
      </c>
      <c r="J3726" s="62">
        <v>4</v>
      </c>
      <c r="K3726" s="62" t="s">
        <v>22</v>
      </c>
      <c r="L3726" s="62" t="s">
        <v>3</v>
      </c>
      <c r="M3726" s="62">
        <v>131.85</v>
      </c>
      <c r="N3726" s="62">
        <v>6.592500000000001</v>
      </c>
    </row>
    <row r="3727" spans="9:14">
      <c r="I3727" s="62">
        <v>2019</v>
      </c>
      <c r="J3727" s="62">
        <v>5</v>
      </c>
      <c r="K3727" s="62" t="s">
        <v>22</v>
      </c>
      <c r="L3727" s="62" t="s">
        <v>3</v>
      </c>
      <c r="M3727" s="62">
        <v>49.904</v>
      </c>
      <c r="N3727" s="62">
        <v>2.4952</v>
      </c>
    </row>
    <row r="3728" spans="9:14">
      <c r="I3728" s="62">
        <v>2019</v>
      </c>
      <c r="J3728" s="62">
        <v>6</v>
      </c>
      <c r="K3728" s="62" t="s">
        <v>22</v>
      </c>
      <c r="L3728" s="62" t="s">
        <v>3</v>
      </c>
      <c r="M3728" s="62">
        <v>143.62</v>
      </c>
      <c r="N3728" s="62">
        <v>7.181000000000001</v>
      </c>
    </row>
    <row r="3729" spans="9:14">
      <c r="I3729" s="62">
        <v>2019</v>
      </c>
      <c r="J3729" s="62">
        <v>7</v>
      </c>
      <c r="K3729" s="62" t="s">
        <v>22</v>
      </c>
      <c r="L3729" s="62" t="s">
        <v>3</v>
      </c>
      <c r="M3729" s="62">
        <v>39.115</v>
      </c>
      <c r="N3729" s="62">
        <v>1.95575</v>
      </c>
    </row>
    <row r="3730" spans="9:14">
      <c r="I3730" s="62">
        <v>2019</v>
      </c>
      <c r="J3730" s="62">
        <v>8</v>
      </c>
      <c r="K3730" s="62" t="s">
        <v>22</v>
      </c>
      <c r="L3730" s="62" t="s">
        <v>3</v>
      </c>
      <c r="M3730" s="62">
        <v>43.075</v>
      </c>
      <c r="N3730" s="62">
        <v>2.15375</v>
      </c>
    </row>
    <row r="3731" spans="9:14">
      <c r="I3731" s="62">
        <v>2019</v>
      </c>
      <c r="J3731" s="62">
        <v>9</v>
      </c>
      <c r="K3731" s="62" t="s">
        <v>22</v>
      </c>
      <c r="L3731" s="62" t="s">
        <v>3</v>
      </c>
      <c r="M3731" s="62">
        <v>168.2</v>
      </c>
      <c r="N3731" s="62">
        <v>8.41</v>
      </c>
    </row>
    <row r="3732" spans="9:14">
      <c r="I3732" s="62">
        <v>2019</v>
      </c>
      <c r="J3732" s="62">
        <v>10</v>
      </c>
      <c r="K3732" s="62" t="s">
        <v>22</v>
      </c>
      <c r="L3732" s="62" t="s">
        <v>3</v>
      </c>
      <c r="M3732" s="62">
        <v>204.4</v>
      </c>
      <c r="N3732" s="62">
        <v>10.22</v>
      </c>
    </row>
    <row r="3733" spans="9:14">
      <c r="I3733" s="62">
        <v>2019</v>
      </c>
      <c r="J3733" s="62">
        <v>11</v>
      </c>
      <c r="K3733" s="62" t="s">
        <v>22</v>
      </c>
      <c r="L3733" s="62" t="s">
        <v>3</v>
      </c>
      <c r="M3733" s="62">
        <v>96.02</v>
      </c>
      <c r="N3733" s="62">
        <v>4.801</v>
      </c>
    </row>
    <row r="3734" spans="9:14">
      <c r="I3734" s="62">
        <v>2019</v>
      </c>
      <c r="J3734" s="62">
        <v>12</v>
      </c>
      <c r="K3734" s="62" t="s">
        <v>22</v>
      </c>
      <c r="L3734" s="62" t="s">
        <v>3</v>
      </c>
      <c r="M3734" s="62">
        <v>43.33</v>
      </c>
      <c r="N3734" s="62">
        <v>2.1665</v>
      </c>
    </row>
    <row r="3735" spans="9:14">
      <c r="I3735" s="62">
        <v>2020</v>
      </c>
      <c r="J3735" s="62">
        <v>1</v>
      </c>
      <c r="K3735" s="62" t="s">
        <v>22</v>
      </c>
      <c r="L3735" s="62" t="s">
        <v>3</v>
      </c>
      <c r="M3735" s="62">
        <v>107.35</v>
      </c>
      <c r="N3735" s="62">
        <v>5.367500000000001</v>
      </c>
    </row>
    <row r="3736" spans="9:14">
      <c r="I3736" s="62">
        <v>2020</v>
      </c>
      <c r="J3736" s="62">
        <v>2</v>
      </c>
      <c r="K3736" s="62" t="s">
        <v>22</v>
      </c>
      <c r="L3736" s="62" t="s">
        <v>3</v>
      </c>
      <c r="M3736" s="62">
        <v>142.11</v>
      </c>
      <c r="N3736" s="62">
        <v>7.1055</v>
      </c>
    </row>
    <row r="3737" spans="9:14">
      <c r="I3737" s="62">
        <v>2020</v>
      </c>
      <c r="J3737" s="62">
        <v>3</v>
      </c>
      <c r="K3737" s="62" t="s">
        <v>22</v>
      </c>
      <c r="L3737" s="62" t="s">
        <v>3</v>
      </c>
      <c r="M3737" s="62">
        <v>217.0873</v>
      </c>
      <c r="N3737" s="62">
        <v>10.854365</v>
      </c>
    </row>
    <row r="3738" spans="9:14">
      <c r="I3738" s="62">
        <v>2020</v>
      </c>
      <c r="J3738" s="62">
        <v>4</v>
      </c>
      <c r="K3738" s="62" t="s">
        <v>22</v>
      </c>
      <c r="L3738" s="62" t="s">
        <v>3</v>
      </c>
      <c r="M3738" s="62">
        <v>502.4318</v>
      </c>
      <c r="N3738" s="62">
        <v>25.12159</v>
      </c>
    </row>
    <row r="3739" spans="9:14">
      <c r="I3739" s="62">
        <v>2020</v>
      </c>
      <c r="J3739" s="62">
        <v>5</v>
      </c>
      <c r="K3739" s="62" t="s">
        <v>22</v>
      </c>
      <c r="L3739" s="62" t="s">
        <v>3</v>
      </c>
      <c r="M3739" s="62">
        <v>528.5365</v>
      </c>
      <c r="N3739" s="62">
        <v>26.426825</v>
      </c>
    </row>
    <row r="3740" spans="9:14">
      <c r="I3740" s="62">
        <v>2020</v>
      </c>
      <c r="J3740" s="62">
        <v>6</v>
      </c>
      <c r="K3740" s="62" t="s">
        <v>22</v>
      </c>
      <c r="L3740" s="62" t="s">
        <v>3</v>
      </c>
      <c r="M3740" s="62">
        <v>430.7101</v>
      </c>
      <c r="N3740" s="62">
        <v>21.535505</v>
      </c>
    </row>
    <row r="3741" spans="9:14">
      <c r="I3741" s="62">
        <v>2020</v>
      </c>
      <c r="J3741" s="62">
        <v>7</v>
      </c>
      <c r="K3741" s="62" t="s">
        <v>22</v>
      </c>
      <c r="L3741" s="62" t="s">
        <v>3</v>
      </c>
      <c r="M3741" s="62">
        <v>421.726</v>
      </c>
      <c r="N3741" s="62">
        <v>21.0863</v>
      </c>
    </row>
    <row r="3742" spans="9:14">
      <c r="I3742" s="62">
        <v>2020</v>
      </c>
      <c r="J3742" s="62">
        <v>8</v>
      </c>
      <c r="K3742" s="62" t="s">
        <v>22</v>
      </c>
      <c r="L3742" s="62" t="s">
        <v>3</v>
      </c>
      <c r="M3742" s="62">
        <v>575.78</v>
      </c>
      <c r="N3742" s="62">
        <v>28.789</v>
      </c>
    </row>
    <row r="3743" spans="9:14">
      <c r="I3743" s="62">
        <v>2020</v>
      </c>
      <c r="J3743" s="62">
        <v>9</v>
      </c>
      <c r="K3743" s="62" t="s">
        <v>22</v>
      </c>
      <c r="L3743" s="62" t="s">
        <v>3</v>
      </c>
      <c r="M3743" s="62">
        <v>644.7173</v>
      </c>
      <c r="N3743" s="62">
        <v>32.235865</v>
      </c>
    </row>
    <row r="3744" spans="9:14">
      <c r="I3744" s="62">
        <v>2020</v>
      </c>
      <c r="J3744" s="62">
        <v>10</v>
      </c>
      <c r="K3744" s="62" t="s">
        <v>22</v>
      </c>
      <c r="L3744" s="62" t="s">
        <v>3</v>
      </c>
      <c r="M3744" s="62">
        <v>591.369</v>
      </c>
      <c r="N3744" s="62">
        <v>29.56845</v>
      </c>
    </row>
    <row r="3745" spans="9:14">
      <c r="I3745" s="62">
        <v>2020</v>
      </c>
      <c r="J3745" s="62">
        <v>11</v>
      </c>
      <c r="K3745" s="62" t="s">
        <v>22</v>
      </c>
      <c r="L3745" s="62" t="s">
        <v>3</v>
      </c>
      <c r="M3745" s="62">
        <v>453.5027</v>
      </c>
      <c r="N3745" s="62">
        <v>22.675135</v>
      </c>
    </row>
    <row r="3746" spans="9:14">
      <c r="I3746" s="62">
        <v>2020</v>
      </c>
      <c r="J3746" s="62">
        <v>12</v>
      </c>
      <c r="K3746" s="62" t="s">
        <v>22</v>
      </c>
      <c r="L3746" s="62" t="s">
        <v>3</v>
      </c>
      <c r="M3746" s="62">
        <v>494.465</v>
      </c>
      <c r="N3746" s="62">
        <v>24.72325</v>
      </c>
    </row>
    <row r="3747" spans="9:14">
      <c r="I3747" s="62">
        <v>2021</v>
      </c>
      <c r="J3747" s="62">
        <v>1</v>
      </c>
      <c r="K3747" s="62" t="s">
        <v>22</v>
      </c>
      <c r="L3747" s="62" t="s">
        <v>3</v>
      </c>
      <c r="M3747" s="62">
        <v>462.825</v>
      </c>
      <c r="N3747" s="62">
        <v>23.14125</v>
      </c>
    </row>
    <row r="3748" spans="9:14">
      <c r="I3748" s="62">
        <v>2021</v>
      </c>
      <c r="J3748" s="62">
        <v>2</v>
      </c>
      <c r="K3748" s="62" t="s">
        <v>22</v>
      </c>
      <c r="L3748" s="62" t="s">
        <v>3</v>
      </c>
      <c r="M3748" s="62">
        <v>703.7275</v>
      </c>
      <c r="N3748" s="62">
        <v>35.18637500000001</v>
      </c>
    </row>
    <row r="3749" spans="9:14">
      <c r="I3749" s="62">
        <v>2021</v>
      </c>
      <c r="J3749" s="62">
        <v>3</v>
      </c>
      <c r="K3749" s="62" t="s">
        <v>22</v>
      </c>
      <c r="L3749" s="62" t="s">
        <v>3</v>
      </c>
      <c r="M3749" s="62">
        <v>465.8427</v>
      </c>
      <c r="N3749" s="62">
        <v>23.292135</v>
      </c>
    </row>
    <row r="3750" spans="9:14">
      <c r="I3750" s="62">
        <v>2021</v>
      </c>
      <c r="J3750" s="62">
        <v>4</v>
      </c>
      <c r="K3750" s="62" t="s">
        <v>22</v>
      </c>
      <c r="L3750" s="62" t="s">
        <v>3</v>
      </c>
      <c r="M3750" s="62">
        <v>156.621</v>
      </c>
      <c r="N3750" s="62">
        <v>7.83105</v>
      </c>
    </row>
    <row r="3751" spans="9:14">
      <c r="I3751" s="62">
        <v>2021</v>
      </c>
      <c r="J3751" s="62">
        <v>5</v>
      </c>
      <c r="K3751" s="62" t="s">
        <v>22</v>
      </c>
      <c r="L3751" s="62" t="s">
        <v>3</v>
      </c>
      <c r="M3751" s="62">
        <v>97.7329</v>
      </c>
      <c r="N3751" s="62">
        <v>4.886645000000001</v>
      </c>
    </row>
    <row r="3752" spans="9:14">
      <c r="I3752" s="62">
        <v>2021</v>
      </c>
      <c r="J3752" s="62">
        <v>6</v>
      </c>
      <c r="K3752" s="62" t="s">
        <v>22</v>
      </c>
      <c r="L3752" s="62" t="s">
        <v>3</v>
      </c>
      <c r="M3752" s="62">
        <v>115.4075</v>
      </c>
      <c r="N3752" s="62">
        <v>5.770375</v>
      </c>
    </row>
    <row r="3753" spans="9:14">
      <c r="I3753" s="62">
        <v>2021</v>
      </c>
      <c r="J3753" s="62">
        <v>7</v>
      </c>
      <c r="K3753" s="62" t="s">
        <v>22</v>
      </c>
      <c r="L3753" s="62" t="s">
        <v>3</v>
      </c>
      <c r="M3753" s="62">
        <v>44.9042</v>
      </c>
      <c r="N3753" s="62">
        <v>2.24521</v>
      </c>
    </row>
    <row r="3754" spans="9:14">
      <c r="I3754" s="62">
        <v>2021</v>
      </c>
      <c r="J3754" s="62">
        <v>8</v>
      </c>
      <c r="K3754" s="62" t="s">
        <v>22</v>
      </c>
      <c r="L3754" s="62" t="s">
        <v>3</v>
      </c>
      <c r="M3754" s="62">
        <v>81.84399999999999</v>
      </c>
      <c r="N3754" s="62">
        <v>4.0922</v>
      </c>
    </row>
    <row r="3755" spans="9:14">
      <c r="I3755" s="62">
        <v>2021</v>
      </c>
      <c r="J3755" s="62">
        <v>9</v>
      </c>
      <c r="K3755" s="62" t="s">
        <v>22</v>
      </c>
      <c r="L3755" s="62" t="s">
        <v>3</v>
      </c>
      <c r="M3755" s="62">
        <v>183.88</v>
      </c>
      <c r="N3755" s="62">
        <v>9.194000000000001</v>
      </c>
    </row>
    <row r="3756" spans="9:14">
      <c r="I3756" s="62">
        <v>2021</v>
      </c>
      <c r="J3756" s="62">
        <v>10</v>
      </c>
      <c r="K3756" s="62" t="s">
        <v>22</v>
      </c>
      <c r="L3756" s="62" t="s">
        <v>3</v>
      </c>
      <c r="M3756" s="62">
        <v>168.26</v>
      </c>
      <c r="N3756" s="62">
        <v>8.413</v>
      </c>
    </row>
    <row r="3757" spans="9:14">
      <c r="I3757" s="62">
        <v>2021</v>
      </c>
      <c r="J3757" s="62">
        <v>11</v>
      </c>
      <c r="K3757" s="62" t="s">
        <v>22</v>
      </c>
      <c r="L3757" s="62" t="s">
        <v>3</v>
      </c>
      <c r="M3757" s="62">
        <v>121.74</v>
      </c>
      <c r="N3757" s="62">
        <v>6.087000000000001</v>
      </c>
    </row>
    <row r="3758" spans="9:14">
      <c r="I3758" s="62">
        <v>2021</v>
      </c>
      <c r="J3758" s="62">
        <v>12</v>
      </c>
      <c r="K3758" s="62" t="s">
        <v>22</v>
      </c>
      <c r="L3758" s="62" t="s">
        <v>3</v>
      </c>
      <c r="M3758" s="62">
        <v>133.055</v>
      </c>
      <c r="N3758" s="62">
        <v>6.65275</v>
      </c>
    </row>
    <row r="3759" spans="9:14">
      <c r="I3759" s="62">
        <v>2022</v>
      </c>
      <c r="J3759" s="62">
        <v>1</v>
      </c>
      <c r="K3759" s="62" t="s">
        <v>22</v>
      </c>
      <c r="L3759" s="62" t="s">
        <v>3</v>
      </c>
      <c r="M3759" s="62">
        <v>69.58</v>
      </c>
      <c r="N3759" s="62">
        <v>3.479</v>
      </c>
    </row>
    <row r="3760" spans="9:14">
      <c r="I3760" s="62">
        <v>2022</v>
      </c>
      <c r="J3760" s="62">
        <v>2</v>
      </c>
      <c r="K3760" s="62" t="s">
        <v>22</v>
      </c>
      <c r="L3760" s="62" t="s">
        <v>3</v>
      </c>
      <c r="M3760" s="62">
        <v>184.26</v>
      </c>
      <c r="N3760" s="62">
        <v>9.213000000000001</v>
      </c>
    </row>
    <row r="3761" spans="9:14">
      <c r="I3761" s="62">
        <v>2022</v>
      </c>
      <c r="J3761" s="62">
        <v>3</v>
      </c>
      <c r="K3761" s="62" t="s">
        <v>22</v>
      </c>
      <c r="L3761" s="62" t="s">
        <v>3</v>
      </c>
      <c r="M3761" s="62">
        <v>298.5025</v>
      </c>
      <c r="N3761" s="62">
        <v>14.925125</v>
      </c>
    </row>
    <row r="3762" spans="9:14">
      <c r="I3762" s="62">
        <v>2022</v>
      </c>
      <c r="J3762" s="62">
        <v>4</v>
      </c>
      <c r="K3762" s="62" t="s">
        <v>22</v>
      </c>
      <c r="L3762" s="62" t="s">
        <v>3</v>
      </c>
      <c r="M3762" s="62">
        <v>218.001</v>
      </c>
      <c r="N3762" s="62">
        <v>10.90005</v>
      </c>
    </row>
    <row r="3763" spans="9:14">
      <c r="I3763" s="62">
        <v>2022</v>
      </c>
      <c r="J3763" s="62">
        <v>5</v>
      </c>
      <c r="K3763" s="62" t="s">
        <v>22</v>
      </c>
      <c r="L3763" s="62" t="s">
        <v>3</v>
      </c>
      <c r="M3763" s="62">
        <v>195.729</v>
      </c>
      <c r="N3763" s="62">
        <v>9.78645</v>
      </c>
    </row>
    <row r="3764" spans="9:14">
      <c r="I3764" s="62">
        <v>2022</v>
      </c>
      <c r="J3764" s="62">
        <v>6</v>
      </c>
      <c r="K3764" s="62" t="s">
        <v>22</v>
      </c>
      <c r="L3764" s="62" t="s">
        <v>3</v>
      </c>
      <c r="M3764" s="62">
        <v>12.33</v>
      </c>
      <c r="N3764" s="62">
        <v>0.6165</v>
      </c>
    </row>
    <row r="3765" spans="9:14">
      <c r="I3765" s="62">
        <v>2022</v>
      </c>
      <c r="J3765" s="62">
        <v>7</v>
      </c>
      <c r="K3765" s="62" t="s">
        <v>22</v>
      </c>
      <c r="L3765" s="62" t="s">
        <v>3</v>
      </c>
      <c r="M3765" s="62">
        <v>24.3</v>
      </c>
      <c r="N3765" s="62">
        <v>1.215</v>
      </c>
    </row>
    <row r="3766" spans="9:14">
      <c r="I3766" s="62">
        <v>2022</v>
      </c>
      <c r="J3766" s="62">
        <v>8</v>
      </c>
      <c r="K3766" s="62" t="s">
        <v>22</v>
      </c>
      <c r="L3766" s="62" t="s">
        <v>3</v>
      </c>
      <c r="M3766" s="62">
        <v>51.435</v>
      </c>
      <c r="N3766" s="62">
        <v>2.57175</v>
      </c>
    </row>
    <row r="3767" spans="9:14">
      <c r="I3767" s="62">
        <v>2022</v>
      </c>
      <c r="J3767" s="62">
        <v>9</v>
      </c>
      <c r="K3767" s="62" t="s">
        <v>22</v>
      </c>
      <c r="L3767" s="62" t="s">
        <v>3</v>
      </c>
      <c r="M3767" s="62">
        <v>52.366</v>
      </c>
      <c r="N3767" s="62">
        <v>2.6183</v>
      </c>
    </row>
    <row r="3768" spans="9:14">
      <c r="I3768" s="62">
        <v>2022</v>
      </c>
      <c r="J3768" s="62">
        <v>10</v>
      </c>
      <c r="K3768" s="62" t="s">
        <v>22</v>
      </c>
      <c r="L3768" s="62" t="s">
        <v>3</v>
      </c>
      <c r="M3768" s="62">
        <v>123.497</v>
      </c>
      <c r="N3768" s="62">
        <v>6.17485</v>
      </c>
    </row>
    <row r="3769" spans="9:14">
      <c r="I3769" s="62">
        <v>2022</v>
      </c>
      <c r="J3769" s="62">
        <v>11</v>
      </c>
      <c r="K3769" s="62" t="s">
        <v>22</v>
      </c>
      <c r="L3769" s="62" t="s">
        <v>3</v>
      </c>
      <c r="M3769" s="62">
        <v>75.277</v>
      </c>
      <c r="N3769" s="62">
        <v>3.76385</v>
      </c>
    </row>
    <row r="3770" spans="9:14">
      <c r="I3770" s="62">
        <v>2022</v>
      </c>
      <c r="J3770" s="62">
        <v>12</v>
      </c>
      <c r="K3770" s="62" t="s">
        <v>22</v>
      </c>
      <c r="L3770" s="62" t="s">
        <v>3</v>
      </c>
      <c r="M3770" s="62">
        <v>122.2912</v>
      </c>
      <c r="N3770" s="62">
        <v>6.114560000000001</v>
      </c>
    </row>
    <row r="3771" spans="9:14">
      <c r="I3771" s="62">
        <v>2023</v>
      </c>
      <c r="J3771" s="62">
        <v>1</v>
      </c>
      <c r="K3771" s="62" t="s">
        <v>22</v>
      </c>
      <c r="L3771" s="62" t="s">
        <v>3</v>
      </c>
      <c r="M3771" s="62">
        <v>185.7</v>
      </c>
      <c r="N3771" s="62">
        <v>9.285</v>
      </c>
    </row>
    <row r="3772" spans="9:14">
      <c r="I3772" s="62">
        <v>2023</v>
      </c>
      <c r="J3772" s="62">
        <v>2</v>
      </c>
      <c r="K3772" s="62" t="s">
        <v>22</v>
      </c>
      <c r="L3772" s="62" t="s">
        <v>3</v>
      </c>
      <c r="M3772" s="62">
        <v>260.17</v>
      </c>
      <c r="N3772" s="62">
        <v>13.0085</v>
      </c>
    </row>
    <row r="3773" spans="9:14">
      <c r="I3773" s="62">
        <v>2023</v>
      </c>
      <c r="J3773" s="62">
        <v>3</v>
      </c>
      <c r="K3773" s="62" t="s">
        <v>22</v>
      </c>
      <c r="L3773" s="62" t="s">
        <v>3</v>
      </c>
      <c r="M3773" s="62">
        <v>378.915</v>
      </c>
      <c r="N3773" s="62">
        <v>18.94575</v>
      </c>
    </row>
    <row r="3774" spans="9:14">
      <c r="I3774" s="62">
        <v>2023</v>
      </c>
      <c r="J3774" s="62">
        <v>4</v>
      </c>
      <c r="K3774" s="62" t="s">
        <v>22</v>
      </c>
      <c r="L3774" s="62" t="s">
        <v>3</v>
      </c>
      <c r="M3774" s="62">
        <v>248</v>
      </c>
      <c r="N3774" s="62">
        <v>12.4</v>
      </c>
    </row>
    <row r="3775" spans="9:14">
      <c r="I3775" s="62">
        <v>2023</v>
      </c>
      <c r="J3775" s="62">
        <v>5</v>
      </c>
      <c r="K3775" s="62" t="s">
        <v>22</v>
      </c>
      <c r="L3775" s="62" t="s">
        <v>3</v>
      </c>
      <c r="M3775" s="62">
        <v>67.88</v>
      </c>
      <c r="N3775" s="62">
        <v>3.394</v>
      </c>
    </row>
    <row r="3776" spans="9:14">
      <c r="I3776" s="62">
        <v>2023</v>
      </c>
      <c r="J3776" s="62">
        <v>6</v>
      </c>
      <c r="K3776" s="62" t="s">
        <v>22</v>
      </c>
      <c r="L3776" s="62" t="s">
        <v>3</v>
      </c>
      <c r="M3776" s="62">
        <v>10.4512</v>
      </c>
      <c r="N3776" s="62">
        <v>0.5225599999999999</v>
      </c>
    </row>
    <row r="3777" spans="9:14">
      <c r="I3777" s="62">
        <v>2023</v>
      </c>
      <c r="J3777" s="62">
        <v>7</v>
      </c>
      <c r="K3777" s="62" t="s">
        <v>22</v>
      </c>
      <c r="L3777" s="62" t="s">
        <v>3</v>
      </c>
      <c r="M3777" s="62">
        <v>40.6884</v>
      </c>
      <c r="N3777" s="62">
        <v>2.03442</v>
      </c>
    </row>
    <row r="3778" spans="9:14">
      <c r="I3778" s="62">
        <v>2023</v>
      </c>
      <c r="J3778" s="62">
        <v>8</v>
      </c>
      <c r="K3778" s="62" t="s">
        <v>22</v>
      </c>
      <c r="L3778" s="62" t="s">
        <v>3</v>
      </c>
      <c r="M3778" s="62">
        <v>62.233</v>
      </c>
      <c r="N3778" s="62">
        <v>3.11165</v>
      </c>
    </row>
    <row r="3779" spans="9:14">
      <c r="I3779" s="62">
        <v>2023</v>
      </c>
      <c r="J3779" s="62">
        <v>9</v>
      </c>
      <c r="K3779" s="62" t="s">
        <v>22</v>
      </c>
      <c r="L3779" s="62" t="s">
        <v>3</v>
      </c>
      <c r="M3779" s="62">
        <v>44.365</v>
      </c>
      <c r="N3779" s="62">
        <v>2.21825</v>
      </c>
    </row>
    <row r="3780" spans="9:14">
      <c r="I3780" s="62">
        <v>2023</v>
      </c>
      <c r="J3780" s="62">
        <v>10</v>
      </c>
      <c r="K3780" s="62" t="s">
        <v>22</v>
      </c>
      <c r="L3780" s="62" t="s">
        <v>3</v>
      </c>
      <c r="M3780" s="62">
        <v>102.47</v>
      </c>
      <c r="N3780" s="62">
        <v>5.1235</v>
      </c>
    </row>
    <row r="3781" spans="9:14">
      <c r="I3781" s="62">
        <v>2023</v>
      </c>
      <c r="J3781" s="62">
        <v>11</v>
      </c>
      <c r="K3781" s="62" t="s">
        <v>22</v>
      </c>
      <c r="L3781" s="62" t="s">
        <v>3</v>
      </c>
      <c r="M3781" s="62">
        <v>54.22</v>
      </c>
      <c r="N3781" s="62">
        <v>2.711</v>
      </c>
    </row>
    <row r="3782" spans="9:14">
      <c r="I3782" s="62">
        <v>2023</v>
      </c>
      <c r="J3782" s="62">
        <v>12</v>
      </c>
      <c r="K3782" s="62" t="s">
        <v>22</v>
      </c>
      <c r="L3782" s="62" t="s">
        <v>3</v>
      </c>
      <c r="M3782" s="62">
        <v>47.63</v>
      </c>
      <c r="N3782" s="62">
        <v>2.3815</v>
      </c>
    </row>
    <row r="3783" spans="9:14">
      <c r="I3783" s="62">
        <v>2024</v>
      </c>
      <c r="J3783" s="62">
        <v>1</v>
      </c>
      <c r="K3783" s="62" t="s">
        <v>22</v>
      </c>
      <c r="L3783" s="62" t="s">
        <v>3</v>
      </c>
      <c r="M3783" s="62">
        <v>216.822</v>
      </c>
      <c r="N3783" s="62">
        <v>10.8411</v>
      </c>
    </row>
    <row r="3784" spans="9:14">
      <c r="I3784" s="62">
        <v>2024</v>
      </c>
      <c r="J3784" s="62">
        <v>2</v>
      </c>
      <c r="K3784" s="62" t="s">
        <v>22</v>
      </c>
      <c r="L3784" s="62" t="s">
        <v>3</v>
      </c>
      <c r="M3784" s="62">
        <v>289.208</v>
      </c>
      <c r="N3784" s="62">
        <v>14.4604</v>
      </c>
    </row>
    <row r="3785" spans="9:14">
      <c r="I3785" s="62">
        <v>2024</v>
      </c>
      <c r="J3785" s="62">
        <v>3</v>
      </c>
      <c r="K3785" s="62" t="s">
        <v>22</v>
      </c>
      <c r="L3785" s="62" t="s">
        <v>3</v>
      </c>
      <c r="M3785" s="62">
        <v>198.834</v>
      </c>
      <c r="N3785" s="62">
        <v>9.941700000000001</v>
      </c>
    </row>
    <row r="3786" spans="9:14">
      <c r="I3786" s="62">
        <v>2024</v>
      </c>
      <c r="J3786" s="62">
        <v>4</v>
      </c>
      <c r="K3786" s="62" t="s">
        <v>22</v>
      </c>
      <c r="L3786" s="62" t="s">
        <v>3</v>
      </c>
      <c r="M3786" s="62">
        <v>96.52</v>
      </c>
      <c r="N3786" s="62">
        <v>4.826000000000001</v>
      </c>
    </row>
    <row r="3787" spans="9:14">
      <c r="I3787" s="62">
        <v>2024</v>
      </c>
      <c r="J3787" s="62">
        <v>5</v>
      </c>
      <c r="K3787" s="62" t="s">
        <v>22</v>
      </c>
      <c r="L3787" s="62" t="s">
        <v>3</v>
      </c>
      <c r="M3787" s="62">
        <v>69.75</v>
      </c>
      <c r="N3787" s="62">
        <v>3.4875</v>
      </c>
    </row>
    <row r="3788" spans="9:14">
      <c r="I3788" s="62">
        <v>2024</v>
      </c>
      <c r="J3788" s="62">
        <v>6</v>
      </c>
      <c r="K3788" s="62" t="s">
        <v>22</v>
      </c>
      <c r="L3788" s="62" t="s">
        <v>3</v>
      </c>
      <c r="M3788" s="62">
        <v>45.61</v>
      </c>
      <c r="N3788" s="62">
        <v>2.2805</v>
      </c>
    </row>
    <row r="3789" spans="9:14">
      <c r="I3789" s="62">
        <v>2024</v>
      </c>
      <c r="J3789" s="62">
        <v>7</v>
      </c>
      <c r="K3789" s="62" t="s">
        <v>22</v>
      </c>
      <c r="L3789" s="62" t="s">
        <v>3</v>
      </c>
      <c r="M3789" s="62">
        <v>38.75</v>
      </c>
      <c r="N3789" s="62">
        <v>1.9375</v>
      </c>
    </row>
    <row r="3790" spans="9:14">
      <c r="I3790" s="62">
        <v>2024</v>
      </c>
      <c r="J3790" s="62">
        <v>8</v>
      </c>
      <c r="K3790" s="62" t="s">
        <v>22</v>
      </c>
      <c r="L3790" s="62" t="s">
        <v>3</v>
      </c>
      <c r="M3790" s="62">
        <v>39.24</v>
      </c>
      <c r="N3790" s="62">
        <v>1.962</v>
      </c>
    </row>
    <row r="3791" spans="9:14">
      <c r="I3791" s="62">
        <v>2024</v>
      </c>
      <c r="J3791" s="62">
        <v>9</v>
      </c>
      <c r="K3791" s="62" t="s">
        <v>22</v>
      </c>
      <c r="L3791" s="62" t="s">
        <v>3</v>
      </c>
      <c r="M3791" s="62">
        <v>133.65</v>
      </c>
      <c r="N3791" s="62">
        <v>6.6825</v>
      </c>
    </row>
    <row r="3792" spans="9:14">
      <c r="I3792" s="62">
        <v>2024</v>
      </c>
      <c r="J3792" s="62">
        <v>10</v>
      </c>
      <c r="K3792" s="62" t="s">
        <v>22</v>
      </c>
      <c r="L3792" s="62" t="s">
        <v>3</v>
      </c>
      <c r="M3792" s="62">
        <v>141.34</v>
      </c>
      <c r="N3792" s="62">
        <v>7.067</v>
      </c>
    </row>
    <row r="3793" spans="9:14">
      <c r="I3793" s="62">
        <v>2024</v>
      </c>
      <c r="J3793" s="62">
        <v>11</v>
      </c>
      <c r="K3793" s="62" t="s">
        <v>22</v>
      </c>
      <c r="L3793" s="62" t="s">
        <v>3</v>
      </c>
      <c r="M3793" s="62">
        <v>71.31</v>
      </c>
      <c r="N3793" s="62">
        <v>3.5655</v>
      </c>
    </row>
    <row r="3794" spans="9:14">
      <c r="I3794" s="62">
        <v>2024</v>
      </c>
      <c r="J3794" s="62">
        <v>12</v>
      </c>
      <c r="K3794" s="62" t="s">
        <v>22</v>
      </c>
      <c r="L3794" s="62" t="s">
        <v>3</v>
      </c>
      <c r="M3794" s="62">
        <v>64.27</v>
      </c>
      <c r="N3794" s="62">
        <v>3.2135</v>
      </c>
    </row>
    <row r="3795" spans="9:14">
      <c r="I3795" s="62">
        <v>2025</v>
      </c>
      <c r="J3795" s="62">
        <v>1</v>
      </c>
      <c r="K3795" s="62" t="s">
        <v>22</v>
      </c>
      <c r="L3795" s="62" t="s">
        <v>3</v>
      </c>
      <c r="M3795" s="62">
        <v>73.765</v>
      </c>
      <c r="N3795" s="62">
        <v>3.68825</v>
      </c>
    </row>
    <row r="3796" spans="9:14">
      <c r="I3796" s="62">
        <v>2025</v>
      </c>
      <c r="J3796" s="62">
        <v>2</v>
      </c>
      <c r="K3796" s="62" t="s">
        <v>22</v>
      </c>
      <c r="L3796" s="62" t="s">
        <v>3</v>
      </c>
      <c r="M3796" s="62">
        <v>191.2</v>
      </c>
      <c r="N3796" s="62">
        <v>9.56</v>
      </c>
    </row>
    <row r="3797" spans="9:14">
      <c r="I3797" s="62">
        <v>2025</v>
      </c>
      <c r="J3797" s="62">
        <v>3</v>
      </c>
      <c r="K3797" s="62" t="s">
        <v>22</v>
      </c>
      <c r="L3797" s="62" t="s">
        <v>3</v>
      </c>
      <c r="M3797" s="62">
        <v>209.93</v>
      </c>
      <c r="N3797" s="62">
        <v>10.4965</v>
      </c>
    </row>
    <row r="3798" spans="9:14">
      <c r="I3798" s="62">
        <v>2025</v>
      </c>
      <c r="J3798" s="62">
        <v>4</v>
      </c>
      <c r="K3798" s="62" t="s">
        <v>22</v>
      </c>
      <c r="L3798" s="62" t="s">
        <v>3</v>
      </c>
      <c r="M3798" s="62">
        <v>180.08</v>
      </c>
      <c r="N3798" s="62">
        <v>9.004000000000001</v>
      </c>
    </row>
    <row r="3799" spans="9:14">
      <c r="I3799" s="62">
        <v>2025</v>
      </c>
      <c r="J3799" s="62">
        <v>5</v>
      </c>
      <c r="K3799" s="62" t="s">
        <v>22</v>
      </c>
      <c r="L3799" s="62" t="s">
        <v>3</v>
      </c>
      <c r="M3799" s="62">
        <v>83.09999999999999</v>
      </c>
      <c r="N3799" s="62">
        <v>4.155</v>
      </c>
    </row>
    <row r="3800" spans="9:14">
      <c r="I3800" s="62">
        <v>2025</v>
      </c>
      <c r="J3800" s="62">
        <v>6</v>
      </c>
      <c r="K3800" s="62" t="s">
        <v>22</v>
      </c>
      <c r="L3800" s="62" t="s">
        <v>3</v>
      </c>
      <c r="M3800" s="62">
        <v>111.035</v>
      </c>
      <c r="N3800" s="62">
        <v>5.55175</v>
      </c>
    </row>
    <row r="3801" spans="9:14">
      <c r="I3801" s="62">
        <v>2025</v>
      </c>
      <c r="J3801" s="62">
        <v>7</v>
      </c>
      <c r="K3801" s="62" t="s">
        <v>22</v>
      </c>
      <c r="L3801" s="62" t="s">
        <v>3</v>
      </c>
      <c r="M3801" s="62">
        <v>139.395</v>
      </c>
      <c r="N3801" s="62">
        <v>6.96975</v>
      </c>
    </row>
    <row r="3802" spans="9:14">
      <c r="I3802" s="62">
        <v>2025</v>
      </c>
      <c r="J3802" s="62">
        <v>8</v>
      </c>
      <c r="K3802" s="62" t="s">
        <v>22</v>
      </c>
      <c r="L3802" s="62" t="s">
        <v>3</v>
      </c>
      <c r="M3802" s="62">
        <v>158</v>
      </c>
      <c r="N3802" s="62">
        <v>7.9</v>
      </c>
    </row>
    <row r="3803" spans="9:14">
      <c r="I3803" s="62">
        <v>2025</v>
      </c>
      <c r="J3803" s="62">
        <v>9</v>
      </c>
      <c r="K3803" s="62" t="s">
        <v>22</v>
      </c>
      <c r="L3803" s="62" t="s">
        <v>3</v>
      </c>
      <c r="M3803" s="62">
        <v>114.94</v>
      </c>
      <c r="N3803" s="62">
        <v>5.747</v>
      </c>
    </row>
    <row r="3804" spans="9:14">
      <c r="I3804" s="62">
        <v>2025</v>
      </c>
      <c r="J3804" s="62">
        <v>10</v>
      </c>
      <c r="K3804" s="62" t="s">
        <v>22</v>
      </c>
      <c r="L3804" s="62" t="s">
        <v>3</v>
      </c>
      <c r="M3804" s="62">
        <v>98.40000000000001</v>
      </c>
      <c r="N3804" s="62">
        <v>4.92</v>
      </c>
    </row>
    <row r="3805" spans="9:14">
      <c r="I3805" s="62">
        <v>2025</v>
      </c>
      <c r="J3805" s="62">
        <v>11</v>
      </c>
      <c r="K3805" s="62" t="s">
        <v>22</v>
      </c>
      <c r="L3805" s="62" t="s">
        <v>3</v>
      </c>
      <c r="M3805" s="62">
        <v>78.545</v>
      </c>
      <c r="N3805" s="62">
        <v>3.92725</v>
      </c>
    </row>
    <row r="3806" spans="9:14">
      <c r="I3806" s="62">
        <v>2025</v>
      </c>
      <c r="J3806" s="62">
        <v>12</v>
      </c>
      <c r="K3806" s="62" t="s">
        <v>22</v>
      </c>
      <c r="L3806" s="62" t="s">
        <v>3</v>
      </c>
      <c r="M3806" s="62">
        <v>80.44999999999999</v>
      </c>
      <c r="N3806" s="62">
        <v>4.022500000000001</v>
      </c>
    </row>
    <row r="3807" spans="9:14">
      <c r="I3807" s="62">
        <v>2026</v>
      </c>
      <c r="J3807" s="62">
        <v>1</v>
      </c>
      <c r="K3807" s="62" t="s">
        <v>22</v>
      </c>
      <c r="L3807" s="62" t="s">
        <v>3</v>
      </c>
      <c r="M3807" s="62">
        <v>6.54</v>
      </c>
      <c r="N3807" s="62">
        <v>0.3270000000000001</v>
      </c>
    </row>
    <row r="3808" spans="9:14">
      <c r="I3808" s="62">
        <v>2026</v>
      </c>
      <c r="J3808" s="62">
        <v>2</v>
      </c>
      <c r="K3808" s="62" t="s">
        <v>22</v>
      </c>
      <c r="L3808" s="62" t="s">
        <v>3</v>
      </c>
      <c r="M3808" s="62">
        <v>19</v>
      </c>
      <c r="N3808" s="62">
        <v>0.95</v>
      </c>
    </row>
    <row r="3809" spans="9:14">
      <c r="I3809" s="62">
        <v>2026</v>
      </c>
      <c r="J3809" s="62">
        <v>3</v>
      </c>
      <c r="K3809" s="62" t="s">
        <v>22</v>
      </c>
      <c r="L3809" s="62" t="s">
        <v>3</v>
      </c>
      <c r="M3809" s="62">
        <v>64.53100000000001</v>
      </c>
      <c r="N3809" s="62">
        <v>3.22655</v>
      </c>
    </row>
    <row r="3810" spans="9:14">
      <c r="I3810" s="62">
        <v>2026</v>
      </c>
      <c r="J3810" s="62">
        <v>4</v>
      </c>
      <c r="K3810" s="62" t="s">
        <v>22</v>
      </c>
      <c r="L3810" s="62" t="s">
        <v>3</v>
      </c>
      <c r="M3810" s="62">
        <v>66.515</v>
      </c>
      <c r="N3810" s="62">
        <v>3.32575</v>
      </c>
    </row>
    <row r="3811" spans="9:14">
      <c r="I3811" s="62">
        <v>2026</v>
      </c>
      <c r="J3811" s="62">
        <v>5</v>
      </c>
      <c r="K3811" s="62" t="s">
        <v>22</v>
      </c>
      <c r="L3811" s="62" t="s">
        <v>3</v>
      </c>
      <c r="M3811" s="62">
        <v>33.72</v>
      </c>
      <c r="N3811" s="62">
        <v>1.686</v>
      </c>
    </row>
    <row r="3812" spans="9:14">
      <c r="I3812" s="62">
        <v>2026</v>
      </c>
      <c r="J3812" s="62">
        <v>6</v>
      </c>
      <c r="K3812" s="62" t="s">
        <v>22</v>
      </c>
      <c r="L3812" s="62" t="s">
        <v>3</v>
      </c>
      <c r="M3812" s="62">
        <v>10.08</v>
      </c>
      <c r="N3812" s="62">
        <v>0.5040000000000001</v>
      </c>
    </row>
    <row r="3813" spans="9:14">
      <c r="I3813" s="62">
        <v>2014</v>
      </c>
      <c r="J3813" s="62">
        <v>1</v>
      </c>
      <c r="K3813" s="62" t="s">
        <v>23</v>
      </c>
      <c r="L3813" s="62" t="s">
        <v>1</v>
      </c>
      <c r="M3813" s="62">
        <v>45.097</v>
      </c>
      <c r="N3813" s="62">
        <v>0</v>
      </c>
    </row>
    <row r="3814" spans="9:14">
      <c r="I3814" s="62">
        <v>2014</v>
      </c>
      <c r="J3814" s="62">
        <v>2</v>
      </c>
      <c r="K3814" s="62" t="s">
        <v>23</v>
      </c>
      <c r="L3814" s="62" t="s">
        <v>1</v>
      </c>
      <c r="M3814" s="62">
        <v>71.527</v>
      </c>
      <c r="N3814" s="62">
        <v>0</v>
      </c>
    </row>
    <row r="3815" spans="9:14">
      <c r="I3815" s="62">
        <v>2014</v>
      </c>
      <c r="J3815" s="62">
        <v>3</v>
      </c>
      <c r="K3815" s="62" t="s">
        <v>23</v>
      </c>
      <c r="L3815" s="62" t="s">
        <v>1</v>
      </c>
      <c r="M3815" s="62">
        <v>74.21000000000001</v>
      </c>
      <c r="N3815" s="62">
        <v>0</v>
      </c>
    </row>
    <row r="3816" spans="9:14">
      <c r="I3816" s="62">
        <v>2014</v>
      </c>
      <c r="J3816" s="62">
        <v>4</v>
      </c>
      <c r="K3816" s="62" t="s">
        <v>23</v>
      </c>
      <c r="L3816" s="62" t="s">
        <v>1</v>
      </c>
      <c r="M3816" s="62">
        <v>59.963</v>
      </c>
      <c r="N3816" s="62">
        <v>0</v>
      </c>
    </row>
    <row r="3817" spans="9:14">
      <c r="I3817" s="62">
        <v>2014</v>
      </c>
      <c r="J3817" s="62">
        <v>5</v>
      </c>
      <c r="K3817" s="62" t="s">
        <v>23</v>
      </c>
      <c r="L3817" s="62" t="s">
        <v>1</v>
      </c>
      <c r="M3817" s="62">
        <v>34.0455</v>
      </c>
      <c r="N3817" s="62">
        <v>0</v>
      </c>
    </row>
    <row r="3818" spans="9:14">
      <c r="I3818" s="62">
        <v>2014</v>
      </c>
      <c r="J3818" s="62">
        <v>6</v>
      </c>
      <c r="K3818" s="62" t="s">
        <v>23</v>
      </c>
      <c r="L3818" s="62" t="s">
        <v>1</v>
      </c>
      <c r="M3818" s="62">
        <v>40.551</v>
      </c>
      <c r="N3818" s="62">
        <v>0</v>
      </c>
    </row>
    <row r="3819" spans="9:14">
      <c r="I3819" s="62">
        <v>2014</v>
      </c>
      <c r="J3819" s="62">
        <v>7</v>
      </c>
      <c r="K3819" s="62" t="s">
        <v>23</v>
      </c>
      <c r="L3819" s="62" t="s">
        <v>1</v>
      </c>
      <c r="M3819" s="62">
        <v>7.61</v>
      </c>
      <c r="N3819" s="62">
        <v>0</v>
      </c>
    </row>
    <row r="3820" spans="9:14">
      <c r="I3820" s="62">
        <v>2014</v>
      </c>
      <c r="J3820" s="62">
        <v>8</v>
      </c>
      <c r="K3820" s="62" t="s">
        <v>23</v>
      </c>
      <c r="L3820" s="62" t="s">
        <v>1</v>
      </c>
      <c r="M3820" s="62">
        <v>44.1472</v>
      </c>
      <c r="N3820" s="62">
        <v>0</v>
      </c>
    </row>
    <row r="3821" spans="9:14">
      <c r="I3821" s="62">
        <v>2014</v>
      </c>
      <c r="J3821" s="62">
        <v>9</v>
      </c>
      <c r="K3821" s="62" t="s">
        <v>23</v>
      </c>
      <c r="L3821" s="62" t="s">
        <v>1</v>
      </c>
      <c r="M3821" s="62">
        <v>147.7955</v>
      </c>
      <c r="N3821" s="62">
        <v>0</v>
      </c>
    </row>
    <row r="3822" spans="9:14">
      <c r="I3822" s="62">
        <v>2014</v>
      </c>
      <c r="J3822" s="62">
        <v>10</v>
      </c>
      <c r="K3822" s="62" t="s">
        <v>23</v>
      </c>
      <c r="L3822" s="62" t="s">
        <v>1</v>
      </c>
      <c r="M3822" s="62">
        <v>170.054</v>
      </c>
      <c r="N3822" s="62">
        <v>0</v>
      </c>
    </row>
    <row r="3823" spans="9:14">
      <c r="I3823" s="62">
        <v>2014</v>
      </c>
      <c r="J3823" s="62">
        <v>11</v>
      </c>
      <c r="K3823" s="62" t="s">
        <v>23</v>
      </c>
      <c r="L3823" s="62" t="s">
        <v>1</v>
      </c>
      <c r="M3823" s="62">
        <v>60.2259</v>
      </c>
      <c r="N3823" s="62">
        <v>0</v>
      </c>
    </row>
    <row r="3824" spans="9:14">
      <c r="I3824" s="62">
        <v>2014</v>
      </c>
      <c r="J3824" s="62">
        <v>12</v>
      </c>
      <c r="K3824" s="62" t="s">
        <v>23</v>
      </c>
      <c r="L3824" s="62" t="s">
        <v>1</v>
      </c>
      <c r="M3824" s="62">
        <v>27.58</v>
      </c>
      <c r="N3824" s="62">
        <v>0</v>
      </c>
    </row>
    <row r="3825" spans="9:14">
      <c r="I3825" s="62">
        <v>2015</v>
      </c>
      <c r="J3825" s="62">
        <v>1</v>
      </c>
      <c r="K3825" s="62" t="s">
        <v>23</v>
      </c>
      <c r="L3825" s="62" t="s">
        <v>1</v>
      </c>
      <c r="M3825" s="62">
        <v>78.026</v>
      </c>
      <c r="N3825" s="62">
        <v>0</v>
      </c>
    </row>
    <row r="3826" spans="9:14">
      <c r="I3826" s="62">
        <v>2015</v>
      </c>
      <c r="J3826" s="62">
        <v>2</v>
      </c>
      <c r="K3826" s="62" t="s">
        <v>23</v>
      </c>
      <c r="L3826" s="62" t="s">
        <v>1</v>
      </c>
      <c r="M3826" s="62">
        <v>123.35</v>
      </c>
      <c r="N3826" s="62">
        <v>0</v>
      </c>
    </row>
    <row r="3827" spans="9:14">
      <c r="I3827" s="62">
        <v>2015</v>
      </c>
      <c r="J3827" s="62">
        <v>3</v>
      </c>
      <c r="K3827" s="62" t="s">
        <v>23</v>
      </c>
      <c r="L3827" s="62" t="s">
        <v>1</v>
      </c>
      <c r="M3827" s="62">
        <v>103.156</v>
      </c>
      <c r="N3827" s="62">
        <v>0</v>
      </c>
    </row>
    <row r="3828" spans="9:14">
      <c r="I3828" s="62">
        <v>2015</v>
      </c>
      <c r="J3828" s="62">
        <v>4</v>
      </c>
      <c r="K3828" s="62" t="s">
        <v>23</v>
      </c>
      <c r="L3828" s="62" t="s">
        <v>1</v>
      </c>
      <c r="M3828" s="62">
        <v>74.61</v>
      </c>
      <c r="N3828" s="62">
        <v>0</v>
      </c>
    </row>
    <row r="3829" spans="9:14">
      <c r="I3829" s="62">
        <v>2015</v>
      </c>
      <c r="J3829" s="62">
        <v>5</v>
      </c>
      <c r="K3829" s="62" t="s">
        <v>23</v>
      </c>
      <c r="L3829" s="62" t="s">
        <v>1</v>
      </c>
      <c r="M3829" s="62">
        <v>68.15899999999999</v>
      </c>
      <c r="N3829" s="62">
        <v>0</v>
      </c>
    </row>
    <row r="3830" spans="9:14">
      <c r="I3830" s="62">
        <v>2015</v>
      </c>
      <c r="J3830" s="62">
        <v>6</v>
      </c>
      <c r="K3830" s="62" t="s">
        <v>23</v>
      </c>
      <c r="L3830" s="62" t="s">
        <v>1</v>
      </c>
      <c r="M3830" s="62">
        <v>70.21299999999999</v>
      </c>
      <c r="N3830" s="62">
        <v>0</v>
      </c>
    </row>
    <row r="3831" spans="9:14">
      <c r="I3831" s="62">
        <v>2015</v>
      </c>
      <c r="J3831" s="62">
        <v>7</v>
      </c>
      <c r="K3831" s="62" t="s">
        <v>23</v>
      </c>
      <c r="L3831" s="62" t="s">
        <v>1</v>
      </c>
      <c r="M3831" s="62">
        <v>70.10599999999999</v>
      </c>
      <c r="N3831" s="62">
        <v>0</v>
      </c>
    </row>
    <row r="3832" spans="9:14">
      <c r="I3832" s="62">
        <v>2015</v>
      </c>
      <c r="J3832" s="62">
        <v>8</v>
      </c>
      <c r="K3832" s="62" t="s">
        <v>23</v>
      </c>
      <c r="L3832" s="62" t="s">
        <v>1</v>
      </c>
      <c r="M3832" s="62">
        <v>42.819</v>
      </c>
      <c r="N3832" s="62">
        <v>0</v>
      </c>
    </row>
    <row r="3833" spans="9:14">
      <c r="I3833" s="62">
        <v>2015</v>
      </c>
      <c r="J3833" s="62">
        <v>9</v>
      </c>
      <c r="K3833" s="62" t="s">
        <v>23</v>
      </c>
      <c r="L3833" s="62" t="s">
        <v>1</v>
      </c>
      <c r="M3833" s="62">
        <v>62.144</v>
      </c>
      <c r="N3833" s="62">
        <v>0</v>
      </c>
    </row>
    <row r="3834" spans="9:14">
      <c r="I3834" s="62">
        <v>2015</v>
      </c>
      <c r="J3834" s="62">
        <v>10</v>
      </c>
      <c r="K3834" s="62" t="s">
        <v>23</v>
      </c>
      <c r="L3834" s="62" t="s">
        <v>1</v>
      </c>
      <c r="M3834" s="62">
        <v>88.2055</v>
      </c>
      <c r="N3834" s="62">
        <v>0</v>
      </c>
    </row>
    <row r="3835" spans="9:14">
      <c r="I3835" s="62">
        <v>2015</v>
      </c>
      <c r="J3835" s="62">
        <v>11</v>
      </c>
      <c r="K3835" s="62" t="s">
        <v>23</v>
      </c>
      <c r="L3835" s="62" t="s">
        <v>1</v>
      </c>
      <c r="M3835" s="62">
        <v>80.61750000000001</v>
      </c>
      <c r="N3835" s="62">
        <v>0</v>
      </c>
    </row>
    <row r="3836" spans="9:14">
      <c r="I3836" s="62">
        <v>2015</v>
      </c>
      <c r="J3836" s="62">
        <v>12</v>
      </c>
      <c r="K3836" s="62" t="s">
        <v>23</v>
      </c>
      <c r="L3836" s="62" t="s">
        <v>1</v>
      </c>
      <c r="M3836" s="62">
        <v>80.08199999999999</v>
      </c>
      <c r="N3836" s="62">
        <v>0</v>
      </c>
    </row>
    <row r="3837" spans="9:14">
      <c r="I3837" s="62">
        <v>2016</v>
      </c>
      <c r="J3837" s="62">
        <v>1</v>
      </c>
      <c r="K3837" s="62" t="s">
        <v>23</v>
      </c>
      <c r="L3837" s="62" t="s">
        <v>1</v>
      </c>
      <c r="M3837" s="62">
        <v>80.625</v>
      </c>
      <c r="N3837" s="62">
        <v>0</v>
      </c>
    </row>
    <row r="3838" spans="9:14">
      <c r="I3838" s="62">
        <v>2016</v>
      </c>
      <c r="J3838" s="62">
        <v>2</v>
      </c>
      <c r="K3838" s="62" t="s">
        <v>23</v>
      </c>
      <c r="L3838" s="62" t="s">
        <v>1</v>
      </c>
      <c r="M3838" s="62">
        <v>96.97</v>
      </c>
      <c r="N3838" s="62">
        <v>0</v>
      </c>
    </row>
    <row r="3839" spans="9:14">
      <c r="I3839" s="62">
        <v>2016</v>
      </c>
      <c r="J3839" s="62">
        <v>3</v>
      </c>
      <c r="K3839" s="62" t="s">
        <v>23</v>
      </c>
      <c r="L3839" s="62" t="s">
        <v>1</v>
      </c>
      <c r="M3839" s="62">
        <v>57.509</v>
      </c>
      <c r="N3839" s="62">
        <v>0</v>
      </c>
    </row>
    <row r="3840" spans="9:14">
      <c r="I3840" s="62">
        <v>2016</v>
      </c>
      <c r="J3840" s="62">
        <v>4</v>
      </c>
      <c r="K3840" s="62" t="s">
        <v>23</v>
      </c>
      <c r="L3840" s="62" t="s">
        <v>1</v>
      </c>
      <c r="M3840" s="62">
        <v>77.88</v>
      </c>
      <c r="N3840" s="62">
        <v>0</v>
      </c>
    </row>
    <row r="3841" spans="9:14">
      <c r="I3841" s="62">
        <v>2016</v>
      </c>
      <c r="J3841" s="62">
        <v>5</v>
      </c>
      <c r="K3841" s="62" t="s">
        <v>23</v>
      </c>
      <c r="L3841" s="62" t="s">
        <v>1</v>
      </c>
      <c r="M3841" s="62">
        <v>51.364</v>
      </c>
      <c r="N3841" s="62">
        <v>0</v>
      </c>
    </row>
    <row r="3842" spans="9:14">
      <c r="I3842" s="62">
        <v>2016</v>
      </c>
      <c r="J3842" s="62">
        <v>6</v>
      </c>
      <c r="K3842" s="62" t="s">
        <v>23</v>
      </c>
      <c r="L3842" s="62" t="s">
        <v>1</v>
      </c>
      <c r="M3842" s="62">
        <v>14.704</v>
      </c>
      <c r="N3842" s="62">
        <v>0</v>
      </c>
    </row>
    <row r="3843" spans="9:14">
      <c r="I3843" s="62">
        <v>2016</v>
      </c>
      <c r="J3843" s="62">
        <v>7</v>
      </c>
      <c r="K3843" s="62" t="s">
        <v>23</v>
      </c>
      <c r="L3843" s="62" t="s">
        <v>1</v>
      </c>
      <c r="M3843" s="62">
        <v>8.704000000000001</v>
      </c>
      <c r="N3843" s="62">
        <v>0</v>
      </c>
    </row>
    <row r="3844" spans="9:14">
      <c r="I3844" s="62">
        <v>2016</v>
      </c>
      <c r="J3844" s="62">
        <v>8</v>
      </c>
      <c r="K3844" s="62" t="s">
        <v>23</v>
      </c>
      <c r="L3844" s="62" t="s">
        <v>1</v>
      </c>
      <c r="M3844" s="62">
        <v>4.3075</v>
      </c>
      <c r="N3844" s="62">
        <v>0</v>
      </c>
    </row>
    <row r="3845" spans="9:14">
      <c r="I3845" s="62">
        <v>2016</v>
      </c>
      <c r="J3845" s="62">
        <v>9</v>
      </c>
      <c r="K3845" s="62" t="s">
        <v>23</v>
      </c>
      <c r="L3845" s="62" t="s">
        <v>1</v>
      </c>
      <c r="M3845" s="62">
        <v>54.476</v>
      </c>
      <c r="N3845" s="62">
        <v>0</v>
      </c>
    </row>
    <row r="3846" spans="9:14">
      <c r="I3846" s="62">
        <v>2016</v>
      </c>
      <c r="J3846" s="62">
        <v>10</v>
      </c>
      <c r="K3846" s="62" t="s">
        <v>23</v>
      </c>
      <c r="L3846" s="62" t="s">
        <v>1</v>
      </c>
      <c r="M3846" s="62">
        <v>122.3345</v>
      </c>
      <c r="N3846" s="62">
        <v>0</v>
      </c>
    </row>
    <row r="3847" spans="9:14">
      <c r="I3847" s="62">
        <v>2016</v>
      </c>
      <c r="J3847" s="62">
        <v>11</v>
      </c>
      <c r="K3847" s="62" t="s">
        <v>23</v>
      </c>
      <c r="L3847" s="62" t="s">
        <v>1</v>
      </c>
      <c r="M3847" s="62">
        <v>58.75</v>
      </c>
      <c r="N3847" s="62">
        <v>0</v>
      </c>
    </row>
    <row r="3848" spans="9:14">
      <c r="I3848" s="62">
        <v>2016</v>
      </c>
      <c r="J3848" s="62">
        <v>12</v>
      </c>
      <c r="K3848" s="62" t="s">
        <v>23</v>
      </c>
      <c r="L3848" s="62" t="s">
        <v>1</v>
      </c>
      <c r="M3848" s="62">
        <v>1.71</v>
      </c>
      <c r="N3848" s="62">
        <v>0</v>
      </c>
    </row>
    <row r="3849" spans="9:14">
      <c r="I3849" s="62">
        <v>2017</v>
      </c>
      <c r="J3849" s="62">
        <v>1</v>
      </c>
      <c r="K3849" s="62" t="s">
        <v>23</v>
      </c>
      <c r="L3849" s="62" t="s">
        <v>1</v>
      </c>
      <c r="M3849" s="62">
        <v>44.542</v>
      </c>
      <c r="N3849" s="62">
        <v>0</v>
      </c>
    </row>
    <row r="3850" spans="9:14">
      <c r="I3850" s="62">
        <v>2017</v>
      </c>
      <c r="J3850" s="62">
        <v>2</v>
      </c>
      <c r="K3850" s="62" t="s">
        <v>23</v>
      </c>
      <c r="L3850" s="62" t="s">
        <v>1</v>
      </c>
      <c r="M3850" s="62">
        <v>92.932</v>
      </c>
      <c r="N3850" s="62">
        <v>0</v>
      </c>
    </row>
    <row r="3851" spans="9:14">
      <c r="I3851" s="62">
        <v>2017</v>
      </c>
      <c r="J3851" s="62">
        <v>3</v>
      </c>
      <c r="K3851" s="62" t="s">
        <v>23</v>
      </c>
      <c r="L3851" s="62" t="s">
        <v>1</v>
      </c>
      <c r="M3851" s="62">
        <v>78.9695</v>
      </c>
      <c r="N3851" s="62">
        <v>0</v>
      </c>
    </row>
    <row r="3852" spans="9:14">
      <c r="I3852" s="62">
        <v>2017</v>
      </c>
      <c r="J3852" s="62">
        <v>4</v>
      </c>
      <c r="K3852" s="62" t="s">
        <v>23</v>
      </c>
      <c r="L3852" s="62" t="s">
        <v>1</v>
      </c>
      <c r="M3852" s="62">
        <v>47.2455</v>
      </c>
      <c r="N3852" s="62">
        <v>0</v>
      </c>
    </row>
    <row r="3853" spans="9:14">
      <c r="I3853" s="62">
        <v>2017</v>
      </c>
      <c r="J3853" s="62">
        <v>5</v>
      </c>
      <c r="K3853" s="62" t="s">
        <v>23</v>
      </c>
      <c r="L3853" s="62" t="s">
        <v>1</v>
      </c>
      <c r="M3853" s="62">
        <v>35.2</v>
      </c>
      <c r="N3853" s="62">
        <v>0</v>
      </c>
    </row>
    <row r="3854" spans="9:14">
      <c r="I3854" s="62">
        <v>2017</v>
      </c>
      <c r="J3854" s="62">
        <v>6</v>
      </c>
      <c r="K3854" s="62" t="s">
        <v>23</v>
      </c>
      <c r="L3854" s="62" t="s">
        <v>1</v>
      </c>
      <c r="M3854" s="62">
        <v>15.413</v>
      </c>
      <c r="N3854" s="62">
        <v>0</v>
      </c>
    </row>
    <row r="3855" spans="9:14">
      <c r="I3855" s="62">
        <v>2017</v>
      </c>
      <c r="J3855" s="62">
        <v>7</v>
      </c>
      <c r="K3855" s="62" t="s">
        <v>23</v>
      </c>
      <c r="L3855" s="62" t="s">
        <v>1</v>
      </c>
      <c r="M3855" s="62">
        <v>26.165</v>
      </c>
      <c r="N3855" s="62">
        <v>0</v>
      </c>
    </row>
    <row r="3856" spans="9:14">
      <c r="I3856" s="62">
        <v>2017</v>
      </c>
      <c r="J3856" s="62">
        <v>8</v>
      </c>
      <c r="K3856" s="62" t="s">
        <v>23</v>
      </c>
      <c r="L3856" s="62" t="s">
        <v>1</v>
      </c>
      <c r="M3856" s="62">
        <v>64.7289</v>
      </c>
      <c r="N3856" s="62">
        <v>0</v>
      </c>
    </row>
    <row r="3857" spans="9:14">
      <c r="I3857" s="62">
        <v>2017</v>
      </c>
      <c r="J3857" s="62">
        <v>9</v>
      </c>
      <c r="K3857" s="62" t="s">
        <v>23</v>
      </c>
      <c r="L3857" s="62" t="s">
        <v>1</v>
      </c>
      <c r="M3857" s="62">
        <v>148.985</v>
      </c>
      <c r="N3857" s="62">
        <v>0</v>
      </c>
    </row>
    <row r="3858" spans="9:14">
      <c r="I3858" s="62">
        <v>2017</v>
      </c>
      <c r="J3858" s="62">
        <v>10</v>
      </c>
      <c r="K3858" s="62" t="s">
        <v>23</v>
      </c>
      <c r="L3858" s="62" t="s">
        <v>1</v>
      </c>
      <c r="M3858" s="62">
        <v>95.30800000000001</v>
      </c>
      <c r="N3858" s="62">
        <v>0</v>
      </c>
    </row>
    <row r="3859" spans="9:14">
      <c r="I3859" s="62">
        <v>2017</v>
      </c>
      <c r="J3859" s="62">
        <v>11</v>
      </c>
      <c r="K3859" s="62" t="s">
        <v>23</v>
      </c>
      <c r="L3859" s="62" t="s">
        <v>1</v>
      </c>
      <c r="M3859" s="62">
        <v>43.208</v>
      </c>
      <c r="N3859" s="62">
        <v>0</v>
      </c>
    </row>
    <row r="3860" spans="9:14">
      <c r="I3860" s="62">
        <v>2017</v>
      </c>
      <c r="J3860" s="62">
        <v>12</v>
      </c>
      <c r="K3860" s="62" t="s">
        <v>23</v>
      </c>
      <c r="L3860" s="62" t="s">
        <v>1</v>
      </c>
      <c r="M3860" s="62">
        <v>0.285</v>
      </c>
      <c r="N3860" s="62">
        <v>0</v>
      </c>
    </row>
    <row r="3861" spans="9:14">
      <c r="I3861" s="62">
        <v>2018</v>
      </c>
      <c r="J3861" s="62">
        <v>1</v>
      </c>
      <c r="K3861" s="62" t="s">
        <v>23</v>
      </c>
      <c r="L3861" s="62" t="s">
        <v>1</v>
      </c>
      <c r="M3861" s="62">
        <v>53.172</v>
      </c>
      <c r="N3861" s="62">
        <v>0</v>
      </c>
    </row>
    <row r="3862" spans="9:14">
      <c r="I3862" s="62">
        <v>2018</v>
      </c>
      <c r="J3862" s="62">
        <v>2</v>
      </c>
      <c r="K3862" s="62" t="s">
        <v>23</v>
      </c>
      <c r="L3862" s="62" t="s">
        <v>1</v>
      </c>
      <c r="M3862" s="62">
        <v>89.07000000000001</v>
      </c>
      <c r="N3862" s="62">
        <v>0</v>
      </c>
    </row>
    <row r="3863" spans="9:14">
      <c r="I3863" s="62">
        <v>2018</v>
      </c>
      <c r="J3863" s="62">
        <v>3</v>
      </c>
      <c r="K3863" s="62" t="s">
        <v>23</v>
      </c>
      <c r="L3863" s="62" t="s">
        <v>1</v>
      </c>
      <c r="M3863" s="62">
        <v>80.604</v>
      </c>
      <c r="N3863" s="62">
        <v>0</v>
      </c>
    </row>
    <row r="3864" spans="9:14">
      <c r="I3864" s="62">
        <v>2018</v>
      </c>
      <c r="J3864" s="62">
        <v>4</v>
      </c>
      <c r="K3864" s="62" t="s">
        <v>23</v>
      </c>
      <c r="L3864" s="62" t="s">
        <v>1</v>
      </c>
      <c r="M3864" s="62">
        <v>43.825</v>
      </c>
      <c r="N3864" s="62">
        <v>0</v>
      </c>
    </row>
    <row r="3865" spans="9:14">
      <c r="I3865" s="62">
        <v>2018</v>
      </c>
      <c r="J3865" s="62">
        <v>5</v>
      </c>
      <c r="K3865" s="62" t="s">
        <v>23</v>
      </c>
      <c r="L3865" s="62" t="s">
        <v>1</v>
      </c>
      <c r="M3865" s="62">
        <v>48.1933</v>
      </c>
      <c r="N3865" s="62">
        <v>0</v>
      </c>
    </row>
    <row r="3866" spans="9:14">
      <c r="I3866" s="62">
        <v>2018</v>
      </c>
      <c r="J3866" s="62">
        <v>6</v>
      </c>
      <c r="K3866" s="62" t="s">
        <v>23</v>
      </c>
      <c r="L3866" s="62" t="s">
        <v>1</v>
      </c>
      <c r="M3866" s="62">
        <v>54.45</v>
      </c>
      <c r="N3866" s="62">
        <v>0</v>
      </c>
    </row>
    <row r="3867" spans="9:14">
      <c r="I3867" s="62">
        <v>2018</v>
      </c>
      <c r="J3867" s="62">
        <v>7</v>
      </c>
      <c r="K3867" s="62" t="s">
        <v>23</v>
      </c>
      <c r="L3867" s="62" t="s">
        <v>1</v>
      </c>
      <c r="M3867" s="62">
        <v>86.69460000000001</v>
      </c>
      <c r="N3867" s="62">
        <v>0</v>
      </c>
    </row>
    <row r="3868" spans="9:14">
      <c r="I3868" s="62">
        <v>2018</v>
      </c>
      <c r="J3868" s="62">
        <v>8</v>
      </c>
      <c r="K3868" s="62" t="s">
        <v>23</v>
      </c>
      <c r="L3868" s="62" t="s">
        <v>1</v>
      </c>
      <c r="M3868" s="62">
        <v>61.12</v>
      </c>
      <c r="N3868" s="62">
        <v>0</v>
      </c>
    </row>
    <row r="3869" spans="9:14">
      <c r="I3869" s="62">
        <v>2018</v>
      </c>
      <c r="J3869" s="62">
        <v>9</v>
      </c>
      <c r="K3869" s="62" t="s">
        <v>23</v>
      </c>
      <c r="L3869" s="62" t="s">
        <v>1</v>
      </c>
      <c r="M3869" s="62">
        <v>34.9813</v>
      </c>
      <c r="N3869" s="62">
        <v>0</v>
      </c>
    </row>
    <row r="3870" spans="9:14">
      <c r="I3870" s="62">
        <v>2018</v>
      </c>
      <c r="J3870" s="62">
        <v>10</v>
      </c>
      <c r="K3870" s="62" t="s">
        <v>23</v>
      </c>
      <c r="L3870" s="62" t="s">
        <v>1</v>
      </c>
      <c r="M3870" s="62">
        <v>72.32900000000001</v>
      </c>
      <c r="N3870" s="62">
        <v>0</v>
      </c>
    </row>
    <row r="3871" spans="9:14">
      <c r="I3871" s="62">
        <v>2018</v>
      </c>
      <c r="J3871" s="62">
        <v>11</v>
      </c>
      <c r="K3871" s="62" t="s">
        <v>23</v>
      </c>
      <c r="L3871" s="62" t="s">
        <v>1</v>
      </c>
      <c r="M3871" s="62">
        <v>38.315</v>
      </c>
      <c r="N3871" s="62">
        <v>0</v>
      </c>
    </row>
    <row r="3872" spans="9:14">
      <c r="I3872" s="62">
        <v>2018</v>
      </c>
      <c r="J3872" s="62">
        <v>12</v>
      </c>
      <c r="K3872" s="62" t="s">
        <v>23</v>
      </c>
      <c r="L3872" s="62" t="s">
        <v>1</v>
      </c>
      <c r="M3872" s="62">
        <v>6.902</v>
      </c>
      <c r="N3872" s="62">
        <v>0</v>
      </c>
    </row>
    <row r="3873" spans="9:14">
      <c r="I3873" s="62">
        <v>2019</v>
      </c>
      <c r="J3873" s="62">
        <v>1</v>
      </c>
      <c r="K3873" s="62" t="s">
        <v>23</v>
      </c>
      <c r="L3873" s="62" t="s">
        <v>1</v>
      </c>
      <c r="M3873" s="62">
        <v>59.816</v>
      </c>
      <c r="N3873" s="62">
        <v>0</v>
      </c>
    </row>
    <row r="3874" spans="9:14">
      <c r="I3874" s="62">
        <v>2019</v>
      </c>
      <c r="J3874" s="62">
        <v>2</v>
      </c>
      <c r="K3874" s="62" t="s">
        <v>23</v>
      </c>
      <c r="L3874" s="62" t="s">
        <v>1</v>
      </c>
      <c r="M3874" s="62">
        <v>110.037</v>
      </c>
      <c r="N3874" s="62">
        <v>0</v>
      </c>
    </row>
    <row r="3875" spans="9:14">
      <c r="I3875" s="62">
        <v>2019</v>
      </c>
      <c r="J3875" s="62">
        <v>3</v>
      </c>
      <c r="K3875" s="62" t="s">
        <v>23</v>
      </c>
      <c r="L3875" s="62" t="s">
        <v>1</v>
      </c>
      <c r="M3875" s="62">
        <v>65.658</v>
      </c>
      <c r="N3875" s="62">
        <v>0</v>
      </c>
    </row>
    <row r="3876" spans="9:14">
      <c r="I3876" s="62">
        <v>2019</v>
      </c>
      <c r="J3876" s="62">
        <v>4</v>
      </c>
      <c r="K3876" s="62" t="s">
        <v>23</v>
      </c>
      <c r="L3876" s="62" t="s">
        <v>1</v>
      </c>
      <c r="M3876" s="62">
        <v>80.926</v>
      </c>
      <c r="N3876" s="62">
        <v>0</v>
      </c>
    </row>
    <row r="3877" spans="9:14">
      <c r="I3877" s="62">
        <v>2019</v>
      </c>
      <c r="J3877" s="62">
        <v>5</v>
      </c>
      <c r="K3877" s="62" t="s">
        <v>23</v>
      </c>
      <c r="L3877" s="62" t="s">
        <v>1</v>
      </c>
      <c r="M3877" s="62">
        <v>63.384</v>
      </c>
      <c r="N3877" s="62">
        <v>0</v>
      </c>
    </row>
    <row r="3878" spans="9:14">
      <c r="I3878" s="62">
        <v>2019</v>
      </c>
      <c r="J3878" s="62">
        <v>6</v>
      </c>
      <c r="K3878" s="62" t="s">
        <v>23</v>
      </c>
      <c r="L3878" s="62" t="s">
        <v>1</v>
      </c>
      <c r="M3878" s="62">
        <v>55.6</v>
      </c>
      <c r="N3878" s="62">
        <v>0</v>
      </c>
    </row>
    <row r="3879" spans="9:14">
      <c r="I3879" s="62">
        <v>2019</v>
      </c>
      <c r="J3879" s="62">
        <v>7</v>
      </c>
      <c r="K3879" s="62" t="s">
        <v>23</v>
      </c>
      <c r="L3879" s="62" t="s">
        <v>1</v>
      </c>
      <c r="M3879" s="62">
        <v>28.6346</v>
      </c>
      <c r="N3879" s="62">
        <v>0</v>
      </c>
    </row>
    <row r="3880" spans="9:14">
      <c r="I3880" s="62">
        <v>2019</v>
      </c>
      <c r="J3880" s="62">
        <v>8</v>
      </c>
      <c r="K3880" s="62" t="s">
        <v>23</v>
      </c>
      <c r="L3880" s="62" t="s">
        <v>1</v>
      </c>
      <c r="M3880" s="62">
        <v>1.76</v>
      </c>
      <c r="N3880" s="62">
        <v>0</v>
      </c>
    </row>
    <row r="3881" spans="9:14">
      <c r="I3881" s="62">
        <v>2019</v>
      </c>
      <c r="J3881" s="62">
        <v>9</v>
      </c>
      <c r="K3881" s="62" t="s">
        <v>23</v>
      </c>
      <c r="L3881" s="62" t="s">
        <v>1</v>
      </c>
      <c r="M3881" s="62">
        <v>72.13500000000001</v>
      </c>
      <c r="N3881" s="62">
        <v>0</v>
      </c>
    </row>
    <row r="3882" spans="9:14">
      <c r="I3882" s="62">
        <v>2019</v>
      </c>
      <c r="J3882" s="62">
        <v>10</v>
      </c>
      <c r="K3882" s="62" t="s">
        <v>23</v>
      </c>
      <c r="L3882" s="62" t="s">
        <v>1</v>
      </c>
      <c r="M3882" s="62">
        <v>140.98</v>
      </c>
      <c r="N3882" s="62">
        <v>0</v>
      </c>
    </row>
    <row r="3883" spans="9:14">
      <c r="I3883" s="62">
        <v>2019</v>
      </c>
      <c r="J3883" s="62">
        <v>11</v>
      </c>
      <c r="K3883" s="62" t="s">
        <v>23</v>
      </c>
      <c r="L3883" s="62" t="s">
        <v>1</v>
      </c>
      <c r="M3883" s="62">
        <v>73.31999999999999</v>
      </c>
      <c r="N3883" s="62">
        <v>0</v>
      </c>
    </row>
    <row r="3884" spans="9:14">
      <c r="I3884" s="62">
        <v>2019</v>
      </c>
      <c r="J3884" s="62">
        <v>12</v>
      </c>
      <c r="K3884" s="62" t="s">
        <v>23</v>
      </c>
      <c r="L3884" s="62" t="s">
        <v>1</v>
      </c>
      <c r="M3884" s="62">
        <v>27.846</v>
      </c>
      <c r="N3884" s="62">
        <v>0</v>
      </c>
    </row>
    <row r="3885" spans="9:14">
      <c r="I3885" s="62">
        <v>2020</v>
      </c>
      <c r="J3885" s="62">
        <v>1</v>
      </c>
      <c r="K3885" s="62" t="s">
        <v>23</v>
      </c>
      <c r="L3885" s="62" t="s">
        <v>1</v>
      </c>
      <c r="M3885" s="62">
        <v>87.937</v>
      </c>
      <c r="N3885" s="62">
        <v>0</v>
      </c>
    </row>
    <row r="3886" spans="9:14">
      <c r="I3886" s="62">
        <v>2020</v>
      </c>
      <c r="J3886" s="62">
        <v>2</v>
      </c>
      <c r="K3886" s="62" t="s">
        <v>23</v>
      </c>
      <c r="L3886" s="62" t="s">
        <v>1</v>
      </c>
      <c r="M3886" s="62">
        <v>156.222</v>
      </c>
      <c r="N3886" s="62">
        <v>0</v>
      </c>
    </row>
    <row r="3887" spans="9:14">
      <c r="I3887" s="62">
        <v>2020</v>
      </c>
      <c r="J3887" s="62">
        <v>3</v>
      </c>
      <c r="K3887" s="62" t="s">
        <v>23</v>
      </c>
      <c r="L3887" s="62" t="s">
        <v>1</v>
      </c>
      <c r="M3887" s="62">
        <v>127.768</v>
      </c>
      <c r="N3887" s="62">
        <v>0</v>
      </c>
    </row>
    <row r="3888" spans="9:14">
      <c r="I3888" s="62">
        <v>2020</v>
      </c>
      <c r="J3888" s="62">
        <v>4</v>
      </c>
      <c r="K3888" s="62" t="s">
        <v>23</v>
      </c>
      <c r="L3888" s="62" t="s">
        <v>1</v>
      </c>
      <c r="M3888" s="62">
        <v>295.7808</v>
      </c>
      <c r="N3888" s="62">
        <v>0</v>
      </c>
    </row>
    <row r="3889" spans="9:14">
      <c r="I3889" s="62">
        <v>2020</v>
      </c>
      <c r="J3889" s="62">
        <v>5</v>
      </c>
      <c r="K3889" s="62" t="s">
        <v>23</v>
      </c>
      <c r="L3889" s="62" t="s">
        <v>1</v>
      </c>
      <c r="M3889" s="62">
        <v>321.6581</v>
      </c>
      <c r="N3889" s="62">
        <v>0</v>
      </c>
    </row>
    <row r="3890" spans="9:14">
      <c r="I3890" s="62">
        <v>2020</v>
      </c>
      <c r="J3890" s="62">
        <v>6</v>
      </c>
      <c r="K3890" s="62" t="s">
        <v>23</v>
      </c>
      <c r="L3890" s="62" t="s">
        <v>1</v>
      </c>
      <c r="M3890" s="62">
        <v>333.071</v>
      </c>
      <c r="N3890" s="62">
        <v>0</v>
      </c>
    </row>
    <row r="3891" spans="9:14">
      <c r="I3891" s="62">
        <v>2020</v>
      </c>
      <c r="J3891" s="62">
        <v>7</v>
      </c>
      <c r="K3891" s="62" t="s">
        <v>23</v>
      </c>
      <c r="L3891" s="62" t="s">
        <v>1</v>
      </c>
      <c r="M3891" s="62">
        <v>318.1952</v>
      </c>
      <c r="N3891" s="62">
        <v>0</v>
      </c>
    </row>
    <row r="3892" spans="9:14">
      <c r="I3892" s="62">
        <v>2020</v>
      </c>
      <c r="J3892" s="62">
        <v>8</v>
      </c>
      <c r="K3892" s="62" t="s">
        <v>23</v>
      </c>
      <c r="L3892" s="62" t="s">
        <v>1</v>
      </c>
      <c r="M3892" s="62">
        <v>271.3815</v>
      </c>
      <c r="N3892" s="62">
        <v>0</v>
      </c>
    </row>
    <row r="3893" spans="9:14">
      <c r="I3893" s="62">
        <v>2020</v>
      </c>
      <c r="J3893" s="62">
        <v>9</v>
      </c>
      <c r="K3893" s="62" t="s">
        <v>23</v>
      </c>
      <c r="L3893" s="62" t="s">
        <v>1</v>
      </c>
      <c r="M3893" s="62">
        <v>308.9532</v>
      </c>
      <c r="N3893" s="62">
        <v>0</v>
      </c>
    </row>
    <row r="3894" spans="9:14">
      <c r="I3894" s="62">
        <v>2020</v>
      </c>
      <c r="J3894" s="62">
        <v>10</v>
      </c>
      <c r="K3894" s="62" t="s">
        <v>23</v>
      </c>
      <c r="L3894" s="62" t="s">
        <v>1</v>
      </c>
      <c r="M3894" s="62">
        <v>317.4381</v>
      </c>
      <c r="N3894" s="62">
        <v>0</v>
      </c>
    </row>
    <row r="3895" spans="9:14">
      <c r="I3895" s="62">
        <v>2020</v>
      </c>
      <c r="J3895" s="62">
        <v>11</v>
      </c>
      <c r="K3895" s="62" t="s">
        <v>23</v>
      </c>
      <c r="L3895" s="62" t="s">
        <v>1</v>
      </c>
      <c r="M3895" s="62">
        <v>305.6615</v>
      </c>
      <c r="N3895" s="62">
        <v>0</v>
      </c>
    </row>
    <row r="3896" spans="9:14">
      <c r="I3896" s="62">
        <v>2020</v>
      </c>
      <c r="J3896" s="62">
        <v>12</v>
      </c>
      <c r="K3896" s="62" t="s">
        <v>23</v>
      </c>
      <c r="L3896" s="62" t="s">
        <v>1</v>
      </c>
      <c r="M3896" s="62">
        <v>355.0666</v>
      </c>
      <c r="N3896" s="62">
        <v>0</v>
      </c>
    </row>
    <row r="3897" spans="9:14">
      <c r="I3897" s="62">
        <v>2021</v>
      </c>
      <c r="J3897" s="62">
        <v>1</v>
      </c>
      <c r="K3897" s="62" t="s">
        <v>23</v>
      </c>
      <c r="L3897" s="62" t="s">
        <v>1</v>
      </c>
      <c r="M3897" s="62">
        <v>349.2442</v>
      </c>
      <c r="N3897" s="62">
        <v>0</v>
      </c>
    </row>
    <row r="3898" spans="9:14">
      <c r="I3898" s="62">
        <v>2021</v>
      </c>
      <c r="J3898" s="62">
        <v>2</v>
      </c>
      <c r="K3898" s="62" t="s">
        <v>23</v>
      </c>
      <c r="L3898" s="62" t="s">
        <v>1</v>
      </c>
      <c r="M3898" s="62">
        <v>395.6323</v>
      </c>
      <c r="N3898" s="62">
        <v>0</v>
      </c>
    </row>
    <row r="3899" spans="9:14">
      <c r="I3899" s="62">
        <v>2021</v>
      </c>
      <c r="J3899" s="62">
        <v>3</v>
      </c>
      <c r="K3899" s="62" t="s">
        <v>23</v>
      </c>
      <c r="L3899" s="62" t="s">
        <v>1</v>
      </c>
      <c r="M3899" s="62">
        <v>339.427</v>
      </c>
      <c r="N3899" s="62">
        <v>0</v>
      </c>
    </row>
    <row r="3900" spans="9:14">
      <c r="I3900" s="62">
        <v>2021</v>
      </c>
      <c r="J3900" s="62">
        <v>4</v>
      </c>
      <c r="K3900" s="62" t="s">
        <v>23</v>
      </c>
      <c r="L3900" s="62" t="s">
        <v>1</v>
      </c>
      <c r="M3900" s="62">
        <v>189.6215</v>
      </c>
      <c r="N3900" s="62">
        <v>0</v>
      </c>
    </row>
    <row r="3901" spans="9:14">
      <c r="I3901" s="62">
        <v>2021</v>
      </c>
      <c r="J3901" s="62">
        <v>5</v>
      </c>
      <c r="K3901" s="62" t="s">
        <v>23</v>
      </c>
      <c r="L3901" s="62" t="s">
        <v>1</v>
      </c>
      <c r="M3901" s="62">
        <v>89.6862</v>
      </c>
      <c r="N3901" s="62">
        <v>0</v>
      </c>
    </row>
    <row r="3902" spans="9:14">
      <c r="I3902" s="62">
        <v>2021</v>
      </c>
      <c r="J3902" s="62">
        <v>6</v>
      </c>
      <c r="K3902" s="62" t="s">
        <v>23</v>
      </c>
      <c r="L3902" s="62" t="s">
        <v>1</v>
      </c>
      <c r="M3902" s="62">
        <v>73.2794</v>
      </c>
      <c r="N3902" s="62">
        <v>0</v>
      </c>
    </row>
    <row r="3903" spans="9:14">
      <c r="I3903" s="62">
        <v>2021</v>
      </c>
      <c r="J3903" s="62">
        <v>7</v>
      </c>
      <c r="K3903" s="62" t="s">
        <v>23</v>
      </c>
      <c r="L3903" s="62" t="s">
        <v>1</v>
      </c>
      <c r="M3903" s="62">
        <v>71.825</v>
      </c>
      <c r="N3903" s="62">
        <v>0</v>
      </c>
    </row>
    <row r="3904" spans="9:14">
      <c r="I3904" s="62">
        <v>2021</v>
      </c>
      <c r="J3904" s="62">
        <v>8</v>
      </c>
      <c r="K3904" s="62" t="s">
        <v>23</v>
      </c>
      <c r="L3904" s="62" t="s">
        <v>1</v>
      </c>
      <c r="M3904" s="62">
        <v>104.157</v>
      </c>
      <c r="N3904" s="62">
        <v>0</v>
      </c>
    </row>
    <row r="3905" spans="9:14">
      <c r="I3905" s="62">
        <v>2021</v>
      </c>
      <c r="J3905" s="62">
        <v>9</v>
      </c>
      <c r="K3905" s="62" t="s">
        <v>23</v>
      </c>
      <c r="L3905" s="62" t="s">
        <v>1</v>
      </c>
      <c r="M3905" s="62">
        <v>178.198</v>
      </c>
      <c r="N3905" s="62">
        <v>0</v>
      </c>
    </row>
    <row r="3906" spans="9:14">
      <c r="I3906" s="62">
        <v>2021</v>
      </c>
      <c r="J3906" s="62">
        <v>10</v>
      </c>
      <c r="K3906" s="62" t="s">
        <v>23</v>
      </c>
      <c r="L3906" s="62" t="s">
        <v>1</v>
      </c>
      <c r="M3906" s="62">
        <v>110.955</v>
      </c>
      <c r="N3906" s="62">
        <v>0</v>
      </c>
    </row>
    <row r="3907" spans="9:14">
      <c r="I3907" s="62">
        <v>2021</v>
      </c>
      <c r="J3907" s="62">
        <v>11</v>
      </c>
      <c r="K3907" s="62" t="s">
        <v>23</v>
      </c>
      <c r="L3907" s="62" t="s">
        <v>1</v>
      </c>
      <c r="M3907" s="62">
        <v>60.391</v>
      </c>
      <c r="N3907" s="62">
        <v>0</v>
      </c>
    </row>
    <row r="3908" spans="9:14">
      <c r="I3908" s="62">
        <v>2021</v>
      </c>
      <c r="J3908" s="62">
        <v>12</v>
      </c>
      <c r="K3908" s="62" t="s">
        <v>23</v>
      </c>
      <c r="L3908" s="62" t="s">
        <v>1</v>
      </c>
      <c r="M3908" s="62">
        <v>28.278</v>
      </c>
      <c r="N3908" s="62">
        <v>0</v>
      </c>
    </row>
    <row r="3909" spans="9:14">
      <c r="I3909" s="62">
        <v>2022</v>
      </c>
      <c r="J3909" s="62">
        <v>1</v>
      </c>
      <c r="K3909" s="62" t="s">
        <v>23</v>
      </c>
      <c r="L3909" s="62" t="s">
        <v>1</v>
      </c>
      <c r="M3909" s="62">
        <v>96.705</v>
      </c>
      <c r="N3909" s="62">
        <v>0</v>
      </c>
    </row>
    <row r="3910" spans="9:14">
      <c r="I3910" s="62">
        <v>2022</v>
      </c>
      <c r="J3910" s="62">
        <v>2</v>
      </c>
      <c r="K3910" s="62" t="s">
        <v>23</v>
      </c>
      <c r="L3910" s="62" t="s">
        <v>1</v>
      </c>
      <c r="M3910" s="62">
        <v>163.189</v>
      </c>
      <c r="N3910" s="62">
        <v>0</v>
      </c>
    </row>
    <row r="3911" spans="9:14">
      <c r="I3911" s="62">
        <v>2022</v>
      </c>
      <c r="J3911" s="62">
        <v>3</v>
      </c>
      <c r="K3911" s="62" t="s">
        <v>23</v>
      </c>
      <c r="L3911" s="62" t="s">
        <v>1</v>
      </c>
      <c r="M3911" s="62">
        <v>75.14400000000001</v>
      </c>
      <c r="N3911" s="62">
        <v>0</v>
      </c>
    </row>
    <row r="3912" spans="9:14">
      <c r="I3912" s="62">
        <v>2022</v>
      </c>
      <c r="J3912" s="62">
        <v>4</v>
      </c>
      <c r="K3912" s="62" t="s">
        <v>23</v>
      </c>
      <c r="L3912" s="62" t="s">
        <v>1</v>
      </c>
      <c r="M3912" s="62">
        <v>37.6475</v>
      </c>
      <c r="N3912" s="62">
        <v>0</v>
      </c>
    </row>
    <row r="3913" spans="9:14">
      <c r="I3913" s="62">
        <v>2022</v>
      </c>
      <c r="J3913" s="62">
        <v>5</v>
      </c>
      <c r="K3913" s="62" t="s">
        <v>23</v>
      </c>
      <c r="L3913" s="62" t="s">
        <v>1</v>
      </c>
      <c r="M3913" s="62">
        <v>39.825</v>
      </c>
      <c r="N3913" s="62">
        <v>0</v>
      </c>
    </row>
    <row r="3914" spans="9:14">
      <c r="I3914" s="62">
        <v>2022</v>
      </c>
      <c r="J3914" s="62">
        <v>6</v>
      </c>
      <c r="K3914" s="62" t="s">
        <v>23</v>
      </c>
      <c r="L3914" s="62" t="s">
        <v>1</v>
      </c>
      <c r="M3914" s="62">
        <v>34.69</v>
      </c>
      <c r="N3914" s="62">
        <v>0</v>
      </c>
    </row>
    <row r="3915" spans="9:14">
      <c r="I3915" s="62">
        <v>2022</v>
      </c>
      <c r="J3915" s="62">
        <v>7</v>
      </c>
      <c r="K3915" s="62" t="s">
        <v>23</v>
      </c>
      <c r="L3915" s="62" t="s">
        <v>1</v>
      </c>
      <c r="M3915" s="62">
        <v>26.6935</v>
      </c>
      <c r="N3915" s="62">
        <v>0</v>
      </c>
    </row>
    <row r="3916" spans="9:14">
      <c r="I3916" s="62">
        <v>2022</v>
      </c>
      <c r="J3916" s="62">
        <v>8</v>
      </c>
      <c r="K3916" s="62" t="s">
        <v>23</v>
      </c>
      <c r="L3916" s="62" t="s">
        <v>1</v>
      </c>
      <c r="M3916" s="62">
        <v>20.62</v>
      </c>
      <c r="N3916" s="62">
        <v>0</v>
      </c>
    </row>
    <row r="3917" spans="9:14">
      <c r="I3917" s="62">
        <v>2022</v>
      </c>
      <c r="J3917" s="62">
        <v>9</v>
      </c>
      <c r="K3917" s="62" t="s">
        <v>23</v>
      </c>
      <c r="L3917" s="62" t="s">
        <v>1</v>
      </c>
      <c r="M3917" s="62">
        <v>46.1</v>
      </c>
      <c r="N3917" s="62">
        <v>0</v>
      </c>
    </row>
    <row r="3918" spans="9:14">
      <c r="I3918" s="62">
        <v>2022</v>
      </c>
      <c r="J3918" s="62">
        <v>10</v>
      </c>
      <c r="K3918" s="62" t="s">
        <v>23</v>
      </c>
      <c r="L3918" s="62" t="s">
        <v>1</v>
      </c>
      <c r="M3918" s="62">
        <v>153.889</v>
      </c>
      <c r="N3918" s="62">
        <v>0</v>
      </c>
    </row>
    <row r="3919" spans="9:14">
      <c r="I3919" s="62">
        <v>2022</v>
      </c>
      <c r="J3919" s="62">
        <v>11</v>
      </c>
      <c r="K3919" s="62" t="s">
        <v>23</v>
      </c>
      <c r="L3919" s="62" t="s">
        <v>1</v>
      </c>
      <c r="M3919" s="62">
        <v>103.224</v>
      </c>
      <c r="N3919" s="62">
        <v>0</v>
      </c>
    </row>
    <row r="3920" spans="9:14">
      <c r="I3920" s="62">
        <v>2022</v>
      </c>
      <c r="J3920" s="62">
        <v>12</v>
      </c>
      <c r="K3920" s="62" t="s">
        <v>23</v>
      </c>
      <c r="L3920" s="62" t="s">
        <v>1</v>
      </c>
      <c r="M3920" s="62">
        <v>98.26900000000001</v>
      </c>
      <c r="N3920" s="62">
        <v>0</v>
      </c>
    </row>
    <row r="3921" spans="9:14">
      <c r="I3921" s="62">
        <v>2023</v>
      </c>
      <c r="J3921" s="62">
        <v>1</v>
      </c>
      <c r="K3921" s="62" t="s">
        <v>23</v>
      </c>
      <c r="L3921" s="62" t="s">
        <v>1</v>
      </c>
      <c r="M3921" s="62">
        <v>103.116</v>
      </c>
      <c r="N3921" s="62">
        <v>0</v>
      </c>
    </row>
    <row r="3922" spans="9:14">
      <c r="I3922" s="62">
        <v>2023</v>
      </c>
      <c r="J3922" s="62">
        <v>2</v>
      </c>
      <c r="K3922" s="62" t="s">
        <v>23</v>
      </c>
      <c r="L3922" s="62" t="s">
        <v>1</v>
      </c>
      <c r="M3922" s="62">
        <v>130.8965</v>
      </c>
      <c r="N3922" s="62">
        <v>0</v>
      </c>
    </row>
    <row r="3923" spans="9:14">
      <c r="I3923" s="62">
        <v>2023</v>
      </c>
      <c r="J3923" s="62">
        <v>3</v>
      </c>
      <c r="K3923" s="62" t="s">
        <v>23</v>
      </c>
      <c r="L3923" s="62" t="s">
        <v>1</v>
      </c>
      <c r="M3923" s="62">
        <v>118.722</v>
      </c>
      <c r="N3923" s="62">
        <v>0</v>
      </c>
    </row>
    <row r="3924" spans="9:14">
      <c r="I3924" s="62">
        <v>2023</v>
      </c>
      <c r="J3924" s="62">
        <v>4</v>
      </c>
      <c r="K3924" s="62" t="s">
        <v>23</v>
      </c>
      <c r="L3924" s="62" t="s">
        <v>1</v>
      </c>
      <c r="M3924" s="62">
        <v>79.152</v>
      </c>
      <c r="N3924" s="62">
        <v>0</v>
      </c>
    </row>
    <row r="3925" spans="9:14">
      <c r="I3925" s="62">
        <v>2023</v>
      </c>
      <c r="J3925" s="62">
        <v>5</v>
      </c>
      <c r="K3925" s="62" t="s">
        <v>23</v>
      </c>
      <c r="L3925" s="62" t="s">
        <v>1</v>
      </c>
      <c r="M3925" s="62">
        <v>74.89099999999999</v>
      </c>
      <c r="N3925" s="62">
        <v>0</v>
      </c>
    </row>
    <row r="3926" spans="9:14">
      <c r="I3926" s="62">
        <v>2023</v>
      </c>
      <c r="J3926" s="62">
        <v>6</v>
      </c>
      <c r="K3926" s="62" t="s">
        <v>23</v>
      </c>
      <c r="L3926" s="62" t="s">
        <v>1</v>
      </c>
      <c r="M3926" s="62">
        <v>49.912</v>
      </c>
      <c r="N3926" s="62">
        <v>0</v>
      </c>
    </row>
    <row r="3927" spans="9:14">
      <c r="I3927" s="62">
        <v>2023</v>
      </c>
      <c r="J3927" s="62">
        <v>7</v>
      </c>
      <c r="K3927" s="62" t="s">
        <v>23</v>
      </c>
      <c r="L3927" s="62" t="s">
        <v>1</v>
      </c>
      <c r="M3927" s="62">
        <v>21.86</v>
      </c>
      <c r="N3927" s="62">
        <v>0</v>
      </c>
    </row>
    <row r="3928" spans="9:14">
      <c r="I3928" s="62">
        <v>2023</v>
      </c>
      <c r="J3928" s="62">
        <v>8</v>
      </c>
      <c r="K3928" s="62" t="s">
        <v>23</v>
      </c>
      <c r="L3928" s="62" t="s">
        <v>1</v>
      </c>
      <c r="M3928" s="62">
        <v>22.62</v>
      </c>
      <c r="N3928" s="62">
        <v>0</v>
      </c>
    </row>
    <row r="3929" spans="9:14">
      <c r="I3929" s="62">
        <v>2023</v>
      </c>
      <c r="J3929" s="62">
        <v>9</v>
      </c>
      <c r="K3929" s="62" t="s">
        <v>23</v>
      </c>
      <c r="L3929" s="62" t="s">
        <v>1</v>
      </c>
      <c r="M3929" s="62">
        <v>49.374</v>
      </c>
      <c r="N3929" s="62">
        <v>0</v>
      </c>
    </row>
    <row r="3930" spans="9:14">
      <c r="I3930" s="62">
        <v>2023</v>
      </c>
      <c r="J3930" s="62">
        <v>10</v>
      </c>
      <c r="K3930" s="62" t="s">
        <v>23</v>
      </c>
      <c r="L3930" s="62" t="s">
        <v>1</v>
      </c>
      <c r="M3930" s="62">
        <v>95.048</v>
      </c>
      <c r="N3930" s="62">
        <v>0</v>
      </c>
    </row>
    <row r="3931" spans="9:14">
      <c r="I3931" s="62">
        <v>2023</v>
      </c>
      <c r="J3931" s="62">
        <v>11</v>
      </c>
      <c r="K3931" s="62" t="s">
        <v>23</v>
      </c>
      <c r="L3931" s="62" t="s">
        <v>1</v>
      </c>
      <c r="M3931" s="62">
        <v>54.867</v>
      </c>
      <c r="N3931" s="62">
        <v>0</v>
      </c>
    </row>
    <row r="3932" spans="9:14">
      <c r="I3932" s="62">
        <v>2023</v>
      </c>
      <c r="J3932" s="62">
        <v>12</v>
      </c>
      <c r="K3932" s="62" t="s">
        <v>23</v>
      </c>
      <c r="L3932" s="62" t="s">
        <v>1</v>
      </c>
      <c r="M3932" s="62">
        <v>38.54</v>
      </c>
      <c r="N3932" s="62">
        <v>0</v>
      </c>
    </row>
    <row r="3933" spans="9:14">
      <c r="I3933" s="62">
        <v>2024</v>
      </c>
      <c r="J3933" s="62">
        <v>1</v>
      </c>
      <c r="K3933" s="62" t="s">
        <v>23</v>
      </c>
      <c r="L3933" s="62" t="s">
        <v>1</v>
      </c>
      <c r="M3933" s="62">
        <v>35.8044</v>
      </c>
      <c r="N3933" s="62">
        <v>0</v>
      </c>
    </row>
    <row r="3934" spans="9:14">
      <c r="I3934" s="62">
        <v>2024</v>
      </c>
      <c r="J3934" s="62">
        <v>2</v>
      </c>
      <c r="K3934" s="62" t="s">
        <v>23</v>
      </c>
      <c r="L3934" s="62" t="s">
        <v>1</v>
      </c>
      <c r="M3934" s="62">
        <v>101.5445</v>
      </c>
      <c r="N3934" s="62">
        <v>0</v>
      </c>
    </row>
    <row r="3935" spans="9:14">
      <c r="I3935" s="62">
        <v>2024</v>
      </c>
      <c r="J3935" s="62">
        <v>3</v>
      </c>
      <c r="K3935" s="62" t="s">
        <v>23</v>
      </c>
      <c r="L3935" s="62" t="s">
        <v>1</v>
      </c>
      <c r="M3935" s="62">
        <v>89.49299999999999</v>
      </c>
      <c r="N3935" s="62">
        <v>0</v>
      </c>
    </row>
    <row r="3936" spans="9:14">
      <c r="I3936" s="62">
        <v>2024</v>
      </c>
      <c r="J3936" s="62">
        <v>4</v>
      </c>
      <c r="K3936" s="62" t="s">
        <v>23</v>
      </c>
      <c r="L3936" s="62" t="s">
        <v>1</v>
      </c>
      <c r="M3936" s="62">
        <v>49.676</v>
      </c>
      <c r="N3936" s="62">
        <v>0</v>
      </c>
    </row>
    <row r="3937" spans="9:14">
      <c r="I3937" s="62">
        <v>2024</v>
      </c>
      <c r="J3937" s="62">
        <v>5</v>
      </c>
      <c r="K3937" s="62" t="s">
        <v>23</v>
      </c>
      <c r="L3937" s="62" t="s">
        <v>1</v>
      </c>
      <c r="M3937" s="62">
        <v>23.142</v>
      </c>
      <c r="N3937" s="62">
        <v>0</v>
      </c>
    </row>
    <row r="3938" spans="9:14">
      <c r="I3938" s="62">
        <v>2024</v>
      </c>
      <c r="J3938" s="62">
        <v>6</v>
      </c>
      <c r="K3938" s="62" t="s">
        <v>23</v>
      </c>
      <c r="L3938" s="62" t="s">
        <v>1</v>
      </c>
      <c r="M3938" s="62">
        <v>15.048</v>
      </c>
      <c r="N3938" s="62">
        <v>0</v>
      </c>
    </row>
    <row r="3939" spans="9:14">
      <c r="I3939" s="62">
        <v>2024</v>
      </c>
      <c r="J3939" s="62">
        <v>7</v>
      </c>
      <c r="K3939" s="62" t="s">
        <v>23</v>
      </c>
      <c r="L3939" s="62" t="s">
        <v>1</v>
      </c>
      <c r="M3939" s="62">
        <v>22.812</v>
      </c>
      <c r="N3939" s="62">
        <v>0</v>
      </c>
    </row>
    <row r="3940" spans="9:14">
      <c r="I3940" s="62">
        <v>2024</v>
      </c>
      <c r="J3940" s="62">
        <v>8</v>
      </c>
      <c r="K3940" s="62" t="s">
        <v>23</v>
      </c>
      <c r="L3940" s="62" t="s">
        <v>1</v>
      </c>
      <c r="M3940" s="62">
        <v>27.04</v>
      </c>
      <c r="N3940" s="62">
        <v>0</v>
      </c>
    </row>
    <row r="3941" spans="9:14">
      <c r="I3941" s="62">
        <v>2024</v>
      </c>
      <c r="J3941" s="62">
        <v>9</v>
      </c>
      <c r="K3941" s="62" t="s">
        <v>23</v>
      </c>
      <c r="L3941" s="62" t="s">
        <v>1</v>
      </c>
      <c r="M3941" s="62">
        <v>39.54</v>
      </c>
      <c r="N3941" s="62">
        <v>0</v>
      </c>
    </row>
    <row r="3942" spans="9:14">
      <c r="I3942" s="62">
        <v>2024</v>
      </c>
      <c r="J3942" s="62">
        <v>10</v>
      </c>
      <c r="K3942" s="62" t="s">
        <v>23</v>
      </c>
      <c r="L3942" s="62" t="s">
        <v>1</v>
      </c>
      <c r="M3942" s="62">
        <v>80.72499999999999</v>
      </c>
      <c r="N3942" s="62">
        <v>0</v>
      </c>
    </row>
    <row r="3943" spans="9:14">
      <c r="I3943" s="62">
        <v>2024</v>
      </c>
      <c r="J3943" s="62">
        <v>11</v>
      </c>
      <c r="K3943" s="62" t="s">
        <v>23</v>
      </c>
      <c r="L3943" s="62" t="s">
        <v>1</v>
      </c>
      <c r="M3943" s="62">
        <v>52.085</v>
      </c>
      <c r="N3943" s="62">
        <v>0</v>
      </c>
    </row>
    <row r="3944" spans="9:14">
      <c r="I3944" s="62">
        <v>2024</v>
      </c>
      <c r="J3944" s="62">
        <v>12</v>
      </c>
      <c r="K3944" s="62" t="s">
        <v>23</v>
      </c>
      <c r="L3944" s="62" t="s">
        <v>1</v>
      </c>
      <c r="M3944" s="62">
        <v>20.838</v>
      </c>
      <c r="N3944" s="62">
        <v>0</v>
      </c>
    </row>
    <row r="3945" spans="9:14">
      <c r="I3945" s="62">
        <v>2025</v>
      </c>
      <c r="J3945" s="62">
        <v>1</v>
      </c>
      <c r="K3945" s="62" t="s">
        <v>23</v>
      </c>
      <c r="L3945" s="62" t="s">
        <v>1</v>
      </c>
      <c r="M3945" s="62">
        <v>88.489</v>
      </c>
      <c r="N3945" s="62">
        <v>0</v>
      </c>
    </row>
    <row r="3946" spans="9:14">
      <c r="I3946" s="62">
        <v>2025</v>
      </c>
      <c r="J3946" s="62">
        <v>2</v>
      </c>
      <c r="K3946" s="62" t="s">
        <v>23</v>
      </c>
      <c r="L3946" s="62" t="s">
        <v>1</v>
      </c>
      <c r="M3946" s="62">
        <v>106.884</v>
      </c>
      <c r="N3946" s="62">
        <v>0</v>
      </c>
    </row>
    <row r="3947" spans="9:14">
      <c r="I3947" s="62">
        <v>2025</v>
      </c>
      <c r="J3947" s="62">
        <v>3</v>
      </c>
      <c r="K3947" s="62" t="s">
        <v>23</v>
      </c>
      <c r="L3947" s="62" t="s">
        <v>1</v>
      </c>
      <c r="M3947" s="62">
        <v>63.697</v>
      </c>
      <c r="N3947" s="62">
        <v>0</v>
      </c>
    </row>
    <row r="3948" spans="9:14">
      <c r="I3948" s="62">
        <v>2025</v>
      </c>
      <c r="J3948" s="62">
        <v>4</v>
      </c>
      <c r="K3948" s="62" t="s">
        <v>23</v>
      </c>
      <c r="L3948" s="62" t="s">
        <v>1</v>
      </c>
      <c r="M3948" s="62">
        <v>64.22800000000001</v>
      </c>
      <c r="N3948" s="62">
        <v>0</v>
      </c>
    </row>
    <row r="3949" spans="9:14">
      <c r="I3949" s="62">
        <v>2025</v>
      </c>
      <c r="J3949" s="62">
        <v>5</v>
      </c>
      <c r="K3949" s="62" t="s">
        <v>23</v>
      </c>
      <c r="L3949" s="62" t="s">
        <v>1</v>
      </c>
      <c r="M3949" s="62">
        <v>37.655</v>
      </c>
      <c r="N3949" s="62">
        <v>0</v>
      </c>
    </row>
    <row r="3950" spans="9:14">
      <c r="I3950" s="62">
        <v>2025</v>
      </c>
      <c r="J3950" s="62">
        <v>6</v>
      </c>
      <c r="K3950" s="62" t="s">
        <v>23</v>
      </c>
      <c r="L3950" s="62" t="s">
        <v>1</v>
      </c>
      <c r="M3950" s="62">
        <v>13.714</v>
      </c>
      <c r="N3950" s="62">
        <v>0</v>
      </c>
    </row>
    <row r="3951" spans="9:14">
      <c r="I3951" s="62">
        <v>2025</v>
      </c>
      <c r="J3951" s="62">
        <v>7</v>
      </c>
      <c r="K3951" s="62" t="s">
        <v>23</v>
      </c>
      <c r="L3951" s="62" t="s">
        <v>1</v>
      </c>
      <c r="M3951" s="62">
        <v>15.255</v>
      </c>
      <c r="N3951" s="62">
        <v>0</v>
      </c>
    </row>
    <row r="3952" spans="9:14">
      <c r="I3952" s="62">
        <v>2025</v>
      </c>
      <c r="J3952" s="62">
        <v>8</v>
      </c>
      <c r="K3952" s="62" t="s">
        <v>23</v>
      </c>
      <c r="L3952" s="62" t="s">
        <v>1</v>
      </c>
      <c r="M3952" s="62">
        <v>22.156</v>
      </c>
      <c r="N3952" s="62">
        <v>0</v>
      </c>
    </row>
    <row r="3953" spans="9:14">
      <c r="I3953" s="62">
        <v>2025</v>
      </c>
      <c r="J3953" s="62">
        <v>9</v>
      </c>
      <c r="K3953" s="62" t="s">
        <v>23</v>
      </c>
      <c r="L3953" s="62" t="s">
        <v>1</v>
      </c>
      <c r="M3953" s="62">
        <v>58.286</v>
      </c>
      <c r="N3953" s="62">
        <v>0</v>
      </c>
    </row>
    <row r="3954" spans="9:14">
      <c r="I3954" s="62">
        <v>2025</v>
      </c>
      <c r="J3954" s="62">
        <v>10</v>
      </c>
      <c r="K3954" s="62" t="s">
        <v>23</v>
      </c>
      <c r="L3954" s="62" t="s">
        <v>1</v>
      </c>
      <c r="M3954" s="62">
        <v>93.459</v>
      </c>
      <c r="N3954" s="62">
        <v>0</v>
      </c>
    </row>
    <row r="3955" spans="9:14">
      <c r="I3955" s="62">
        <v>2025</v>
      </c>
      <c r="J3955" s="62">
        <v>11</v>
      </c>
      <c r="K3955" s="62" t="s">
        <v>23</v>
      </c>
      <c r="L3955" s="62" t="s">
        <v>1</v>
      </c>
      <c r="M3955" s="62">
        <v>39.13</v>
      </c>
      <c r="N3955" s="62">
        <v>0</v>
      </c>
    </row>
    <row r="3956" spans="9:14">
      <c r="I3956" s="62">
        <v>2025</v>
      </c>
      <c r="J3956" s="62">
        <v>12</v>
      </c>
      <c r="K3956" s="62" t="s">
        <v>23</v>
      </c>
      <c r="L3956" s="62" t="s">
        <v>1</v>
      </c>
      <c r="M3956" s="62">
        <v>5.25</v>
      </c>
      <c r="N3956" s="62">
        <v>0</v>
      </c>
    </row>
    <row r="3957" spans="9:14">
      <c r="I3957" s="62">
        <v>2026</v>
      </c>
      <c r="J3957" s="62">
        <v>1</v>
      </c>
      <c r="K3957" s="62" t="s">
        <v>23</v>
      </c>
      <c r="L3957" s="62" t="s">
        <v>1</v>
      </c>
      <c r="M3957" s="62">
        <v>66.40639999999999</v>
      </c>
      <c r="N3957" s="62">
        <v>0</v>
      </c>
    </row>
    <row r="3958" spans="9:14">
      <c r="I3958" s="62">
        <v>2026</v>
      </c>
      <c r="J3958" s="62">
        <v>2</v>
      </c>
      <c r="K3958" s="62" t="s">
        <v>23</v>
      </c>
      <c r="L3958" s="62" t="s">
        <v>1</v>
      </c>
      <c r="M3958" s="62">
        <v>101.079</v>
      </c>
      <c r="N3958" s="62">
        <v>0</v>
      </c>
    </row>
    <row r="3959" spans="9:14">
      <c r="I3959" s="62">
        <v>2026</v>
      </c>
      <c r="J3959" s="62">
        <v>3</v>
      </c>
      <c r="K3959" s="62" t="s">
        <v>23</v>
      </c>
      <c r="L3959" s="62" t="s">
        <v>1</v>
      </c>
      <c r="M3959" s="62">
        <v>40.121</v>
      </c>
      <c r="N3959" s="62">
        <v>0</v>
      </c>
    </row>
    <row r="3960" spans="9:14">
      <c r="I3960" s="62">
        <v>2026</v>
      </c>
      <c r="J3960" s="62">
        <v>4</v>
      </c>
      <c r="K3960" s="62" t="s">
        <v>23</v>
      </c>
      <c r="L3960" s="62" t="s">
        <v>1</v>
      </c>
      <c r="M3960" s="62">
        <v>53.15</v>
      </c>
      <c r="N3960" s="62">
        <v>0</v>
      </c>
    </row>
    <row r="3961" spans="9:14">
      <c r="I3961" s="62">
        <v>2026</v>
      </c>
      <c r="J3961" s="62">
        <v>5</v>
      </c>
      <c r="K3961" s="62" t="s">
        <v>23</v>
      </c>
      <c r="L3961" s="62" t="s">
        <v>1</v>
      </c>
      <c r="M3961" s="62">
        <v>18.349</v>
      </c>
      <c r="N3961" s="62">
        <v>0</v>
      </c>
    </row>
    <row r="3962" spans="9:14">
      <c r="I3962" s="62">
        <v>2026</v>
      </c>
      <c r="J3962" s="62">
        <v>6</v>
      </c>
      <c r="K3962" s="62" t="s">
        <v>23</v>
      </c>
      <c r="L3962" s="62" t="s">
        <v>1</v>
      </c>
      <c r="M3962" s="62">
        <v>4.24</v>
      </c>
      <c r="N3962" s="62">
        <v>0</v>
      </c>
    </row>
    <row r="3963" spans="9:14">
      <c r="I3963" s="62">
        <v>2026</v>
      </c>
      <c r="J3963" s="62">
        <v>10</v>
      </c>
      <c r="K3963" s="62" t="s">
        <v>23</v>
      </c>
      <c r="L3963" s="62" t="s">
        <v>1</v>
      </c>
      <c r="M3963" s="62">
        <v>36.616</v>
      </c>
      <c r="N3963" s="62">
        <v>0</v>
      </c>
    </row>
    <row r="3964" spans="9:14">
      <c r="I3964" s="62">
        <v>2026</v>
      </c>
      <c r="J3964" s="62">
        <v>11</v>
      </c>
      <c r="K3964" s="62" t="s">
        <v>23</v>
      </c>
      <c r="L3964" s="62" t="s">
        <v>1</v>
      </c>
      <c r="M3964" s="62">
        <v>39.9</v>
      </c>
      <c r="N3964" s="62">
        <v>0</v>
      </c>
    </row>
    <row r="3965" spans="9:14">
      <c r="I3965" s="62">
        <v>2026</v>
      </c>
      <c r="J3965" s="62">
        <v>12</v>
      </c>
      <c r="K3965" s="62" t="s">
        <v>23</v>
      </c>
      <c r="L3965" s="62" t="s">
        <v>1</v>
      </c>
      <c r="M3965" s="62">
        <v>1.2</v>
      </c>
      <c r="N3965" s="62">
        <v>0</v>
      </c>
    </row>
    <row r="3966" spans="9:14">
      <c r="I3966" s="62">
        <v>2027</v>
      </c>
      <c r="J3966" s="62">
        <v>1</v>
      </c>
      <c r="K3966" s="62" t="s">
        <v>23</v>
      </c>
      <c r="L3966" s="62" t="s">
        <v>1</v>
      </c>
      <c r="M3966" s="62">
        <v>32.573</v>
      </c>
      <c r="N3966" s="62">
        <v>0</v>
      </c>
    </row>
    <row r="3967" spans="9:14">
      <c r="I3967" s="62">
        <v>2027</v>
      </c>
      <c r="J3967" s="62">
        <v>2</v>
      </c>
      <c r="K3967" s="62" t="s">
        <v>23</v>
      </c>
      <c r="L3967" s="62" t="s">
        <v>1</v>
      </c>
      <c r="M3967" s="62">
        <v>80.47499999999999</v>
      </c>
      <c r="N3967" s="62">
        <v>0</v>
      </c>
    </row>
    <row r="3968" spans="9:14">
      <c r="I3968" s="62">
        <v>2027</v>
      </c>
      <c r="J3968" s="62">
        <v>3</v>
      </c>
      <c r="K3968" s="62" t="s">
        <v>23</v>
      </c>
      <c r="L3968" s="62" t="s">
        <v>1</v>
      </c>
      <c r="M3968" s="62">
        <v>75.0715</v>
      </c>
      <c r="N3968" s="62">
        <v>0</v>
      </c>
    </row>
    <row r="3969" spans="9:14">
      <c r="I3969" s="62">
        <v>2027</v>
      </c>
      <c r="J3969" s="62">
        <v>4</v>
      </c>
      <c r="K3969" s="62" t="s">
        <v>23</v>
      </c>
      <c r="L3969" s="62" t="s">
        <v>1</v>
      </c>
      <c r="M3969" s="62">
        <v>72.77199999999999</v>
      </c>
      <c r="N3969" s="62">
        <v>0</v>
      </c>
    </row>
    <row r="3970" spans="9:14">
      <c r="I3970" s="62">
        <v>2027</v>
      </c>
      <c r="J3970" s="62">
        <v>5</v>
      </c>
      <c r="K3970" s="62" t="s">
        <v>23</v>
      </c>
      <c r="L3970" s="62" t="s">
        <v>1</v>
      </c>
      <c r="M3970" s="62">
        <v>16.08</v>
      </c>
      <c r="N3970" s="62">
        <v>0</v>
      </c>
    </row>
    <row r="3971" spans="9:14">
      <c r="I3971" s="62">
        <v>2027</v>
      </c>
      <c r="J3971" s="62">
        <v>9</v>
      </c>
      <c r="K3971" s="62" t="s">
        <v>23</v>
      </c>
      <c r="L3971" s="62" t="s">
        <v>1</v>
      </c>
      <c r="M3971" s="62">
        <v>35.061</v>
      </c>
      <c r="N3971" s="62">
        <v>0</v>
      </c>
    </row>
    <row r="3972" spans="9:14">
      <c r="I3972" s="62">
        <v>2027</v>
      </c>
      <c r="J3972" s="62">
        <v>10</v>
      </c>
      <c r="K3972" s="62" t="s">
        <v>23</v>
      </c>
      <c r="L3972" s="62" t="s">
        <v>1</v>
      </c>
      <c r="M3972" s="62">
        <v>54.13</v>
      </c>
      <c r="N3972" s="62">
        <v>0</v>
      </c>
    </row>
    <row r="3973" spans="9:14">
      <c r="I3973" s="62">
        <v>2027</v>
      </c>
      <c r="J3973" s="62">
        <v>11</v>
      </c>
      <c r="K3973" s="62" t="s">
        <v>23</v>
      </c>
      <c r="L3973" s="62" t="s">
        <v>1</v>
      </c>
      <c r="M3973" s="62">
        <v>26.655</v>
      </c>
      <c r="N3973" s="62">
        <v>0</v>
      </c>
    </row>
    <row r="3974" spans="9:14">
      <c r="I3974" s="62">
        <v>2014</v>
      </c>
      <c r="J3974" s="62">
        <v>1</v>
      </c>
      <c r="K3974" s="62" t="s">
        <v>23</v>
      </c>
      <c r="L3974" s="62" t="s">
        <v>2</v>
      </c>
      <c r="M3974" s="62">
        <v>32.316</v>
      </c>
      <c r="N3974" s="62">
        <v>0</v>
      </c>
    </row>
    <row r="3975" spans="9:14">
      <c r="I3975" s="62">
        <v>2014</v>
      </c>
      <c r="J3975" s="62">
        <v>2</v>
      </c>
      <c r="K3975" s="62" t="s">
        <v>23</v>
      </c>
      <c r="L3975" s="62" t="s">
        <v>2</v>
      </c>
      <c r="M3975" s="62">
        <v>52.24</v>
      </c>
      <c r="N3975" s="62">
        <v>0</v>
      </c>
    </row>
    <row r="3976" spans="9:14">
      <c r="I3976" s="62">
        <v>2014</v>
      </c>
      <c r="J3976" s="62">
        <v>3</v>
      </c>
      <c r="K3976" s="62" t="s">
        <v>23</v>
      </c>
      <c r="L3976" s="62" t="s">
        <v>2</v>
      </c>
      <c r="M3976" s="62">
        <v>63.41</v>
      </c>
      <c r="N3976" s="62">
        <v>0</v>
      </c>
    </row>
    <row r="3977" spans="9:14">
      <c r="I3977" s="62">
        <v>2014</v>
      </c>
      <c r="J3977" s="62">
        <v>4</v>
      </c>
      <c r="K3977" s="62" t="s">
        <v>23</v>
      </c>
      <c r="L3977" s="62" t="s">
        <v>2</v>
      </c>
      <c r="M3977" s="62">
        <v>53.608</v>
      </c>
      <c r="N3977" s="62">
        <v>0</v>
      </c>
    </row>
    <row r="3978" spans="9:14">
      <c r="I3978" s="62">
        <v>2014</v>
      </c>
      <c r="J3978" s="62">
        <v>5</v>
      </c>
      <c r="K3978" s="62" t="s">
        <v>23</v>
      </c>
      <c r="L3978" s="62" t="s">
        <v>2</v>
      </c>
      <c r="M3978" s="62">
        <v>30.318</v>
      </c>
      <c r="N3978" s="62">
        <v>0</v>
      </c>
    </row>
    <row r="3979" spans="9:14">
      <c r="I3979" s="62">
        <v>2014</v>
      </c>
      <c r="J3979" s="62">
        <v>6</v>
      </c>
      <c r="K3979" s="62" t="s">
        <v>23</v>
      </c>
      <c r="L3979" s="62" t="s">
        <v>2</v>
      </c>
      <c r="M3979" s="62">
        <v>22.73</v>
      </c>
      <c r="N3979" s="62">
        <v>0</v>
      </c>
    </row>
    <row r="3980" spans="9:14">
      <c r="I3980" s="62">
        <v>2014</v>
      </c>
      <c r="J3980" s="62">
        <v>7</v>
      </c>
      <c r="K3980" s="62" t="s">
        <v>23</v>
      </c>
      <c r="L3980" s="62" t="s">
        <v>2</v>
      </c>
      <c r="M3980" s="62">
        <v>2.73</v>
      </c>
      <c r="N3980" s="62">
        <v>0</v>
      </c>
    </row>
    <row r="3981" spans="9:14">
      <c r="I3981" s="62">
        <v>2014</v>
      </c>
      <c r="J3981" s="62">
        <v>8</v>
      </c>
      <c r="K3981" s="62" t="s">
        <v>23</v>
      </c>
      <c r="L3981" s="62" t="s">
        <v>2</v>
      </c>
      <c r="M3981" s="62">
        <v>4.83</v>
      </c>
      <c r="N3981" s="62">
        <v>0</v>
      </c>
    </row>
    <row r="3982" spans="9:14">
      <c r="I3982" s="62">
        <v>2014</v>
      </c>
      <c r="J3982" s="62">
        <v>9</v>
      </c>
      <c r="K3982" s="62" t="s">
        <v>23</v>
      </c>
      <c r="L3982" s="62" t="s">
        <v>2</v>
      </c>
      <c r="M3982" s="62">
        <v>91.3665</v>
      </c>
      <c r="N3982" s="62">
        <v>0</v>
      </c>
    </row>
    <row r="3983" spans="9:14">
      <c r="I3983" s="62">
        <v>2014</v>
      </c>
      <c r="J3983" s="62">
        <v>10</v>
      </c>
      <c r="K3983" s="62" t="s">
        <v>23</v>
      </c>
      <c r="L3983" s="62" t="s">
        <v>2</v>
      </c>
      <c r="M3983" s="62">
        <v>148.62</v>
      </c>
      <c r="N3983" s="62">
        <v>0</v>
      </c>
    </row>
    <row r="3984" spans="9:14">
      <c r="I3984" s="62">
        <v>2014</v>
      </c>
      <c r="J3984" s="62">
        <v>11</v>
      </c>
      <c r="K3984" s="62" t="s">
        <v>23</v>
      </c>
      <c r="L3984" s="62" t="s">
        <v>2</v>
      </c>
      <c r="M3984" s="62">
        <v>50.7959</v>
      </c>
      <c r="N3984" s="62">
        <v>0</v>
      </c>
    </row>
    <row r="3985" spans="9:14">
      <c r="I3985" s="62">
        <v>2014</v>
      </c>
      <c r="J3985" s="62">
        <v>12</v>
      </c>
      <c r="K3985" s="62" t="s">
        <v>23</v>
      </c>
      <c r="L3985" s="62" t="s">
        <v>2</v>
      </c>
      <c r="M3985" s="62">
        <v>24.92</v>
      </c>
      <c r="N3985" s="62">
        <v>0</v>
      </c>
    </row>
    <row r="3986" spans="9:14">
      <c r="I3986" s="62">
        <v>2015</v>
      </c>
      <c r="J3986" s="62">
        <v>1</v>
      </c>
      <c r="K3986" s="62" t="s">
        <v>23</v>
      </c>
      <c r="L3986" s="62" t="s">
        <v>2</v>
      </c>
      <c r="M3986" s="62">
        <v>77.48599999999999</v>
      </c>
      <c r="N3986" s="62">
        <v>0</v>
      </c>
    </row>
    <row r="3987" spans="9:14">
      <c r="I3987" s="62">
        <v>2015</v>
      </c>
      <c r="J3987" s="62">
        <v>2</v>
      </c>
      <c r="K3987" s="62" t="s">
        <v>23</v>
      </c>
      <c r="L3987" s="62" t="s">
        <v>2</v>
      </c>
      <c r="M3987" s="62">
        <v>105.11</v>
      </c>
      <c r="N3987" s="62">
        <v>0</v>
      </c>
    </row>
    <row r="3988" spans="9:14">
      <c r="I3988" s="62">
        <v>2015</v>
      </c>
      <c r="J3988" s="62">
        <v>3</v>
      </c>
      <c r="K3988" s="62" t="s">
        <v>23</v>
      </c>
      <c r="L3988" s="62" t="s">
        <v>2</v>
      </c>
      <c r="M3988" s="62">
        <v>80.976</v>
      </c>
      <c r="N3988" s="62">
        <v>0</v>
      </c>
    </row>
    <row r="3989" spans="9:14">
      <c r="I3989" s="62">
        <v>2015</v>
      </c>
      <c r="J3989" s="62">
        <v>4</v>
      </c>
      <c r="K3989" s="62" t="s">
        <v>23</v>
      </c>
      <c r="L3989" s="62" t="s">
        <v>2</v>
      </c>
      <c r="M3989" s="62">
        <v>40.81</v>
      </c>
      <c r="N3989" s="62">
        <v>0</v>
      </c>
    </row>
    <row r="3990" spans="9:14">
      <c r="I3990" s="62">
        <v>2015</v>
      </c>
      <c r="J3990" s="62">
        <v>5</v>
      </c>
      <c r="K3990" s="62" t="s">
        <v>23</v>
      </c>
      <c r="L3990" s="62" t="s">
        <v>2</v>
      </c>
      <c r="M3990" s="62">
        <v>38.024</v>
      </c>
      <c r="N3990" s="62">
        <v>0</v>
      </c>
    </row>
    <row r="3991" spans="9:14">
      <c r="I3991" s="62">
        <v>2015</v>
      </c>
      <c r="J3991" s="62">
        <v>6</v>
      </c>
      <c r="K3991" s="62" t="s">
        <v>23</v>
      </c>
      <c r="L3991" s="62" t="s">
        <v>2</v>
      </c>
      <c r="M3991" s="62">
        <v>42.843</v>
      </c>
      <c r="N3991" s="62">
        <v>0</v>
      </c>
    </row>
    <row r="3992" spans="9:14">
      <c r="I3992" s="62">
        <v>2015</v>
      </c>
      <c r="J3992" s="62">
        <v>7</v>
      </c>
      <c r="K3992" s="62" t="s">
        <v>23</v>
      </c>
      <c r="L3992" s="62" t="s">
        <v>2</v>
      </c>
      <c r="M3992" s="62">
        <v>30.978</v>
      </c>
      <c r="N3992" s="62">
        <v>0</v>
      </c>
    </row>
    <row r="3993" spans="9:14">
      <c r="I3993" s="62">
        <v>2015</v>
      </c>
      <c r="J3993" s="62">
        <v>8</v>
      </c>
      <c r="K3993" s="62" t="s">
        <v>23</v>
      </c>
      <c r="L3993" s="62" t="s">
        <v>2</v>
      </c>
      <c r="M3993" s="62">
        <v>4.5</v>
      </c>
      <c r="N3993" s="62">
        <v>0</v>
      </c>
    </row>
    <row r="3994" spans="9:14">
      <c r="I3994" s="62">
        <v>2015</v>
      </c>
      <c r="J3994" s="62">
        <v>9</v>
      </c>
      <c r="K3994" s="62" t="s">
        <v>23</v>
      </c>
      <c r="L3994" s="62" t="s">
        <v>2</v>
      </c>
      <c r="M3994" s="62">
        <v>16.734</v>
      </c>
      <c r="N3994" s="62">
        <v>0</v>
      </c>
    </row>
    <row r="3995" spans="9:14">
      <c r="I3995" s="62">
        <v>2015</v>
      </c>
      <c r="J3995" s="62">
        <v>10</v>
      </c>
      <c r="K3995" s="62" t="s">
        <v>23</v>
      </c>
      <c r="L3995" s="62" t="s">
        <v>2</v>
      </c>
      <c r="M3995" s="62">
        <v>50.0255</v>
      </c>
      <c r="N3995" s="62">
        <v>0</v>
      </c>
    </row>
    <row r="3996" spans="9:14">
      <c r="I3996" s="62">
        <v>2015</v>
      </c>
      <c r="J3996" s="62">
        <v>11</v>
      </c>
      <c r="K3996" s="62" t="s">
        <v>23</v>
      </c>
      <c r="L3996" s="62" t="s">
        <v>2</v>
      </c>
      <c r="M3996" s="62">
        <v>47.4665</v>
      </c>
      <c r="N3996" s="62">
        <v>0</v>
      </c>
    </row>
    <row r="3997" spans="9:14">
      <c r="I3997" s="62">
        <v>2015</v>
      </c>
      <c r="J3997" s="62">
        <v>12</v>
      </c>
      <c r="K3997" s="62" t="s">
        <v>23</v>
      </c>
      <c r="L3997" s="62" t="s">
        <v>2</v>
      </c>
      <c r="M3997" s="62">
        <v>46.202</v>
      </c>
      <c r="N3997" s="62">
        <v>0</v>
      </c>
    </row>
    <row r="3998" spans="9:14">
      <c r="I3998" s="62">
        <v>2016</v>
      </c>
      <c r="J3998" s="62">
        <v>1</v>
      </c>
      <c r="K3998" s="62" t="s">
        <v>23</v>
      </c>
      <c r="L3998" s="62" t="s">
        <v>2</v>
      </c>
      <c r="M3998" s="62">
        <v>40.74</v>
      </c>
      <c r="N3998" s="62">
        <v>0</v>
      </c>
    </row>
    <row r="3999" spans="9:14">
      <c r="I3999" s="62">
        <v>2016</v>
      </c>
      <c r="J3999" s="62">
        <v>2</v>
      </c>
      <c r="K3999" s="62" t="s">
        <v>23</v>
      </c>
      <c r="L3999" s="62" t="s">
        <v>2</v>
      </c>
      <c r="M3999" s="62">
        <v>53.7</v>
      </c>
      <c r="N3999" s="62">
        <v>0</v>
      </c>
    </row>
    <row r="4000" spans="9:14">
      <c r="I4000" s="62">
        <v>2016</v>
      </c>
      <c r="J4000" s="62">
        <v>3</v>
      </c>
      <c r="K4000" s="62" t="s">
        <v>23</v>
      </c>
      <c r="L4000" s="62" t="s">
        <v>2</v>
      </c>
      <c r="M4000" s="62">
        <v>22.011</v>
      </c>
      <c r="N4000" s="62">
        <v>0</v>
      </c>
    </row>
    <row r="4001" spans="9:14">
      <c r="I4001" s="62">
        <v>2016</v>
      </c>
      <c r="J4001" s="62">
        <v>4</v>
      </c>
      <c r="K4001" s="62" t="s">
        <v>23</v>
      </c>
      <c r="L4001" s="62" t="s">
        <v>2</v>
      </c>
      <c r="M4001" s="62">
        <v>17.83</v>
      </c>
      <c r="N4001" s="62">
        <v>0</v>
      </c>
    </row>
    <row r="4002" spans="9:14">
      <c r="I4002" s="62">
        <v>2016</v>
      </c>
      <c r="J4002" s="62">
        <v>5</v>
      </c>
      <c r="K4002" s="62" t="s">
        <v>23</v>
      </c>
      <c r="L4002" s="62" t="s">
        <v>2</v>
      </c>
      <c r="M4002" s="62">
        <v>26.994</v>
      </c>
      <c r="N4002" s="62">
        <v>0</v>
      </c>
    </row>
    <row r="4003" spans="9:14">
      <c r="I4003" s="62">
        <v>2016</v>
      </c>
      <c r="J4003" s="62">
        <v>6</v>
      </c>
      <c r="K4003" s="62" t="s">
        <v>23</v>
      </c>
      <c r="L4003" s="62" t="s">
        <v>2</v>
      </c>
      <c r="M4003" s="62">
        <v>9</v>
      </c>
      <c r="N4003" s="62">
        <v>0</v>
      </c>
    </row>
    <row r="4004" spans="9:14">
      <c r="I4004" s="62">
        <v>2016</v>
      </c>
      <c r="J4004" s="62">
        <v>7</v>
      </c>
      <c r="K4004" s="62" t="s">
        <v>23</v>
      </c>
      <c r="L4004" s="62" t="s">
        <v>2</v>
      </c>
      <c r="M4004" s="62">
        <v>6.66</v>
      </c>
      <c r="N4004" s="62">
        <v>0</v>
      </c>
    </row>
    <row r="4005" spans="9:14">
      <c r="I4005" s="62">
        <v>2016</v>
      </c>
      <c r="J4005" s="62">
        <v>9</v>
      </c>
      <c r="K4005" s="62" t="s">
        <v>23</v>
      </c>
      <c r="L4005" s="62" t="s">
        <v>2</v>
      </c>
      <c r="M4005" s="62">
        <v>41.1885</v>
      </c>
      <c r="N4005" s="62">
        <v>0</v>
      </c>
    </row>
    <row r="4006" spans="9:14">
      <c r="I4006" s="62">
        <v>2016</v>
      </c>
      <c r="J4006" s="62">
        <v>10</v>
      </c>
      <c r="K4006" s="62" t="s">
        <v>23</v>
      </c>
      <c r="L4006" s="62" t="s">
        <v>2</v>
      </c>
      <c r="M4006" s="62">
        <v>85.4425</v>
      </c>
      <c r="N4006" s="62">
        <v>0</v>
      </c>
    </row>
    <row r="4007" spans="9:14">
      <c r="I4007" s="62">
        <v>2016</v>
      </c>
      <c r="J4007" s="62">
        <v>11</v>
      </c>
      <c r="K4007" s="62" t="s">
        <v>23</v>
      </c>
      <c r="L4007" s="62" t="s">
        <v>2</v>
      </c>
      <c r="M4007" s="62">
        <v>28.698</v>
      </c>
      <c r="N4007" s="62">
        <v>0</v>
      </c>
    </row>
    <row r="4008" spans="9:14">
      <c r="I4008" s="62">
        <v>2017</v>
      </c>
      <c r="J4008" s="62">
        <v>1</v>
      </c>
      <c r="K4008" s="62" t="s">
        <v>23</v>
      </c>
      <c r="L4008" s="62" t="s">
        <v>2</v>
      </c>
      <c r="M4008" s="62">
        <v>30.922</v>
      </c>
      <c r="N4008" s="62">
        <v>0</v>
      </c>
    </row>
    <row r="4009" spans="9:14">
      <c r="I4009" s="62">
        <v>2017</v>
      </c>
      <c r="J4009" s="62">
        <v>2</v>
      </c>
      <c r="K4009" s="62" t="s">
        <v>23</v>
      </c>
      <c r="L4009" s="62" t="s">
        <v>2</v>
      </c>
      <c r="M4009" s="62">
        <v>70.1905</v>
      </c>
      <c r="N4009" s="62">
        <v>0</v>
      </c>
    </row>
    <row r="4010" spans="9:14">
      <c r="I4010" s="62">
        <v>2017</v>
      </c>
      <c r="J4010" s="62">
        <v>3</v>
      </c>
      <c r="K4010" s="62" t="s">
        <v>23</v>
      </c>
      <c r="L4010" s="62" t="s">
        <v>2</v>
      </c>
      <c r="M4010" s="62">
        <v>49.827</v>
      </c>
      <c r="N4010" s="62">
        <v>0</v>
      </c>
    </row>
    <row r="4011" spans="9:14">
      <c r="I4011" s="62">
        <v>2017</v>
      </c>
      <c r="J4011" s="62">
        <v>4</v>
      </c>
      <c r="K4011" s="62" t="s">
        <v>23</v>
      </c>
      <c r="L4011" s="62" t="s">
        <v>2</v>
      </c>
      <c r="M4011" s="62">
        <v>29.0735</v>
      </c>
      <c r="N4011" s="62">
        <v>0</v>
      </c>
    </row>
    <row r="4012" spans="9:14">
      <c r="I4012" s="62">
        <v>2017</v>
      </c>
      <c r="J4012" s="62">
        <v>5</v>
      </c>
      <c r="K4012" s="62" t="s">
        <v>23</v>
      </c>
      <c r="L4012" s="62" t="s">
        <v>2</v>
      </c>
      <c r="M4012" s="62">
        <v>31.05</v>
      </c>
      <c r="N4012" s="62">
        <v>0</v>
      </c>
    </row>
    <row r="4013" spans="9:14">
      <c r="I4013" s="62">
        <v>2017</v>
      </c>
      <c r="J4013" s="62">
        <v>6</v>
      </c>
      <c r="K4013" s="62" t="s">
        <v>23</v>
      </c>
      <c r="L4013" s="62" t="s">
        <v>2</v>
      </c>
      <c r="M4013" s="62">
        <v>15.413</v>
      </c>
      <c r="N4013" s="62">
        <v>0</v>
      </c>
    </row>
    <row r="4014" spans="9:14">
      <c r="I4014" s="62">
        <v>2017</v>
      </c>
      <c r="J4014" s="62">
        <v>7</v>
      </c>
      <c r="K4014" s="62" t="s">
        <v>23</v>
      </c>
      <c r="L4014" s="62" t="s">
        <v>2</v>
      </c>
      <c r="M4014" s="62">
        <v>16.64</v>
      </c>
      <c r="N4014" s="62">
        <v>0</v>
      </c>
    </row>
    <row r="4015" spans="9:14">
      <c r="I4015" s="62">
        <v>2017</v>
      </c>
      <c r="J4015" s="62">
        <v>8</v>
      </c>
      <c r="K4015" s="62" t="s">
        <v>23</v>
      </c>
      <c r="L4015" s="62" t="s">
        <v>2</v>
      </c>
      <c r="M4015" s="62">
        <v>13.16</v>
      </c>
      <c r="N4015" s="62">
        <v>0</v>
      </c>
    </row>
    <row r="4016" spans="9:14">
      <c r="I4016" s="62">
        <v>2017</v>
      </c>
      <c r="J4016" s="62">
        <v>9</v>
      </c>
      <c r="K4016" s="62" t="s">
        <v>23</v>
      </c>
      <c r="L4016" s="62" t="s">
        <v>2</v>
      </c>
      <c r="M4016" s="62">
        <v>22.135</v>
      </c>
      <c r="N4016" s="62">
        <v>0</v>
      </c>
    </row>
    <row r="4017" spans="9:14">
      <c r="I4017" s="62">
        <v>2017</v>
      </c>
      <c r="J4017" s="62">
        <v>10</v>
      </c>
      <c r="K4017" s="62" t="s">
        <v>23</v>
      </c>
      <c r="L4017" s="62" t="s">
        <v>2</v>
      </c>
      <c r="M4017" s="62">
        <v>69.989</v>
      </c>
      <c r="N4017" s="62">
        <v>0</v>
      </c>
    </row>
    <row r="4018" spans="9:14">
      <c r="I4018" s="62">
        <v>2017</v>
      </c>
      <c r="J4018" s="62">
        <v>11</v>
      </c>
      <c r="K4018" s="62" t="s">
        <v>23</v>
      </c>
      <c r="L4018" s="62" t="s">
        <v>2</v>
      </c>
      <c r="M4018" s="62">
        <v>31.454</v>
      </c>
      <c r="N4018" s="62">
        <v>0</v>
      </c>
    </row>
    <row r="4019" spans="9:14">
      <c r="I4019" s="62">
        <v>2017</v>
      </c>
      <c r="J4019" s="62">
        <v>12</v>
      </c>
      <c r="K4019" s="62" t="s">
        <v>23</v>
      </c>
      <c r="L4019" s="62" t="s">
        <v>2</v>
      </c>
      <c r="M4019" s="62">
        <v>0.285</v>
      </c>
      <c r="N4019" s="62">
        <v>0</v>
      </c>
    </row>
    <row r="4020" spans="9:14">
      <c r="I4020" s="62">
        <v>2018</v>
      </c>
      <c r="J4020" s="62">
        <v>1</v>
      </c>
      <c r="K4020" s="62" t="s">
        <v>23</v>
      </c>
      <c r="L4020" s="62" t="s">
        <v>2</v>
      </c>
      <c r="M4020" s="62">
        <v>11.94</v>
      </c>
      <c r="N4020" s="62">
        <v>0</v>
      </c>
    </row>
    <row r="4021" spans="9:14">
      <c r="I4021" s="62">
        <v>2018</v>
      </c>
      <c r="J4021" s="62">
        <v>2</v>
      </c>
      <c r="K4021" s="62" t="s">
        <v>23</v>
      </c>
      <c r="L4021" s="62" t="s">
        <v>2</v>
      </c>
      <c r="M4021" s="62">
        <v>46.90000000000001</v>
      </c>
      <c r="N4021" s="62">
        <v>0</v>
      </c>
    </row>
    <row r="4022" spans="9:14">
      <c r="I4022" s="62">
        <v>2018</v>
      </c>
      <c r="J4022" s="62">
        <v>3</v>
      </c>
      <c r="K4022" s="62" t="s">
        <v>23</v>
      </c>
      <c r="L4022" s="62" t="s">
        <v>2</v>
      </c>
      <c r="M4022" s="62">
        <v>64.639</v>
      </c>
      <c r="N4022" s="62">
        <v>0</v>
      </c>
    </row>
    <row r="4023" spans="9:14">
      <c r="I4023" s="62">
        <v>2018</v>
      </c>
      <c r="J4023" s="62">
        <v>4</v>
      </c>
      <c r="K4023" s="62" t="s">
        <v>23</v>
      </c>
      <c r="L4023" s="62" t="s">
        <v>2</v>
      </c>
      <c r="M4023" s="62">
        <v>26.848</v>
      </c>
      <c r="N4023" s="62">
        <v>0</v>
      </c>
    </row>
    <row r="4024" spans="9:14">
      <c r="I4024" s="62">
        <v>2018</v>
      </c>
      <c r="J4024" s="62">
        <v>5</v>
      </c>
      <c r="K4024" s="62" t="s">
        <v>23</v>
      </c>
      <c r="L4024" s="62" t="s">
        <v>2</v>
      </c>
      <c r="M4024" s="62">
        <v>23.57</v>
      </c>
      <c r="N4024" s="62">
        <v>0</v>
      </c>
    </row>
    <row r="4025" spans="9:14">
      <c r="I4025" s="62">
        <v>2018</v>
      </c>
      <c r="J4025" s="62">
        <v>6</v>
      </c>
      <c r="K4025" s="62" t="s">
        <v>23</v>
      </c>
      <c r="L4025" s="62" t="s">
        <v>2</v>
      </c>
      <c r="M4025" s="62">
        <v>39.64</v>
      </c>
      <c r="N4025" s="62">
        <v>0</v>
      </c>
    </row>
    <row r="4026" spans="9:14">
      <c r="I4026" s="62">
        <v>2018</v>
      </c>
      <c r="J4026" s="62">
        <v>7</v>
      </c>
      <c r="K4026" s="62" t="s">
        <v>23</v>
      </c>
      <c r="L4026" s="62" t="s">
        <v>2</v>
      </c>
      <c r="M4026" s="62">
        <v>43.68</v>
      </c>
      <c r="N4026" s="62">
        <v>0</v>
      </c>
    </row>
    <row r="4027" spans="9:14">
      <c r="I4027" s="62">
        <v>2018</v>
      </c>
      <c r="J4027" s="62">
        <v>8</v>
      </c>
      <c r="K4027" s="62" t="s">
        <v>23</v>
      </c>
      <c r="L4027" s="62" t="s">
        <v>2</v>
      </c>
      <c r="M4027" s="62">
        <v>37.575</v>
      </c>
      <c r="N4027" s="62">
        <v>0</v>
      </c>
    </row>
    <row r="4028" spans="9:14">
      <c r="I4028" s="62">
        <v>2018</v>
      </c>
      <c r="J4028" s="62">
        <v>9</v>
      </c>
      <c r="K4028" s="62" t="s">
        <v>23</v>
      </c>
      <c r="L4028" s="62" t="s">
        <v>2</v>
      </c>
      <c r="M4028" s="62">
        <v>20.17</v>
      </c>
      <c r="N4028" s="62">
        <v>0</v>
      </c>
    </row>
    <row r="4029" spans="9:14">
      <c r="I4029" s="62">
        <v>2018</v>
      </c>
      <c r="J4029" s="62">
        <v>10</v>
      </c>
      <c r="K4029" s="62" t="s">
        <v>23</v>
      </c>
      <c r="L4029" s="62" t="s">
        <v>2</v>
      </c>
      <c r="M4029" s="62">
        <v>64.364</v>
      </c>
      <c r="N4029" s="62">
        <v>0</v>
      </c>
    </row>
    <row r="4030" spans="9:14">
      <c r="I4030" s="62">
        <v>2018</v>
      </c>
      <c r="J4030" s="62">
        <v>11</v>
      </c>
      <c r="K4030" s="62" t="s">
        <v>23</v>
      </c>
      <c r="L4030" s="62" t="s">
        <v>2</v>
      </c>
      <c r="M4030" s="62">
        <v>28.725</v>
      </c>
      <c r="N4030" s="62">
        <v>0</v>
      </c>
    </row>
    <row r="4031" spans="9:14">
      <c r="I4031" s="62">
        <v>2018</v>
      </c>
      <c r="J4031" s="62">
        <v>12</v>
      </c>
      <c r="K4031" s="62" t="s">
        <v>23</v>
      </c>
      <c r="L4031" s="62" t="s">
        <v>2</v>
      </c>
      <c r="M4031" s="62">
        <v>4.5</v>
      </c>
      <c r="N4031" s="62">
        <v>0</v>
      </c>
    </row>
    <row r="4032" spans="9:14">
      <c r="I4032" s="62">
        <v>2019</v>
      </c>
      <c r="J4032" s="62">
        <v>1</v>
      </c>
      <c r="K4032" s="62" t="s">
        <v>23</v>
      </c>
      <c r="L4032" s="62" t="s">
        <v>2</v>
      </c>
      <c r="M4032" s="62">
        <v>43.008</v>
      </c>
      <c r="N4032" s="62">
        <v>0</v>
      </c>
    </row>
    <row r="4033" spans="9:14">
      <c r="I4033" s="62">
        <v>2019</v>
      </c>
      <c r="J4033" s="62">
        <v>2</v>
      </c>
      <c r="K4033" s="62" t="s">
        <v>23</v>
      </c>
      <c r="L4033" s="62" t="s">
        <v>2</v>
      </c>
      <c r="M4033" s="62">
        <v>71.13</v>
      </c>
      <c r="N4033" s="62">
        <v>0</v>
      </c>
    </row>
    <row r="4034" spans="9:14">
      <c r="I4034" s="62">
        <v>2019</v>
      </c>
      <c r="J4034" s="62">
        <v>3</v>
      </c>
      <c r="K4034" s="62" t="s">
        <v>23</v>
      </c>
      <c r="L4034" s="62" t="s">
        <v>2</v>
      </c>
      <c r="M4034" s="62">
        <v>47.08</v>
      </c>
      <c r="N4034" s="62">
        <v>0</v>
      </c>
    </row>
    <row r="4035" spans="9:14">
      <c r="I4035" s="62">
        <v>2019</v>
      </c>
      <c r="J4035" s="62">
        <v>4</v>
      </c>
      <c r="K4035" s="62" t="s">
        <v>23</v>
      </c>
      <c r="L4035" s="62" t="s">
        <v>2</v>
      </c>
      <c r="M4035" s="62">
        <v>61.11</v>
      </c>
      <c r="N4035" s="62">
        <v>0</v>
      </c>
    </row>
    <row r="4036" spans="9:14">
      <c r="I4036" s="62">
        <v>2019</v>
      </c>
      <c r="J4036" s="62">
        <v>5</v>
      </c>
      <c r="K4036" s="62" t="s">
        <v>23</v>
      </c>
      <c r="L4036" s="62" t="s">
        <v>2</v>
      </c>
      <c r="M4036" s="62">
        <v>42.724</v>
      </c>
      <c r="N4036" s="62">
        <v>0</v>
      </c>
    </row>
    <row r="4037" spans="9:14">
      <c r="I4037" s="62">
        <v>2019</v>
      </c>
      <c r="J4037" s="62">
        <v>6</v>
      </c>
      <c r="K4037" s="62" t="s">
        <v>23</v>
      </c>
      <c r="L4037" s="62" t="s">
        <v>2</v>
      </c>
      <c r="M4037" s="62">
        <v>31.01</v>
      </c>
      <c r="N4037" s="62">
        <v>0</v>
      </c>
    </row>
    <row r="4038" spans="9:14">
      <c r="I4038" s="62">
        <v>2019</v>
      </c>
      <c r="J4038" s="62">
        <v>7</v>
      </c>
      <c r="K4038" s="62" t="s">
        <v>23</v>
      </c>
      <c r="L4038" s="62" t="s">
        <v>2</v>
      </c>
      <c r="M4038" s="62">
        <v>0.8999999999999999</v>
      </c>
      <c r="N4038" s="62">
        <v>0</v>
      </c>
    </row>
    <row r="4039" spans="9:14">
      <c r="I4039" s="62">
        <v>2019</v>
      </c>
      <c r="J4039" s="62">
        <v>9</v>
      </c>
      <c r="K4039" s="62" t="s">
        <v>23</v>
      </c>
      <c r="L4039" s="62" t="s">
        <v>2</v>
      </c>
      <c r="M4039" s="62">
        <v>36.815</v>
      </c>
      <c r="N4039" s="62">
        <v>0</v>
      </c>
    </row>
    <row r="4040" spans="9:14">
      <c r="I4040" s="62">
        <v>2019</v>
      </c>
      <c r="J4040" s="62">
        <v>10</v>
      </c>
      <c r="K4040" s="62" t="s">
        <v>23</v>
      </c>
      <c r="L4040" s="62" t="s">
        <v>2</v>
      </c>
      <c r="M4040" s="62">
        <v>80.911</v>
      </c>
      <c r="N4040" s="62">
        <v>0</v>
      </c>
    </row>
    <row r="4041" spans="9:14">
      <c r="I4041" s="62">
        <v>2019</v>
      </c>
      <c r="J4041" s="62">
        <v>11</v>
      </c>
      <c r="K4041" s="62" t="s">
        <v>23</v>
      </c>
      <c r="L4041" s="62" t="s">
        <v>2</v>
      </c>
      <c r="M4041" s="62">
        <v>25.57</v>
      </c>
      <c r="N4041" s="62">
        <v>0</v>
      </c>
    </row>
    <row r="4042" spans="9:14">
      <c r="I4042" s="62">
        <v>2020</v>
      </c>
      <c r="J4042" s="62">
        <v>1</v>
      </c>
      <c r="K4042" s="62" t="s">
        <v>23</v>
      </c>
      <c r="L4042" s="62" t="s">
        <v>2</v>
      </c>
      <c r="M4042" s="62">
        <v>53.44</v>
      </c>
      <c r="N4042" s="62">
        <v>0</v>
      </c>
    </row>
    <row r="4043" spans="9:14">
      <c r="I4043" s="62">
        <v>2020</v>
      </c>
      <c r="J4043" s="62">
        <v>2</v>
      </c>
      <c r="K4043" s="62" t="s">
        <v>23</v>
      </c>
      <c r="L4043" s="62" t="s">
        <v>2</v>
      </c>
      <c r="M4043" s="62">
        <v>100.03</v>
      </c>
      <c r="N4043" s="62">
        <v>0</v>
      </c>
    </row>
    <row r="4044" spans="9:14">
      <c r="I4044" s="62">
        <v>2020</v>
      </c>
      <c r="J4044" s="62">
        <v>3</v>
      </c>
      <c r="K4044" s="62" t="s">
        <v>23</v>
      </c>
      <c r="L4044" s="62" t="s">
        <v>2</v>
      </c>
      <c r="M4044" s="62">
        <v>55.39</v>
      </c>
      <c r="N4044" s="62">
        <v>0</v>
      </c>
    </row>
    <row r="4045" spans="9:14">
      <c r="I4045" s="62">
        <v>2020</v>
      </c>
      <c r="J4045" s="62">
        <v>4</v>
      </c>
      <c r="K4045" s="62" t="s">
        <v>23</v>
      </c>
      <c r="L4045" s="62" t="s">
        <v>2</v>
      </c>
      <c r="M4045" s="62">
        <v>6.28</v>
      </c>
      <c r="N4045" s="62">
        <v>0</v>
      </c>
    </row>
    <row r="4046" spans="9:14">
      <c r="I4046" s="62">
        <v>2020</v>
      </c>
      <c r="J4046" s="62">
        <v>5</v>
      </c>
      <c r="K4046" s="62" t="s">
        <v>23</v>
      </c>
      <c r="L4046" s="62" t="s">
        <v>2</v>
      </c>
      <c r="M4046" s="62">
        <v>23.6705</v>
      </c>
      <c r="N4046" s="62">
        <v>0</v>
      </c>
    </row>
    <row r="4047" spans="9:14">
      <c r="I4047" s="62">
        <v>2020</v>
      </c>
      <c r="J4047" s="62">
        <v>6</v>
      </c>
      <c r="K4047" s="62" t="s">
        <v>23</v>
      </c>
      <c r="L4047" s="62" t="s">
        <v>2</v>
      </c>
      <c r="M4047" s="62">
        <v>49.683</v>
      </c>
      <c r="N4047" s="62">
        <v>0</v>
      </c>
    </row>
    <row r="4048" spans="9:14">
      <c r="I4048" s="62">
        <v>2020</v>
      </c>
      <c r="J4048" s="62">
        <v>7</v>
      </c>
      <c r="K4048" s="62" t="s">
        <v>23</v>
      </c>
      <c r="L4048" s="62" t="s">
        <v>2</v>
      </c>
      <c r="M4048" s="62">
        <v>29.35</v>
      </c>
      <c r="N4048" s="62">
        <v>0</v>
      </c>
    </row>
    <row r="4049" spans="9:14">
      <c r="I4049" s="62">
        <v>2020</v>
      </c>
      <c r="J4049" s="62">
        <v>8</v>
      </c>
      <c r="K4049" s="62" t="s">
        <v>23</v>
      </c>
      <c r="L4049" s="62" t="s">
        <v>2</v>
      </c>
      <c r="M4049" s="62">
        <v>20</v>
      </c>
      <c r="N4049" s="62">
        <v>0</v>
      </c>
    </row>
    <row r="4050" spans="9:14">
      <c r="I4050" s="62">
        <v>2020</v>
      </c>
      <c r="J4050" s="62">
        <v>9</v>
      </c>
      <c r="K4050" s="62" t="s">
        <v>23</v>
      </c>
      <c r="L4050" s="62" t="s">
        <v>2</v>
      </c>
      <c r="M4050" s="62">
        <v>37.97</v>
      </c>
      <c r="N4050" s="62">
        <v>0</v>
      </c>
    </row>
    <row r="4051" spans="9:14">
      <c r="I4051" s="62">
        <v>2020</v>
      </c>
      <c r="J4051" s="62">
        <v>10</v>
      </c>
      <c r="K4051" s="62" t="s">
        <v>23</v>
      </c>
      <c r="L4051" s="62" t="s">
        <v>2</v>
      </c>
      <c r="M4051" s="62">
        <v>77.21000000000001</v>
      </c>
      <c r="N4051" s="62">
        <v>0</v>
      </c>
    </row>
    <row r="4052" spans="9:14">
      <c r="I4052" s="62">
        <v>2020</v>
      </c>
      <c r="J4052" s="62">
        <v>11</v>
      </c>
      <c r="K4052" s="62" t="s">
        <v>23</v>
      </c>
      <c r="L4052" s="62" t="s">
        <v>2</v>
      </c>
      <c r="M4052" s="62">
        <v>71.09999999999999</v>
      </c>
      <c r="N4052" s="62">
        <v>0</v>
      </c>
    </row>
    <row r="4053" spans="9:14">
      <c r="I4053" s="62">
        <v>2020</v>
      </c>
      <c r="J4053" s="62">
        <v>12</v>
      </c>
      <c r="K4053" s="62" t="s">
        <v>23</v>
      </c>
      <c r="L4053" s="62" t="s">
        <v>2</v>
      </c>
      <c r="M4053" s="62">
        <v>70.61500000000001</v>
      </c>
      <c r="N4053" s="62">
        <v>0</v>
      </c>
    </row>
    <row r="4054" spans="9:14">
      <c r="I4054" s="62">
        <v>2021</v>
      </c>
      <c r="J4054" s="62">
        <v>1</v>
      </c>
      <c r="K4054" s="62" t="s">
        <v>23</v>
      </c>
      <c r="L4054" s="62" t="s">
        <v>2</v>
      </c>
      <c r="M4054" s="62">
        <v>88.904</v>
      </c>
      <c r="N4054" s="62">
        <v>0</v>
      </c>
    </row>
    <row r="4055" spans="9:14">
      <c r="I4055" s="62">
        <v>2021</v>
      </c>
      <c r="J4055" s="62">
        <v>2</v>
      </c>
      <c r="K4055" s="62" t="s">
        <v>23</v>
      </c>
      <c r="L4055" s="62" t="s">
        <v>2</v>
      </c>
      <c r="M4055" s="62">
        <v>99.73999999999999</v>
      </c>
      <c r="N4055" s="62">
        <v>0</v>
      </c>
    </row>
    <row r="4056" spans="9:14">
      <c r="I4056" s="62">
        <v>2021</v>
      </c>
      <c r="J4056" s="62">
        <v>3</v>
      </c>
      <c r="K4056" s="62" t="s">
        <v>23</v>
      </c>
      <c r="L4056" s="62" t="s">
        <v>2</v>
      </c>
      <c r="M4056" s="62">
        <v>88.768</v>
      </c>
      <c r="N4056" s="62">
        <v>0</v>
      </c>
    </row>
    <row r="4057" spans="9:14">
      <c r="I4057" s="62">
        <v>2021</v>
      </c>
      <c r="J4057" s="62">
        <v>4</v>
      </c>
      <c r="K4057" s="62" t="s">
        <v>23</v>
      </c>
      <c r="L4057" s="62" t="s">
        <v>2</v>
      </c>
      <c r="M4057" s="62">
        <v>76.184</v>
      </c>
      <c r="N4057" s="62">
        <v>0</v>
      </c>
    </row>
    <row r="4058" spans="9:14">
      <c r="I4058" s="62">
        <v>2021</v>
      </c>
      <c r="J4058" s="62">
        <v>5</v>
      </c>
      <c r="K4058" s="62" t="s">
        <v>23</v>
      </c>
      <c r="L4058" s="62" t="s">
        <v>2</v>
      </c>
      <c r="M4058" s="62">
        <v>34.618</v>
      </c>
      <c r="N4058" s="62">
        <v>0</v>
      </c>
    </row>
    <row r="4059" spans="9:14">
      <c r="I4059" s="62">
        <v>2021</v>
      </c>
      <c r="J4059" s="62">
        <v>6</v>
      </c>
      <c r="K4059" s="62" t="s">
        <v>23</v>
      </c>
      <c r="L4059" s="62" t="s">
        <v>2</v>
      </c>
      <c r="M4059" s="62">
        <v>43.1</v>
      </c>
      <c r="N4059" s="62">
        <v>0</v>
      </c>
    </row>
    <row r="4060" spans="9:14">
      <c r="I4060" s="62">
        <v>2021</v>
      </c>
      <c r="J4060" s="62">
        <v>7</v>
      </c>
      <c r="K4060" s="62" t="s">
        <v>23</v>
      </c>
      <c r="L4060" s="62" t="s">
        <v>2</v>
      </c>
      <c r="M4060" s="62">
        <v>32.39</v>
      </c>
      <c r="N4060" s="62">
        <v>0</v>
      </c>
    </row>
    <row r="4061" spans="9:14">
      <c r="I4061" s="62">
        <v>2021</v>
      </c>
      <c r="J4061" s="62">
        <v>8</v>
      </c>
      <c r="K4061" s="62" t="s">
        <v>23</v>
      </c>
      <c r="L4061" s="62" t="s">
        <v>2</v>
      </c>
      <c r="M4061" s="62">
        <v>34.985</v>
      </c>
      <c r="N4061" s="62">
        <v>0</v>
      </c>
    </row>
    <row r="4062" spans="9:14">
      <c r="I4062" s="62">
        <v>2021</v>
      </c>
      <c r="J4062" s="62">
        <v>9</v>
      </c>
      <c r="K4062" s="62" t="s">
        <v>23</v>
      </c>
      <c r="L4062" s="62" t="s">
        <v>2</v>
      </c>
      <c r="M4062" s="62">
        <v>44.948</v>
      </c>
      <c r="N4062" s="62">
        <v>0</v>
      </c>
    </row>
    <row r="4063" spans="9:14">
      <c r="I4063" s="62">
        <v>2021</v>
      </c>
      <c r="J4063" s="62">
        <v>10</v>
      </c>
      <c r="K4063" s="62" t="s">
        <v>23</v>
      </c>
      <c r="L4063" s="62" t="s">
        <v>2</v>
      </c>
      <c r="M4063" s="62">
        <v>25.562</v>
      </c>
      <c r="N4063" s="62">
        <v>0</v>
      </c>
    </row>
    <row r="4064" spans="9:14">
      <c r="I4064" s="62">
        <v>2021</v>
      </c>
      <c r="J4064" s="62">
        <v>11</v>
      </c>
      <c r="K4064" s="62" t="s">
        <v>23</v>
      </c>
      <c r="L4064" s="62" t="s">
        <v>2</v>
      </c>
      <c r="M4064" s="62">
        <v>10.83</v>
      </c>
      <c r="N4064" s="62">
        <v>0</v>
      </c>
    </row>
    <row r="4065" spans="9:14">
      <c r="I4065" s="62">
        <v>2022</v>
      </c>
      <c r="J4065" s="62">
        <v>1</v>
      </c>
      <c r="K4065" s="62" t="s">
        <v>23</v>
      </c>
      <c r="L4065" s="62" t="s">
        <v>2</v>
      </c>
      <c r="M4065" s="62">
        <v>35.865</v>
      </c>
      <c r="N4065" s="62">
        <v>0</v>
      </c>
    </row>
    <row r="4066" spans="9:14">
      <c r="I4066" s="62">
        <v>2022</v>
      </c>
      <c r="J4066" s="62">
        <v>2</v>
      </c>
      <c r="K4066" s="62" t="s">
        <v>23</v>
      </c>
      <c r="L4066" s="62" t="s">
        <v>2</v>
      </c>
      <c r="M4066" s="62">
        <v>55.38</v>
      </c>
      <c r="N4066" s="62">
        <v>0</v>
      </c>
    </row>
    <row r="4067" spans="9:14">
      <c r="I4067" s="62">
        <v>2022</v>
      </c>
      <c r="J4067" s="62">
        <v>3</v>
      </c>
      <c r="K4067" s="62" t="s">
        <v>23</v>
      </c>
      <c r="L4067" s="62" t="s">
        <v>2</v>
      </c>
      <c r="M4067" s="62">
        <v>21.834</v>
      </c>
      <c r="N4067" s="62">
        <v>0</v>
      </c>
    </row>
    <row r="4068" spans="9:14">
      <c r="I4068" s="62">
        <v>2022</v>
      </c>
      <c r="J4068" s="62">
        <v>4</v>
      </c>
      <c r="K4068" s="62" t="s">
        <v>23</v>
      </c>
      <c r="L4068" s="62" t="s">
        <v>2</v>
      </c>
      <c r="M4068" s="62">
        <v>13.634</v>
      </c>
      <c r="N4068" s="62">
        <v>0</v>
      </c>
    </row>
    <row r="4069" spans="9:14">
      <c r="I4069" s="62">
        <v>2022</v>
      </c>
      <c r="J4069" s="62">
        <v>5</v>
      </c>
      <c r="K4069" s="62" t="s">
        <v>23</v>
      </c>
      <c r="L4069" s="62" t="s">
        <v>2</v>
      </c>
      <c r="M4069" s="62">
        <v>12.905</v>
      </c>
      <c r="N4069" s="62">
        <v>0</v>
      </c>
    </row>
    <row r="4070" spans="9:14">
      <c r="I4070" s="62">
        <v>2022</v>
      </c>
      <c r="J4070" s="62">
        <v>6</v>
      </c>
      <c r="K4070" s="62" t="s">
        <v>23</v>
      </c>
      <c r="L4070" s="62" t="s">
        <v>2</v>
      </c>
      <c r="M4070" s="62">
        <v>25.5</v>
      </c>
      <c r="N4070" s="62">
        <v>0</v>
      </c>
    </row>
    <row r="4071" spans="9:14">
      <c r="I4071" s="62">
        <v>2022</v>
      </c>
      <c r="J4071" s="62">
        <v>7</v>
      </c>
      <c r="K4071" s="62" t="s">
        <v>23</v>
      </c>
      <c r="L4071" s="62" t="s">
        <v>2</v>
      </c>
      <c r="M4071" s="62">
        <v>5.23</v>
      </c>
      <c r="N4071" s="62">
        <v>0</v>
      </c>
    </row>
    <row r="4072" spans="9:14">
      <c r="I4072" s="62">
        <v>2022</v>
      </c>
      <c r="J4072" s="62">
        <v>8</v>
      </c>
      <c r="K4072" s="62" t="s">
        <v>23</v>
      </c>
      <c r="L4072" s="62" t="s">
        <v>2</v>
      </c>
      <c r="M4072" s="62">
        <v>2.9</v>
      </c>
      <c r="N4072" s="62">
        <v>0</v>
      </c>
    </row>
    <row r="4073" spans="9:14">
      <c r="I4073" s="62">
        <v>2022</v>
      </c>
      <c r="J4073" s="62">
        <v>9</v>
      </c>
      <c r="K4073" s="62" t="s">
        <v>23</v>
      </c>
      <c r="L4073" s="62" t="s">
        <v>2</v>
      </c>
      <c r="M4073" s="62">
        <v>24.55</v>
      </c>
      <c r="N4073" s="62">
        <v>0</v>
      </c>
    </row>
    <row r="4074" spans="9:14">
      <c r="I4074" s="62">
        <v>2022</v>
      </c>
      <c r="J4074" s="62">
        <v>10</v>
      </c>
      <c r="K4074" s="62" t="s">
        <v>23</v>
      </c>
      <c r="L4074" s="62" t="s">
        <v>2</v>
      </c>
      <c r="M4074" s="62">
        <v>94.809</v>
      </c>
      <c r="N4074" s="62">
        <v>0</v>
      </c>
    </row>
    <row r="4075" spans="9:14">
      <c r="I4075" s="62">
        <v>2022</v>
      </c>
      <c r="J4075" s="62">
        <v>11</v>
      </c>
      <c r="K4075" s="62" t="s">
        <v>23</v>
      </c>
      <c r="L4075" s="62" t="s">
        <v>2</v>
      </c>
      <c r="M4075" s="62">
        <v>41.274</v>
      </c>
      <c r="N4075" s="62">
        <v>0</v>
      </c>
    </row>
    <row r="4076" spans="9:14">
      <c r="I4076" s="62">
        <v>2023</v>
      </c>
      <c r="J4076" s="62">
        <v>1</v>
      </c>
      <c r="K4076" s="62" t="s">
        <v>23</v>
      </c>
      <c r="L4076" s="62" t="s">
        <v>2</v>
      </c>
      <c r="M4076" s="62">
        <v>25.856</v>
      </c>
      <c r="N4076" s="62">
        <v>0</v>
      </c>
    </row>
    <row r="4077" spans="9:14">
      <c r="I4077" s="62">
        <v>2023</v>
      </c>
      <c r="J4077" s="62">
        <v>2</v>
      </c>
      <c r="K4077" s="62" t="s">
        <v>23</v>
      </c>
      <c r="L4077" s="62" t="s">
        <v>2</v>
      </c>
      <c r="M4077" s="62">
        <v>61.6</v>
      </c>
      <c r="N4077" s="62">
        <v>0</v>
      </c>
    </row>
    <row r="4078" spans="9:14">
      <c r="I4078" s="62">
        <v>2023</v>
      </c>
      <c r="J4078" s="62">
        <v>3</v>
      </c>
      <c r="K4078" s="62" t="s">
        <v>23</v>
      </c>
      <c r="L4078" s="62" t="s">
        <v>2</v>
      </c>
      <c r="M4078" s="62">
        <v>42.537</v>
      </c>
      <c r="N4078" s="62">
        <v>0</v>
      </c>
    </row>
    <row r="4079" spans="9:14">
      <c r="I4079" s="62">
        <v>2023</v>
      </c>
      <c r="J4079" s="62">
        <v>4</v>
      </c>
      <c r="K4079" s="62" t="s">
        <v>23</v>
      </c>
      <c r="L4079" s="62" t="s">
        <v>2</v>
      </c>
      <c r="M4079" s="62">
        <v>42.846</v>
      </c>
      <c r="N4079" s="62">
        <v>0</v>
      </c>
    </row>
    <row r="4080" spans="9:14">
      <c r="I4080" s="62">
        <v>2023</v>
      </c>
      <c r="J4080" s="62">
        <v>5</v>
      </c>
      <c r="K4080" s="62" t="s">
        <v>23</v>
      </c>
      <c r="L4080" s="62" t="s">
        <v>2</v>
      </c>
      <c r="M4080" s="62">
        <v>34.796</v>
      </c>
      <c r="N4080" s="62">
        <v>0</v>
      </c>
    </row>
    <row r="4081" spans="9:14">
      <c r="I4081" s="62">
        <v>2023</v>
      </c>
      <c r="J4081" s="62">
        <v>6</v>
      </c>
      <c r="K4081" s="62" t="s">
        <v>23</v>
      </c>
      <c r="L4081" s="62" t="s">
        <v>2</v>
      </c>
      <c r="M4081" s="62">
        <v>10.34</v>
      </c>
      <c r="N4081" s="62">
        <v>0</v>
      </c>
    </row>
    <row r="4082" spans="9:14">
      <c r="I4082" s="62">
        <v>2023</v>
      </c>
      <c r="J4082" s="62">
        <v>7</v>
      </c>
      <c r="K4082" s="62" t="s">
        <v>23</v>
      </c>
      <c r="L4082" s="62" t="s">
        <v>2</v>
      </c>
      <c r="M4082" s="62">
        <v>2.16</v>
      </c>
      <c r="N4082" s="62">
        <v>0</v>
      </c>
    </row>
    <row r="4083" spans="9:14">
      <c r="I4083" s="62">
        <v>2023</v>
      </c>
      <c r="J4083" s="62">
        <v>8</v>
      </c>
      <c r="K4083" s="62" t="s">
        <v>23</v>
      </c>
      <c r="L4083" s="62" t="s">
        <v>2</v>
      </c>
      <c r="M4083" s="62">
        <v>3.85</v>
      </c>
      <c r="N4083" s="62">
        <v>0</v>
      </c>
    </row>
    <row r="4084" spans="9:14">
      <c r="I4084" s="62">
        <v>2023</v>
      </c>
      <c r="J4084" s="62">
        <v>9</v>
      </c>
      <c r="K4084" s="62" t="s">
        <v>23</v>
      </c>
      <c r="L4084" s="62" t="s">
        <v>2</v>
      </c>
      <c r="M4084" s="62">
        <v>13.64</v>
      </c>
      <c r="N4084" s="62">
        <v>0</v>
      </c>
    </row>
    <row r="4085" spans="9:14">
      <c r="I4085" s="62">
        <v>2023</v>
      </c>
      <c r="J4085" s="62">
        <v>10</v>
      </c>
      <c r="K4085" s="62" t="s">
        <v>23</v>
      </c>
      <c r="L4085" s="62" t="s">
        <v>2</v>
      </c>
      <c r="M4085" s="62">
        <v>45.68</v>
      </c>
      <c r="N4085" s="62">
        <v>0</v>
      </c>
    </row>
    <row r="4086" spans="9:14">
      <c r="I4086" s="62">
        <v>2023</v>
      </c>
      <c r="J4086" s="62">
        <v>11</v>
      </c>
      <c r="K4086" s="62" t="s">
        <v>23</v>
      </c>
      <c r="L4086" s="62" t="s">
        <v>2</v>
      </c>
      <c r="M4086" s="62">
        <v>21.36</v>
      </c>
      <c r="N4086" s="62">
        <v>0</v>
      </c>
    </row>
    <row r="4087" spans="9:14">
      <c r="I4087" s="62">
        <v>2024</v>
      </c>
      <c r="J4087" s="62">
        <v>1</v>
      </c>
      <c r="K4087" s="62" t="s">
        <v>23</v>
      </c>
      <c r="L4087" s="62" t="s">
        <v>2</v>
      </c>
      <c r="M4087" s="62">
        <v>7.738999999999999</v>
      </c>
      <c r="N4087" s="62">
        <v>0</v>
      </c>
    </row>
    <row r="4088" spans="9:14">
      <c r="I4088" s="62">
        <v>2024</v>
      </c>
      <c r="J4088" s="62">
        <v>2</v>
      </c>
      <c r="K4088" s="62" t="s">
        <v>23</v>
      </c>
      <c r="L4088" s="62" t="s">
        <v>2</v>
      </c>
      <c r="M4088" s="62">
        <v>27.48</v>
      </c>
      <c r="N4088" s="62">
        <v>0</v>
      </c>
    </row>
    <row r="4089" spans="9:14">
      <c r="I4089" s="62">
        <v>2024</v>
      </c>
      <c r="J4089" s="62">
        <v>3</v>
      </c>
      <c r="K4089" s="62" t="s">
        <v>23</v>
      </c>
      <c r="L4089" s="62" t="s">
        <v>2</v>
      </c>
      <c r="M4089" s="62">
        <v>35.241</v>
      </c>
      <c r="N4089" s="62">
        <v>0</v>
      </c>
    </row>
    <row r="4090" spans="9:14">
      <c r="I4090" s="62">
        <v>2024</v>
      </c>
      <c r="J4090" s="62">
        <v>4</v>
      </c>
      <c r="K4090" s="62" t="s">
        <v>23</v>
      </c>
      <c r="L4090" s="62" t="s">
        <v>2</v>
      </c>
      <c r="M4090" s="62">
        <v>12.6805</v>
      </c>
      <c r="N4090" s="62">
        <v>0</v>
      </c>
    </row>
    <row r="4091" spans="9:14">
      <c r="I4091" s="62">
        <v>2024</v>
      </c>
      <c r="J4091" s="62">
        <v>5</v>
      </c>
      <c r="K4091" s="62" t="s">
        <v>23</v>
      </c>
      <c r="L4091" s="62" t="s">
        <v>2</v>
      </c>
      <c r="M4091" s="62">
        <v>2.58</v>
      </c>
      <c r="N4091" s="62">
        <v>0</v>
      </c>
    </row>
    <row r="4092" spans="9:14">
      <c r="I4092" s="62">
        <v>2024</v>
      </c>
      <c r="J4092" s="62">
        <v>6</v>
      </c>
      <c r="K4092" s="62" t="s">
        <v>23</v>
      </c>
      <c r="L4092" s="62" t="s">
        <v>2</v>
      </c>
      <c r="M4092" s="62">
        <v>4.6</v>
      </c>
      <c r="N4092" s="62">
        <v>0</v>
      </c>
    </row>
    <row r="4093" spans="9:14">
      <c r="I4093" s="62">
        <v>2024</v>
      </c>
      <c r="J4093" s="62">
        <v>8</v>
      </c>
      <c r="K4093" s="62" t="s">
        <v>23</v>
      </c>
      <c r="L4093" s="62" t="s">
        <v>2</v>
      </c>
      <c r="M4093" s="62">
        <v>9.374000000000001</v>
      </c>
      <c r="N4093" s="62">
        <v>0</v>
      </c>
    </row>
    <row r="4094" spans="9:14">
      <c r="I4094" s="62">
        <v>2024</v>
      </c>
      <c r="J4094" s="62">
        <v>9</v>
      </c>
      <c r="K4094" s="62" t="s">
        <v>23</v>
      </c>
      <c r="L4094" s="62" t="s">
        <v>2</v>
      </c>
      <c r="M4094" s="62">
        <v>18.425</v>
      </c>
      <c r="N4094" s="62">
        <v>0</v>
      </c>
    </row>
    <row r="4095" spans="9:14">
      <c r="I4095" s="62">
        <v>2024</v>
      </c>
      <c r="J4095" s="62">
        <v>10</v>
      </c>
      <c r="K4095" s="62" t="s">
        <v>23</v>
      </c>
      <c r="L4095" s="62" t="s">
        <v>2</v>
      </c>
      <c r="M4095" s="62">
        <v>28.98</v>
      </c>
      <c r="N4095" s="62">
        <v>0</v>
      </c>
    </row>
    <row r="4096" spans="9:14">
      <c r="I4096" s="62">
        <v>2024</v>
      </c>
      <c r="J4096" s="62">
        <v>11</v>
      </c>
      <c r="K4096" s="62" t="s">
        <v>23</v>
      </c>
      <c r="L4096" s="62" t="s">
        <v>2</v>
      </c>
      <c r="M4096" s="62">
        <v>13.115</v>
      </c>
      <c r="N4096" s="62">
        <v>0</v>
      </c>
    </row>
    <row r="4097" spans="9:14">
      <c r="I4097" s="62">
        <v>2024</v>
      </c>
      <c r="J4097" s="62">
        <v>12</v>
      </c>
      <c r="K4097" s="62" t="s">
        <v>23</v>
      </c>
      <c r="L4097" s="62" t="s">
        <v>2</v>
      </c>
      <c r="M4097" s="62">
        <v>0.18</v>
      </c>
      <c r="N4097" s="62">
        <v>0</v>
      </c>
    </row>
    <row r="4098" spans="9:14">
      <c r="I4098" s="62">
        <v>2025</v>
      </c>
      <c r="J4098" s="62">
        <v>1</v>
      </c>
      <c r="K4098" s="62" t="s">
        <v>23</v>
      </c>
      <c r="L4098" s="62" t="s">
        <v>2</v>
      </c>
      <c r="M4098" s="62">
        <v>48.762</v>
      </c>
      <c r="N4098" s="62">
        <v>0</v>
      </c>
    </row>
    <row r="4099" spans="9:14">
      <c r="I4099" s="62">
        <v>2025</v>
      </c>
      <c r="J4099" s="62">
        <v>2</v>
      </c>
      <c r="K4099" s="62" t="s">
        <v>23</v>
      </c>
      <c r="L4099" s="62" t="s">
        <v>2</v>
      </c>
      <c r="M4099" s="62">
        <v>71.233</v>
      </c>
      <c r="N4099" s="62">
        <v>0</v>
      </c>
    </row>
    <row r="4100" spans="9:14">
      <c r="I4100" s="62">
        <v>2025</v>
      </c>
      <c r="J4100" s="62">
        <v>3</v>
      </c>
      <c r="K4100" s="62" t="s">
        <v>23</v>
      </c>
      <c r="L4100" s="62" t="s">
        <v>2</v>
      </c>
      <c r="M4100" s="62">
        <v>32.797</v>
      </c>
      <c r="N4100" s="62">
        <v>0</v>
      </c>
    </row>
    <row r="4101" spans="9:14">
      <c r="I4101" s="62">
        <v>2025</v>
      </c>
      <c r="J4101" s="62">
        <v>4</v>
      </c>
      <c r="K4101" s="62" t="s">
        <v>23</v>
      </c>
      <c r="L4101" s="62" t="s">
        <v>2</v>
      </c>
      <c r="M4101" s="62">
        <v>30.685</v>
      </c>
      <c r="N4101" s="62">
        <v>0</v>
      </c>
    </row>
    <row r="4102" spans="9:14">
      <c r="I4102" s="62">
        <v>2025</v>
      </c>
      <c r="J4102" s="62">
        <v>5</v>
      </c>
      <c r="K4102" s="62" t="s">
        <v>23</v>
      </c>
      <c r="L4102" s="62" t="s">
        <v>2</v>
      </c>
      <c r="M4102" s="62">
        <v>17.585</v>
      </c>
      <c r="N4102" s="62">
        <v>0</v>
      </c>
    </row>
    <row r="4103" spans="9:14">
      <c r="I4103" s="62">
        <v>2025</v>
      </c>
      <c r="J4103" s="62">
        <v>6</v>
      </c>
      <c r="K4103" s="62" t="s">
        <v>23</v>
      </c>
      <c r="L4103" s="62" t="s">
        <v>2</v>
      </c>
      <c r="M4103" s="62">
        <v>3.906</v>
      </c>
      <c r="N4103" s="62">
        <v>0</v>
      </c>
    </row>
    <row r="4104" spans="9:14">
      <c r="I4104" s="62">
        <v>2025</v>
      </c>
      <c r="J4104" s="62">
        <v>7</v>
      </c>
      <c r="K4104" s="62" t="s">
        <v>23</v>
      </c>
      <c r="L4104" s="62" t="s">
        <v>2</v>
      </c>
      <c r="M4104" s="62">
        <v>4.86</v>
      </c>
      <c r="N4104" s="62">
        <v>0</v>
      </c>
    </row>
    <row r="4105" spans="9:14">
      <c r="I4105" s="62">
        <v>2025</v>
      </c>
      <c r="J4105" s="62">
        <v>8</v>
      </c>
      <c r="K4105" s="62" t="s">
        <v>23</v>
      </c>
      <c r="L4105" s="62" t="s">
        <v>2</v>
      </c>
      <c r="M4105" s="62">
        <v>14.74</v>
      </c>
      <c r="N4105" s="62">
        <v>0</v>
      </c>
    </row>
    <row r="4106" spans="9:14">
      <c r="I4106" s="62">
        <v>2025</v>
      </c>
      <c r="J4106" s="62">
        <v>9</v>
      </c>
      <c r="K4106" s="62" t="s">
        <v>23</v>
      </c>
      <c r="L4106" s="62" t="s">
        <v>2</v>
      </c>
      <c r="M4106" s="62">
        <v>51.78</v>
      </c>
      <c r="N4106" s="62">
        <v>0</v>
      </c>
    </row>
    <row r="4107" spans="9:14">
      <c r="I4107" s="62">
        <v>2025</v>
      </c>
      <c r="J4107" s="62">
        <v>10</v>
      </c>
      <c r="K4107" s="62" t="s">
        <v>23</v>
      </c>
      <c r="L4107" s="62" t="s">
        <v>2</v>
      </c>
      <c r="M4107" s="62">
        <v>55.888</v>
      </c>
      <c r="N4107" s="62">
        <v>0</v>
      </c>
    </row>
    <row r="4108" spans="9:14">
      <c r="I4108" s="62">
        <v>2025</v>
      </c>
      <c r="J4108" s="62">
        <v>11</v>
      </c>
      <c r="K4108" s="62" t="s">
        <v>23</v>
      </c>
      <c r="L4108" s="62" t="s">
        <v>2</v>
      </c>
      <c r="M4108" s="62">
        <v>18.93</v>
      </c>
      <c r="N4108" s="62">
        <v>0</v>
      </c>
    </row>
    <row r="4109" spans="9:14">
      <c r="I4109" s="62">
        <v>2026</v>
      </c>
      <c r="J4109" s="62">
        <v>1</v>
      </c>
      <c r="K4109" s="62" t="s">
        <v>23</v>
      </c>
      <c r="L4109" s="62" t="s">
        <v>2</v>
      </c>
      <c r="M4109" s="62">
        <v>60.7564</v>
      </c>
      <c r="N4109" s="62">
        <v>0</v>
      </c>
    </row>
    <row r="4110" spans="9:14">
      <c r="I4110" s="62">
        <v>2026</v>
      </c>
      <c r="J4110" s="62">
        <v>2</v>
      </c>
      <c r="K4110" s="62" t="s">
        <v>23</v>
      </c>
      <c r="L4110" s="62" t="s">
        <v>2</v>
      </c>
      <c r="M4110" s="62">
        <v>78.88499999999999</v>
      </c>
      <c r="N4110" s="62">
        <v>0</v>
      </c>
    </row>
    <row r="4111" spans="9:14">
      <c r="I4111" s="62">
        <v>2026</v>
      </c>
      <c r="J4111" s="62">
        <v>3</v>
      </c>
      <c r="K4111" s="62" t="s">
        <v>23</v>
      </c>
      <c r="L4111" s="62" t="s">
        <v>2</v>
      </c>
      <c r="M4111" s="62">
        <v>34.072</v>
      </c>
      <c r="N4111" s="62">
        <v>0</v>
      </c>
    </row>
    <row r="4112" spans="9:14">
      <c r="I4112" s="62">
        <v>2026</v>
      </c>
      <c r="J4112" s="62">
        <v>4</v>
      </c>
      <c r="K4112" s="62" t="s">
        <v>23</v>
      </c>
      <c r="L4112" s="62" t="s">
        <v>2</v>
      </c>
      <c r="M4112" s="62">
        <v>29.1</v>
      </c>
      <c r="N4112" s="62">
        <v>0</v>
      </c>
    </row>
    <row r="4113" spans="9:14">
      <c r="I4113" s="62">
        <v>2026</v>
      </c>
      <c r="J4113" s="62">
        <v>5</v>
      </c>
      <c r="K4113" s="62" t="s">
        <v>23</v>
      </c>
      <c r="L4113" s="62" t="s">
        <v>2</v>
      </c>
      <c r="M4113" s="62">
        <v>11.661</v>
      </c>
      <c r="N4113" s="62">
        <v>0</v>
      </c>
    </row>
    <row r="4114" spans="9:14">
      <c r="I4114" s="62">
        <v>2026</v>
      </c>
      <c r="J4114" s="62">
        <v>10</v>
      </c>
      <c r="K4114" s="62" t="s">
        <v>23</v>
      </c>
      <c r="L4114" s="62" t="s">
        <v>2</v>
      </c>
      <c r="M4114" s="62">
        <v>36.616</v>
      </c>
      <c r="N4114" s="62">
        <v>0</v>
      </c>
    </row>
    <row r="4115" spans="9:14">
      <c r="I4115" s="62">
        <v>2026</v>
      </c>
      <c r="J4115" s="62">
        <v>11</v>
      </c>
      <c r="K4115" s="62" t="s">
        <v>23</v>
      </c>
      <c r="L4115" s="62" t="s">
        <v>2</v>
      </c>
      <c r="M4115" s="62">
        <v>39.9</v>
      </c>
      <c r="N4115" s="62">
        <v>0</v>
      </c>
    </row>
    <row r="4116" spans="9:14">
      <c r="I4116" s="62">
        <v>2026</v>
      </c>
      <c r="J4116" s="62">
        <v>12</v>
      </c>
      <c r="K4116" s="62" t="s">
        <v>23</v>
      </c>
      <c r="L4116" s="62" t="s">
        <v>2</v>
      </c>
      <c r="M4116" s="62">
        <v>1.2</v>
      </c>
      <c r="N4116" s="62">
        <v>0</v>
      </c>
    </row>
    <row r="4117" spans="9:14">
      <c r="I4117" s="62">
        <v>2027</v>
      </c>
      <c r="J4117" s="62">
        <v>1</v>
      </c>
      <c r="K4117" s="62" t="s">
        <v>23</v>
      </c>
      <c r="L4117" s="62" t="s">
        <v>2</v>
      </c>
      <c r="M4117" s="62">
        <v>32.573</v>
      </c>
      <c r="N4117" s="62">
        <v>0</v>
      </c>
    </row>
    <row r="4118" spans="9:14">
      <c r="I4118" s="62">
        <v>2027</v>
      </c>
      <c r="J4118" s="62">
        <v>2</v>
      </c>
      <c r="K4118" s="62" t="s">
        <v>23</v>
      </c>
      <c r="L4118" s="62" t="s">
        <v>2</v>
      </c>
      <c r="M4118" s="62">
        <v>80.47499999999999</v>
      </c>
      <c r="N4118" s="62">
        <v>0</v>
      </c>
    </row>
    <row r="4119" spans="9:14">
      <c r="I4119" s="62">
        <v>2027</v>
      </c>
      <c r="J4119" s="62">
        <v>3</v>
      </c>
      <c r="K4119" s="62" t="s">
        <v>23</v>
      </c>
      <c r="L4119" s="62" t="s">
        <v>2</v>
      </c>
      <c r="M4119" s="62">
        <v>75.0715</v>
      </c>
      <c r="N4119" s="62">
        <v>0</v>
      </c>
    </row>
    <row r="4120" spans="9:14">
      <c r="I4120" s="62">
        <v>2027</v>
      </c>
      <c r="J4120" s="62">
        <v>4</v>
      </c>
      <c r="K4120" s="62" t="s">
        <v>23</v>
      </c>
      <c r="L4120" s="62" t="s">
        <v>2</v>
      </c>
      <c r="M4120" s="62">
        <v>72.77199999999999</v>
      </c>
      <c r="N4120" s="62">
        <v>0</v>
      </c>
    </row>
    <row r="4121" spans="9:14">
      <c r="I4121" s="62">
        <v>2027</v>
      </c>
      <c r="J4121" s="62">
        <v>5</v>
      </c>
      <c r="K4121" s="62" t="s">
        <v>23</v>
      </c>
      <c r="L4121" s="62" t="s">
        <v>2</v>
      </c>
      <c r="M4121" s="62">
        <v>16.08</v>
      </c>
      <c r="N4121" s="62">
        <v>0</v>
      </c>
    </row>
    <row r="4122" spans="9:14">
      <c r="I4122" s="62">
        <v>2027</v>
      </c>
      <c r="J4122" s="62">
        <v>9</v>
      </c>
      <c r="K4122" s="62" t="s">
        <v>23</v>
      </c>
      <c r="L4122" s="62" t="s">
        <v>2</v>
      </c>
      <c r="M4122" s="62">
        <v>35.061</v>
      </c>
      <c r="N4122" s="62">
        <v>0</v>
      </c>
    </row>
    <row r="4123" spans="9:14">
      <c r="I4123" s="62">
        <v>2027</v>
      </c>
      <c r="J4123" s="62">
        <v>10</v>
      </c>
      <c r="K4123" s="62" t="s">
        <v>23</v>
      </c>
      <c r="L4123" s="62" t="s">
        <v>2</v>
      </c>
      <c r="M4123" s="62">
        <v>54.13</v>
      </c>
      <c r="N4123" s="62">
        <v>0</v>
      </c>
    </row>
    <row r="4124" spans="9:14">
      <c r="I4124" s="62">
        <v>2027</v>
      </c>
      <c r="J4124" s="62">
        <v>11</v>
      </c>
      <c r="K4124" s="62" t="s">
        <v>23</v>
      </c>
      <c r="L4124" s="62" t="s">
        <v>2</v>
      </c>
      <c r="M4124" s="62">
        <v>26.655</v>
      </c>
      <c r="N4124" s="62">
        <v>0</v>
      </c>
    </row>
    <row r="4125" spans="9:14">
      <c r="I4125" s="62">
        <v>2014</v>
      </c>
      <c r="J4125" s="62">
        <v>1</v>
      </c>
      <c r="K4125" s="62" t="s">
        <v>23</v>
      </c>
      <c r="L4125" s="62" t="s">
        <v>3</v>
      </c>
      <c r="M4125" s="62">
        <v>12.781</v>
      </c>
      <c r="N4125" s="62">
        <v>0</v>
      </c>
    </row>
    <row r="4126" spans="9:14">
      <c r="I4126" s="62">
        <v>2014</v>
      </c>
      <c r="J4126" s="62">
        <v>2</v>
      </c>
      <c r="K4126" s="62" t="s">
        <v>23</v>
      </c>
      <c r="L4126" s="62" t="s">
        <v>3</v>
      </c>
      <c r="M4126" s="62">
        <v>19.287</v>
      </c>
      <c r="N4126" s="62">
        <v>0</v>
      </c>
    </row>
    <row r="4127" spans="9:14">
      <c r="I4127" s="62">
        <v>2014</v>
      </c>
      <c r="J4127" s="62">
        <v>3</v>
      </c>
      <c r="K4127" s="62" t="s">
        <v>23</v>
      </c>
      <c r="L4127" s="62" t="s">
        <v>3</v>
      </c>
      <c r="M4127" s="62">
        <v>10.8</v>
      </c>
      <c r="N4127" s="62">
        <v>0</v>
      </c>
    </row>
    <row r="4128" spans="9:14">
      <c r="I4128" s="62">
        <v>2014</v>
      </c>
      <c r="J4128" s="62">
        <v>4</v>
      </c>
      <c r="K4128" s="62" t="s">
        <v>23</v>
      </c>
      <c r="L4128" s="62" t="s">
        <v>3</v>
      </c>
      <c r="M4128" s="62">
        <v>6.355</v>
      </c>
      <c r="N4128" s="62">
        <v>0</v>
      </c>
    </row>
    <row r="4129" spans="9:14">
      <c r="I4129" s="62">
        <v>2014</v>
      </c>
      <c r="J4129" s="62">
        <v>5</v>
      </c>
      <c r="K4129" s="62" t="s">
        <v>23</v>
      </c>
      <c r="L4129" s="62" t="s">
        <v>3</v>
      </c>
      <c r="M4129" s="62">
        <v>3.7275</v>
      </c>
      <c r="N4129" s="62">
        <v>0</v>
      </c>
    </row>
    <row r="4130" spans="9:14">
      <c r="I4130" s="62">
        <v>2014</v>
      </c>
      <c r="J4130" s="62">
        <v>6</v>
      </c>
      <c r="K4130" s="62" t="s">
        <v>23</v>
      </c>
      <c r="L4130" s="62" t="s">
        <v>3</v>
      </c>
      <c r="M4130" s="62">
        <v>17.821</v>
      </c>
      <c r="N4130" s="62">
        <v>0</v>
      </c>
    </row>
    <row r="4131" spans="9:14">
      <c r="I4131" s="62">
        <v>2014</v>
      </c>
      <c r="J4131" s="62">
        <v>7</v>
      </c>
      <c r="K4131" s="62" t="s">
        <v>23</v>
      </c>
      <c r="L4131" s="62" t="s">
        <v>3</v>
      </c>
      <c r="M4131" s="62">
        <v>4.88</v>
      </c>
      <c r="N4131" s="62">
        <v>0</v>
      </c>
    </row>
    <row r="4132" spans="9:14">
      <c r="I4132" s="62">
        <v>2014</v>
      </c>
      <c r="J4132" s="62">
        <v>8</v>
      </c>
      <c r="K4132" s="62" t="s">
        <v>23</v>
      </c>
      <c r="L4132" s="62" t="s">
        <v>3</v>
      </c>
      <c r="M4132" s="62">
        <v>39.3172</v>
      </c>
      <c r="N4132" s="62">
        <v>0</v>
      </c>
    </row>
    <row r="4133" spans="9:14">
      <c r="I4133" s="62">
        <v>2014</v>
      </c>
      <c r="J4133" s="62">
        <v>9</v>
      </c>
      <c r="K4133" s="62" t="s">
        <v>23</v>
      </c>
      <c r="L4133" s="62" t="s">
        <v>3</v>
      </c>
      <c r="M4133" s="62">
        <v>56.429</v>
      </c>
      <c r="N4133" s="62">
        <v>0</v>
      </c>
    </row>
    <row r="4134" spans="9:14">
      <c r="I4134" s="62">
        <v>2014</v>
      </c>
      <c r="J4134" s="62">
        <v>10</v>
      </c>
      <c r="K4134" s="62" t="s">
        <v>23</v>
      </c>
      <c r="L4134" s="62" t="s">
        <v>3</v>
      </c>
      <c r="M4134" s="62">
        <v>21.434</v>
      </c>
      <c r="N4134" s="62">
        <v>0</v>
      </c>
    </row>
    <row r="4135" spans="9:14">
      <c r="I4135" s="62">
        <v>2014</v>
      </c>
      <c r="J4135" s="62">
        <v>11</v>
      </c>
      <c r="K4135" s="62" t="s">
        <v>23</v>
      </c>
      <c r="L4135" s="62" t="s">
        <v>3</v>
      </c>
      <c r="M4135" s="62">
        <v>9.43</v>
      </c>
      <c r="N4135" s="62">
        <v>0</v>
      </c>
    </row>
    <row r="4136" spans="9:14">
      <c r="I4136" s="62">
        <v>2014</v>
      </c>
      <c r="J4136" s="62">
        <v>12</v>
      </c>
      <c r="K4136" s="62" t="s">
        <v>23</v>
      </c>
      <c r="L4136" s="62" t="s">
        <v>3</v>
      </c>
      <c r="M4136" s="62">
        <v>2.66</v>
      </c>
      <c r="N4136" s="62">
        <v>0</v>
      </c>
    </row>
    <row r="4137" spans="9:14">
      <c r="I4137" s="62">
        <v>2015</v>
      </c>
      <c r="J4137" s="62">
        <v>1</v>
      </c>
      <c r="K4137" s="62" t="s">
        <v>23</v>
      </c>
      <c r="L4137" s="62" t="s">
        <v>3</v>
      </c>
      <c r="M4137" s="62">
        <v>0.54</v>
      </c>
      <c r="N4137" s="62">
        <v>0</v>
      </c>
    </row>
    <row r="4138" spans="9:14">
      <c r="I4138" s="62">
        <v>2015</v>
      </c>
      <c r="J4138" s="62">
        <v>2</v>
      </c>
      <c r="K4138" s="62" t="s">
        <v>23</v>
      </c>
      <c r="L4138" s="62" t="s">
        <v>3</v>
      </c>
      <c r="M4138" s="62">
        <v>18.24</v>
      </c>
      <c r="N4138" s="62">
        <v>0</v>
      </c>
    </row>
    <row r="4139" spans="9:14">
      <c r="I4139" s="62">
        <v>2015</v>
      </c>
      <c r="J4139" s="62">
        <v>3</v>
      </c>
      <c r="K4139" s="62" t="s">
        <v>23</v>
      </c>
      <c r="L4139" s="62" t="s">
        <v>3</v>
      </c>
      <c r="M4139" s="62">
        <v>22.18</v>
      </c>
      <c r="N4139" s="62">
        <v>0</v>
      </c>
    </row>
    <row r="4140" spans="9:14">
      <c r="I4140" s="62">
        <v>2015</v>
      </c>
      <c r="J4140" s="62">
        <v>4</v>
      </c>
      <c r="K4140" s="62" t="s">
        <v>23</v>
      </c>
      <c r="L4140" s="62" t="s">
        <v>3</v>
      </c>
      <c r="M4140" s="62">
        <v>33.8</v>
      </c>
      <c r="N4140" s="62">
        <v>0</v>
      </c>
    </row>
    <row r="4141" spans="9:14">
      <c r="I4141" s="62">
        <v>2015</v>
      </c>
      <c r="J4141" s="62">
        <v>5</v>
      </c>
      <c r="K4141" s="62" t="s">
        <v>23</v>
      </c>
      <c r="L4141" s="62" t="s">
        <v>3</v>
      </c>
      <c r="M4141" s="62">
        <v>30.135</v>
      </c>
      <c r="N4141" s="62">
        <v>0</v>
      </c>
    </row>
    <row r="4142" spans="9:14">
      <c r="I4142" s="62">
        <v>2015</v>
      </c>
      <c r="J4142" s="62">
        <v>6</v>
      </c>
      <c r="K4142" s="62" t="s">
        <v>23</v>
      </c>
      <c r="L4142" s="62" t="s">
        <v>3</v>
      </c>
      <c r="M4142" s="62">
        <v>27.37</v>
      </c>
      <c r="N4142" s="62">
        <v>0</v>
      </c>
    </row>
    <row r="4143" spans="9:14">
      <c r="I4143" s="62">
        <v>2015</v>
      </c>
      <c r="J4143" s="62">
        <v>7</v>
      </c>
      <c r="K4143" s="62" t="s">
        <v>23</v>
      </c>
      <c r="L4143" s="62" t="s">
        <v>3</v>
      </c>
      <c r="M4143" s="62">
        <v>39.128</v>
      </c>
      <c r="N4143" s="62">
        <v>0</v>
      </c>
    </row>
    <row r="4144" spans="9:14">
      <c r="I4144" s="62">
        <v>2015</v>
      </c>
      <c r="J4144" s="62">
        <v>8</v>
      </c>
      <c r="K4144" s="62" t="s">
        <v>23</v>
      </c>
      <c r="L4144" s="62" t="s">
        <v>3</v>
      </c>
      <c r="M4144" s="62">
        <v>38.319</v>
      </c>
      <c r="N4144" s="62">
        <v>0</v>
      </c>
    </row>
    <row r="4145" spans="9:14">
      <c r="I4145" s="62">
        <v>2015</v>
      </c>
      <c r="J4145" s="62">
        <v>9</v>
      </c>
      <c r="K4145" s="62" t="s">
        <v>23</v>
      </c>
      <c r="L4145" s="62" t="s">
        <v>3</v>
      </c>
      <c r="M4145" s="62">
        <v>45.41</v>
      </c>
      <c r="N4145" s="62">
        <v>0</v>
      </c>
    </row>
    <row r="4146" spans="9:14">
      <c r="I4146" s="62">
        <v>2015</v>
      </c>
      <c r="J4146" s="62">
        <v>10</v>
      </c>
      <c r="K4146" s="62" t="s">
        <v>23</v>
      </c>
      <c r="L4146" s="62" t="s">
        <v>3</v>
      </c>
      <c r="M4146" s="62">
        <v>38.18</v>
      </c>
      <c r="N4146" s="62">
        <v>0</v>
      </c>
    </row>
    <row r="4147" spans="9:14">
      <c r="I4147" s="62">
        <v>2015</v>
      </c>
      <c r="J4147" s="62">
        <v>11</v>
      </c>
      <c r="K4147" s="62" t="s">
        <v>23</v>
      </c>
      <c r="L4147" s="62" t="s">
        <v>3</v>
      </c>
      <c r="M4147" s="62">
        <v>33.151</v>
      </c>
      <c r="N4147" s="62">
        <v>0</v>
      </c>
    </row>
    <row r="4148" spans="9:14">
      <c r="I4148" s="62">
        <v>2015</v>
      </c>
      <c r="J4148" s="62">
        <v>12</v>
      </c>
      <c r="K4148" s="62" t="s">
        <v>23</v>
      </c>
      <c r="L4148" s="62" t="s">
        <v>3</v>
      </c>
      <c r="M4148" s="62">
        <v>33.88</v>
      </c>
      <c r="N4148" s="62">
        <v>0</v>
      </c>
    </row>
    <row r="4149" spans="9:14">
      <c r="I4149" s="62">
        <v>2016</v>
      </c>
      <c r="J4149" s="62">
        <v>1</v>
      </c>
      <c r="K4149" s="62" t="s">
        <v>23</v>
      </c>
      <c r="L4149" s="62" t="s">
        <v>3</v>
      </c>
      <c r="M4149" s="62">
        <v>39.885</v>
      </c>
      <c r="N4149" s="62">
        <v>0</v>
      </c>
    </row>
    <row r="4150" spans="9:14">
      <c r="I4150" s="62">
        <v>2016</v>
      </c>
      <c r="J4150" s="62">
        <v>2</v>
      </c>
      <c r="K4150" s="62" t="s">
        <v>23</v>
      </c>
      <c r="L4150" s="62" t="s">
        <v>3</v>
      </c>
      <c r="M4150" s="62">
        <v>43.27</v>
      </c>
      <c r="N4150" s="62">
        <v>0</v>
      </c>
    </row>
    <row r="4151" spans="9:14">
      <c r="I4151" s="62">
        <v>2016</v>
      </c>
      <c r="J4151" s="62">
        <v>3</v>
      </c>
      <c r="K4151" s="62" t="s">
        <v>23</v>
      </c>
      <c r="L4151" s="62" t="s">
        <v>3</v>
      </c>
      <c r="M4151" s="62">
        <v>35.498</v>
      </c>
      <c r="N4151" s="62">
        <v>0</v>
      </c>
    </row>
    <row r="4152" spans="9:14">
      <c r="I4152" s="62">
        <v>2016</v>
      </c>
      <c r="J4152" s="62">
        <v>4</v>
      </c>
      <c r="K4152" s="62" t="s">
        <v>23</v>
      </c>
      <c r="L4152" s="62" t="s">
        <v>3</v>
      </c>
      <c r="M4152" s="62">
        <v>60.05</v>
      </c>
      <c r="N4152" s="62">
        <v>0</v>
      </c>
    </row>
    <row r="4153" spans="9:14">
      <c r="I4153" s="62">
        <v>2016</v>
      </c>
      <c r="J4153" s="62">
        <v>5</v>
      </c>
      <c r="K4153" s="62" t="s">
        <v>23</v>
      </c>
      <c r="L4153" s="62" t="s">
        <v>3</v>
      </c>
      <c r="M4153" s="62">
        <v>24.37</v>
      </c>
      <c r="N4153" s="62">
        <v>0</v>
      </c>
    </row>
    <row r="4154" spans="9:14">
      <c r="I4154" s="62">
        <v>2016</v>
      </c>
      <c r="J4154" s="62">
        <v>6</v>
      </c>
      <c r="K4154" s="62" t="s">
        <v>23</v>
      </c>
      <c r="L4154" s="62" t="s">
        <v>3</v>
      </c>
      <c r="M4154" s="62">
        <v>5.704000000000001</v>
      </c>
      <c r="N4154" s="62">
        <v>0</v>
      </c>
    </row>
    <row r="4155" spans="9:14">
      <c r="I4155" s="62">
        <v>2016</v>
      </c>
      <c r="J4155" s="62">
        <v>7</v>
      </c>
      <c r="K4155" s="62" t="s">
        <v>23</v>
      </c>
      <c r="L4155" s="62" t="s">
        <v>3</v>
      </c>
      <c r="M4155" s="62">
        <v>2.044</v>
      </c>
      <c r="N4155" s="62">
        <v>0</v>
      </c>
    </row>
    <row r="4156" spans="9:14">
      <c r="I4156" s="62">
        <v>2016</v>
      </c>
      <c r="J4156" s="62">
        <v>8</v>
      </c>
      <c r="K4156" s="62" t="s">
        <v>23</v>
      </c>
      <c r="L4156" s="62" t="s">
        <v>3</v>
      </c>
      <c r="M4156" s="62">
        <v>4.3075</v>
      </c>
      <c r="N4156" s="62">
        <v>0</v>
      </c>
    </row>
    <row r="4157" spans="9:14">
      <c r="I4157" s="62">
        <v>2016</v>
      </c>
      <c r="J4157" s="62">
        <v>9</v>
      </c>
      <c r="K4157" s="62" t="s">
        <v>23</v>
      </c>
      <c r="L4157" s="62" t="s">
        <v>3</v>
      </c>
      <c r="M4157" s="62">
        <v>13.2875</v>
      </c>
      <c r="N4157" s="62">
        <v>0</v>
      </c>
    </row>
    <row r="4158" spans="9:14">
      <c r="I4158" s="62">
        <v>2016</v>
      </c>
      <c r="J4158" s="62">
        <v>10</v>
      </c>
      <c r="K4158" s="62" t="s">
        <v>23</v>
      </c>
      <c r="L4158" s="62" t="s">
        <v>3</v>
      </c>
      <c r="M4158" s="62">
        <v>36.892</v>
      </c>
      <c r="N4158" s="62">
        <v>0</v>
      </c>
    </row>
    <row r="4159" spans="9:14">
      <c r="I4159" s="62">
        <v>2016</v>
      </c>
      <c r="J4159" s="62">
        <v>11</v>
      </c>
      <c r="K4159" s="62" t="s">
        <v>23</v>
      </c>
      <c r="L4159" s="62" t="s">
        <v>3</v>
      </c>
      <c r="M4159" s="62">
        <v>30.052</v>
      </c>
      <c r="N4159" s="62">
        <v>0</v>
      </c>
    </row>
    <row r="4160" spans="9:14">
      <c r="I4160" s="62">
        <v>2016</v>
      </c>
      <c r="J4160" s="62">
        <v>12</v>
      </c>
      <c r="K4160" s="62" t="s">
        <v>23</v>
      </c>
      <c r="L4160" s="62" t="s">
        <v>3</v>
      </c>
      <c r="M4160" s="62">
        <v>1.71</v>
      </c>
      <c r="N4160" s="62">
        <v>0</v>
      </c>
    </row>
    <row r="4161" spans="9:14">
      <c r="I4161" s="62">
        <v>2017</v>
      </c>
      <c r="J4161" s="62">
        <v>1</v>
      </c>
      <c r="K4161" s="62" t="s">
        <v>23</v>
      </c>
      <c r="L4161" s="62" t="s">
        <v>3</v>
      </c>
      <c r="M4161" s="62">
        <v>13.62</v>
      </c>
      <c r="N4161" s="62">
        <v>0</v>
      </c>
    </row>
    <row r="4162" spans="9:14">
      <c r="I4162" s="62">
        <v>2017</v>
      </c>
      <c r="J4162" s="62">
        <v>2</v>
      </c>
      <c r="K4162" s="62" t="s">
        <v>23</v>
      </c>
      <c r="L4162" s="62" t="s">
        <v>3</v>
      </c>
      <c r="M4162" s="62">
        <v>22.7415</v>
      </c>
      <c r="N4162" s="62">
        <v>0</v>
      </c>
    </row>
    <row r="4163" spans="9:14">
      <c r="I4163" s="62">
        <v>2017</v>
      </c>
      <c r="J4163" s="62">
        <v>3</v>
      </c>
      <c r="K4163" s="62" t="s">
        <v>23</v>
      </c>
      <c r="L4163" s="62" t="s">
        <v>3</v>
      </c>
      <c r="M4163" s="62">
        <v>29.1425</v>
      </c>
      <c r="N4163" s="62">
        <v>0</v>
      </c>
    </row>
    <row r="4164" spans="9:14">
      <c r="I4164" s="62">
        <v>2017</v>
      </c>
      <c r="J4164" s="62">
        <v>4</v>
      </c>
      <c r="K4164" s="62" t="s">
        <v>23</v>
      </c>
      <c r="L4164" s="62" t="s">
        <v>3</v>
      </c>
      <c r="M4164" s="62">
        <v>18.172</v>
      </c>
      <c r="N4164" s="62">
        <v>0</v>
      </c>
    </row>
    <row r="4165" spans="9:14">
      <c r="I4165" s="62">
        <v>2017</v>
      </c>
      <c r="J4165" s="62">
        <v>5</v>
      </c>
      <c r="K4165" s="62" t="s">
        <v>23</v>
      </c>
      <c r="L4165" s="62" t="s">
        <v>3</v>
      </c>
      <c r="M4165" s="62">
        <v>4.15</v>
      </c>
      <c r="N4165" s="62">
        <v>0</v>
      </c>
    </row>
    <row r="4166" spans="9:14">
      <c r="I4166" s="62">
        <v>2017</v>
      </c>
      <c r="J4166" s="62">
        <v>7</v>
      </c>
      <c r="K4166" s="62" t="s">
        <v>23</v>
      </c>
      <c r="L4166" s="62" t="s">
        <v>3</v>
      </c>
      <c r="M4166" s="62">
        <v>9.525</v>
      </c>
      <c r="N4166" s="62">
        <v>0</v>
      </c>
    </row>
    <row r="4167" spans="9:14">
      <c r="I4167" s="62">
        <v>2017</v>
      </c>
      <c r="J4167" s="62">
        <v>8</v>
      </c>
      <c r="K4167" s="62" t="s">
        <v>23</v>
      </c>
      <c r="L4167" s="62" t="s">
        <v>3</v>
      </c>
      <c r="M4167" s="62">
        <v>51.5689</v>
      </c>
      <c r="N4167" s="62">
        <v>0</v>
      </c>
    </row>
    <row r="4168" spans="9:14">
      <c r="I4168" s="62">
        <v>2017</v>
      </c>
      <c r="J4168" s="62">
        <v>9</v>
      </c>
      <c r="K4168" s="62" t="s">
        <v>23</v>
      </c>
      <c r="L4168" s="62" t="s">
        <v>3</v>
      </c>
      <c r="M4168" s="62">
        <v>126.85</v>
      </c>
      <c r="N4168" s="62">
        <v>0</v>
      </c>
    </row>
    <row r="4169" spans="9:14">
      <c r="I4169" s="62">
        <v>2017</v>
      </c>
      <c r="J4169" s="62">
        <v>10</v>
      </c>
      <c r="K4169" s="62" t="s">
        <v>23</v>
      </c>
      <c r="L4169" s="62" t="s">
        <v>3</v>
      </c>
      <c r="M4169" s="62">
        <v>25.319</v>
      </c>
      <c r="N4169" s="62">
        <v>0</v>
      </c>
    </row>
    <row r="4170" spans="9:14">
      <c r="I4170" s="62">
        <v>2017</v>
      </c>
      <c r="J4170" s="62">
        <v>11</v>
      </c>
      <c r="K4170" s="62" t="s">
        <v>23</v>
      </c>
      <c r="L4170" s="62" t="s">
        <v>3</v>
      </c>
      <c r="M4170" s="62">
        <v>11.754</v>
      </c>
      <c r="N4170" s="62">
        <v>0</v>
      </c>
    </row>
    <row r="4171" spans="9:14">
      <c r="I4171" s="62">
        <v>2018</v>
      </c>
      <c r="J4171" s="62">
        <v>1</v>
      </c>
      <c r="K4171" s="62" t="s">
        <v>23</v>
      </c>
      <c r="L4171" s="62" t="s">
        <v>3</v>
      </c>
      <c r="M4171" s="62">
        <v>41.232</v>
      </c>
      <c r="N4171" s="62">
        <v>0</v>
      </c>
    </row>
    <row r="4172" spans="9:14">
      <c r="I4172" s="62">
        <v>2018</v>
      </c>
      <c r="J4172" s="62">
        <v>2</v>
      </c>
      <c r="K4172" s="62" t="s">
        <v>23</v>
      </c>
      <c r="L4172" s="62" t="s">
        <v>3</v>
      </c>
      <c r="M4172" s="62">
        <v>42.17</v>
      </c>
      <c r="N4172" s="62">
        <v>0</v>
      </c>
    </row>
    <row r="4173" spans="9:14">
      <c r="I4173" s="62">
        <v>2018</v>
      </c>
      <c r="J4173" s="62">
        <v>3</v>
      </c>
      <c r="K4173" s="62" t="s">
        <v>23</v>
      </c>
      <c r="L4173" s="62" t="s">
        <v>3</v>
      </c>
      <c r="M4173" s="62">
        <v>15.965</v>
      </c>
      <c r="N4173" s="62">
        <v>0</v>
      </c>
    </row>
    <row r="4174" spans="9:14">
      <c r="I4174" s="62">
        <v>2018</v>
      </c>
      <c r="J4174" s="62">
        <v>4</v>
      </c>
      <c r="K4174" s="62" t="s">
        <v>23</v>
      </c>
      <c r="L4174" s="62" t="s">
        <v>3</v>
      </c>
      <c r="M4174" s="62">
        <v>16.977</v>
      </c>
      <c r="N4174" s="62">
        <v>0</v>
      </c>
    </row>
    <row r="4175" spans="9:14">
      <c r="I4175" s="62">
        <v>2018</v>
      </c>
      <c r="J4175" s="62">
        <v>5</v>
      </c>
      <c r="K4175" s="62" t="s">
        <v>23</v>
      </c>
      <c r="L4175" s="62" t="s">
        <v>3</v>
      </c>
      <c r="M4175" s="62">
        <v>24.6233</v>
      </c>
      <c r="N4175" s="62">
        <v>0</v>
      </c>
    </row>
    <row r="4176" spans="9:14">
      <c r="I4176" s="62">
        <v>2018</v>
      </c>
      <c r="J4176" s="62">
        <v>6</v>
      </c>
      <c r="K4176" s="62" t="s">
        <v>23</v>
      </c>
      <c r="L4176" s="62" t="s">
        <v>3</v>
      </c>
      <c r="M4176" s="62">
        <v>14.81</v>
      </c>
      <c r="N4176" s="62">
        <v>0</v>
      </c>
    </row>
    <row r="4177" spans="9:14">
      <c r="I4177" s="62">
        <v>2018</v>
      </c>
      <c r="J4177" s="62">
        <v>7</v>
      </c>
      <c r="K4177" s="62" t="s">
        <v>23</v>
      </c>
      <c r="L4177" s="62" t="s">
        <v>3</v>
      </c>
      <c r="M4177" s="62">
        <v>43.0146</v>
      </c>
      <c r="N4177" s="62">
        <v>0</v>
      </c>
    </row>
    <row r="4178" spans="9:14">
      <c r="I4178" s="62">
        <v>2018</v>
      </c>
      <c r="J4178" s="62">
        <v>8</v>
      </c>
      <c r="K4178" s="62" t="s">
        <v>23</v>
      </c>
      <c r="L4178" s="62" t="s">
        <v>3</v>
      </c>
      <c r="M4178" s="62">
        <v>23.545</v>
      </c>
      <c r="N4178" s="62">
        <v>0</v>
      </c>
    </row>
    <row r="4179" spans="9:14">
      <c r="I4179" s="62">
        <v>2018</v>
      </c>
      <c r="J4179" s="62">
        <v>9</v>
      </c>
      <c r="K4179" s="62" t="s">
        <v>23</v>
      </c>
      <c r="L4179" s="62" t="s">
        <v>3</v>
      </c>
      <c r="M4179" s="62">
        <v>14.8113</v>
      </c>
      <c r="N4179" s="62">
        <v>0</v>
      </c>
    </row>
    <row r="4180" spans="9:14">
      <c r="I4180" s="62">
        <v>2018</v>
      </c>
      <c r="J4180" s="62">
        <v>10</v>
      </c>
      <c r="K4180" s="62" t="s">
        <v>23</v>
      </c>
      <c r="L4180" s="62" t="s">
        <v>3</v>
      </c>
      <c r="M4180" s="62">
        <v>7.965</v>
      </c>
      <c r="N4180" s="62">
        <v>0</v>
      </c>
    </row>
    <row r="4181" spans="9:14">
      <c r="I4181" s="62">
        <v>2018</v>
      </c>
      <c r="J4181" s="62">
        <v>11</v>
      </c>
      <c r="K4181" s="62" t="s">
        <v>23</v>
      </c>
      <c r="L4181" s="62" t="s">
        <v>3</v>
      </c>
      <c r="M4181" s="62">
        <v>9.59</v>
      </c>
      <c r="N4181" s="62">
        <v>0</v>
      </c>
    </row>
    <row r="4182" spans="9:14">
      <c r="I4182" s="62">
        <v>2018</v>
      </c>
      <c r="J4182" s="62">
        <v>12</v>
      </c>
      <c r="K4182" s="62" t="s">
        <v>23</v>
      </c>
      <c r="L4182" s="62" t="s">
        <v>3</v>
      </c>
      <c r="M4182" s="62">
        <v>2.402</v>
      </c>
      <c r="N4182" s="62">
        <v>0</v>
      </c>
    </row>
    <row r="4183" spans="9:14">
      <c r="I4183" s="62">
        <v>2019</v>
      </c>
      <c r="J4183" s="62">
        <v>1</v>
      </c>
      <c r="K4183" s="62" t="s">
        <v>23</v>
      </c>
      <c r="L4183" s="62" t="s">
        <v>3</v>
      </c>
      <c r="M4183" s="62">
        <v>16.808</v>
      </c>
      <c r="N4183" s="62">
        <v>0</v>
      </c>
    </row>
    <row r="4184" spans="9:14">
      <c r="I4184" s="62">
        <v>2019</v>
      </c>
      <c r="J4184" s="62">
        <v>2</v>
      </c>
      <c r="K4184" s="62" t="s">
        <v>23</v>
      </c>
      <c r="L4184" s="62" t="s">
        <v>3</v>
      </c>
      <c r="M4184" s="62">
        <v>38.907</v>
      </c>
      <c r="N4184" s="62">
        <v>0</v>
      </c>
    </row>
    <row r="4185" spans="9:14">
      <c r="I4185" s="62">
        <v>2019</v>
      </c>
      <c r="J4185" s="62">
        <v>3</v>
      </c>
      <c r="K4185" s="62" t="s">
        <v>23</v>
      </c>
      <c r="L4185" s="62" t="s">
        <v>3</v>
      </c>
      <c r="M4185" s="62">
        <v>18.578</v>
      </c>
      <c r="N4185" s="62">
        <v>0</v>
      </c>
    </row>
    <row r="4186" spans="9:14">
      <c r="I4186" s="62">
        <v>2019</v>
      </c>
      <c r="J4186" s="62">
        <v>4</v>
      </c>
      <c r="K4186" s="62" t="s">
        <v>23</v>
      </c>
      <c r="L4186" s="62" t="s">
        <v>3</v>
      </c>
      <c r="M4186" s="62">
        <v>19.816</v>
      </c>
      <c r="N4186" s="62">
        <v>0</v>
      </c>
    </row>
    <row r="4187" spans="9:14">
      <c r="I4187" s="62">
        <v>2019</v>
      </c>
      <c r="J4187" s="62">
        <v>5</v>
      </c>
      <c r="K4187" s="62" t="s">
        <v>23</v>
      </c>
      <c r="L4187" s="62" t="s">
        <v>3</v>
      </c>
      <c r="M4187" s="62">
        <v>20.66</v>
      </c>
      <c r="N4187" s="62">
        <v>0</v>
      </c>
    </row>
    <row r="4188" spans="9:14">
      <c r="I4188" s="62">
        <v>2019</v>
      </c>
      <c r="J4188" s="62">
        <v>6</v>
      </c>
      <c r="K4188" s="62" t="s">
        <v>23</v>
      </c>
      <c r="L4188" s="62" t="s">
        <v>3</v>
      </c>
      <c r="M4188" s="62">
        <v>24.59</v>
      </c>
      <c r="N4188" s="62">
        <v>0</v>
      </c>
    </row>
    <row r="4189" spans="9:14">
      <c r="I4189" s="62">
        <v>2019</v>
      </c>
      <c r="J4189" s="62">
        <v>7</v>
      </c>
      <c r="K4189" s="62" t="s">
        <v>23</v>
      </c>
      <c r="L4189" s="62" t="s">
        <v>3</v>
      </c>
      <c r="M4189" s="62">
        <v>27.7346</v>
      </c>
      <c r="N4189" s="62">
        <v>0</v>
      </c>
    </row>
    <row r="4190" spans="9:14">
      <c r="I4190" s="62">
        <v>2019</v>
      </c>
      <c r="J4190" s="62">
        <v>8</v>
      </c>
      <c r="K4190" s="62" t="s">
        <v>23</v>
      </c>
      <c r="L4190" s="62" t="s">
        <v>3</v>
      </c>
      <c r="M4190" s="62">
        <v>1.76</v>
      </c>
      <c r="N4190" s="62">
        <v>0</v>
      </c>
    </row>
    <row r="4191" spans="9:14">
      <c r="I4191" s="62">
        <v>2019</v>
      </c>
      <c r="J4191" s="62">
        <v>9</v>
      </c>
      <c r="K4191" s="62" t="s">
        <v>23</v>
      </c>
      <c r="L4191" s="62" t="s">
        <v>3</v>
      </c>
      <c r="M4191" s="62">
        <v>35.32</v>
      </c>
      <c r="N4191" s="62">
        <v>0</v>
      </c>
    </row>
    <row r="4192" spans="9:14">
      <c r="I4192" s="62">
        <v>2019</v>
      </c>
      <c r="J4192" s="62">
        <v>10</v>
      </c>
      <c r="K4192" s="62" t="s">
        <v>23</v>
      </c>
      <c r="L4192" s="62" t="s">
        <v>3</v>
      </c>
      <c r="M4192" s="62">
        <v>60.069</v>
      </c>
      <c r="N4192" s="62">
        <v>0</v>
      </c>
    </row>
    <row r="4193" spans="9:14">
      <c r="I4193" s="62">
        <v>2019</v>
      </c>
      <c r="J4193" s="62">
        <v>11</v>
      </c>
      <c r="K4193" s="62" t="s">
        <v>23</v>
      </c>
      <c r="L4193" s="62" t="s">
        <v>3</v>
      </c>
      <c r="M4193" s="62">
        <v>47.75</v>
      </c>
      <c r="N4193" s="62">
        <v>0</v>
      </c>
    </row>
    <row r="4194" spans="9:14">
      <c r="I4194" s="62">
        <v>2019</v>
      </c>
      <c r="J4194" s="62">
        <v>12</v>
      </c>
      <c r="K4194" s="62" t="s">
        <v>23</v>
      </c>
      <c r="L4194" s="62" t="s">
        <v>3</v>
      </c>
      <c r="M4194" s="62">
        <v>27.846</v>
      </c>
      <c r="N4194" s="62">
        <v>0</v>
      </c>
    </row>
    <row r="4195" spans="9:14">
      <c r="I4195" s="62">
        <v>2020</v>
      </c>
      <c r="J4195" s="62">
        <v>1</v>
      </c>
      <c r="K4195" s="62" t="s">
        <v>23</v>
      </c>
      <c r="L4195" s="62" t="s">
        <v>3</v>
      </c>
      <c r="M4195" s="62">
        <v>34.497</v>
      </c>
      <c r="N4195" s="62">
        <v>0</v>
      </c>
    </row>
    <row r="4196" spans="9:14">
      <c r="I4196" s="62">
        <v>2020</v>
      </c>
      <c r="J4196" s="62">
        <v>2</v>
      </c>
      <c r="K4196" s="62" t="s">
        <v>23</v>
      </c>
      <c r="L4196" s="62" t="s">
        <v>3</v>
      </c>
      <c r="M4196" s="62">
        <v>56.192</v>
      </c>
      <c r="N4196" s="62">
        <v>0</v>
      </c>
    </row>
    <row r="4197" spans="9:14">
      <c r="I4197" s="62">
        <v>2020</v>
      </c>
      <c r="J4197" s="62">
        <v>3</v>
      </c>
      <c r="K4197" s="62" t="s">
        <v>23</v>
      </c>
      <c r="L4197" s="62" t="s">
        <v>3</v>
      </c>
      <c r="M4197" s="62">
        <v>72.378</v>
      </c>
      <c r="N4197" s="62">
        <v>0</v>
      </c>
    </row>
    <row r="4198" spans="9:14">
      <c r="I4198" s="62">
        <v>2020</v>
      </c>
      <c r="J4198" s="62">
        <v>4</v>
      </c>
      <c r="K4198" s="62" t="s">
        <v>23</v>
      </c>
      <c r="L4198" s="62" t="s">
        <v>3</v>
      </c>
      <c r="M4198" s="62">
        <v>289.5008</v>
      </c>
      <c r="N4198" s="62">
        <v>0</v>
      </c>
    </row>
    <row r="4199" spans="9:14">
      <c r="I4199" s="62">
        <v>2020</v>
      </c>
      <c r="J4199" s="62">
        <v>5</v>
      </c>
      <c r="K4199" s="62" t="s">
        <v>23</v>
      </c>
      <c r="L4199" s="62" t="s">
        <v>3</v>
      </c>
      <c r="M4199" s="62">
        <v>297.9876</v>
      </c>
      <c r="N4199" s="62">
        <v>0</v>
      </c>
    </row>
    <row r="4200" spans="9:14">
      <c r="I4200" s="62">
        <v>2020</v>
      </c>
      <c r="J4200" s="62">
        <v>6</v>
      </c>
      <c r="K4200" s="62" t="s">
        <v>23</v>
      </c>
      <c r="L4200" s="62" t="s">
        <v>3</v>
      </c>
      <c r="M4200" s="62">
        <v>283.388</v>
      </c>
      <c r="N4200" s="62">
        <v>0</v>
      </c>
    </row>
    <row r="4201" spans="9:14">
      <c r="I4201" s="62">
        <v>2020</v>
      </c>
      <c r="J4201" s="62">
        <v>7</v>
      </c>
      <c r="K4201" s="62" t="s">
        <v>23</v>
      </c>
      <c r="L4201" s="62" t="s">
        <v>3</v>
      </c>
      <c r="M4201" s="62">
        <v>288.8452</v>
      </c>
      <c r="N4201" s="62">
        <v>0</v>
      </c>
    </row>
    <row r="4202" spans="9:14">
      <c r="I4202" s="62">
        <v>2020</v>
      </c>
      <c r="J4202" s="62">
        <v>8</v>
      </c>
      <c r="K4202" s="62" t="s">
        <v>23</v>
      </c>
      <c r="L4202" s="62" t="s">
        <v>3</v>
      </c>
      <c r="M4202" s="62">
        <v>251.3815</v>
      </c>
      <c r="N4202" s="62">
        <v>0</v>
      </c>
    </row>
    <row r="4203" spans="9:14">
      <c r="I4203" s="62">
        <v>2020</v>
      </c>
      <c r="J4203" s="62">
        <v>9</v>
      </c>
      <c r="K4203" s="62" t="s">
        <v>23</v>
      </c>
      <c r="L4203" s="62" t="s">
        <v>3</v>
      </c>
      <c r="M4203" s="62">
        <v>270.9832</v>
      </c>
      <c r="N4203" s="62">
        <v>0</v>
      </c>
    </row>
    <row r="4204" spans="9:14">
      <c r="I4204" s="62">
        <v>2020</v>
      </c>
      <c r="J4204" s="62">
        <v>10</v>
      </c>
      <c r="K4204" s="62" t="s">
        <v>23</v>
      </c>
      <c r="L4204" s="62" t="s">
        <v>3</v>
      </c>
      <c r="M4204" s="62">
        <v>240.2281</v>
      </c>
      <c r="N4204" s="62">
        <v>0</v>
      </c>
    </row>
    <row r="4205" spans="9:14">
      <c r="I4205" s="62">
        <v>2020</v>
      </c>
      <c r="J4205" s="62">
        <v>11</v>
      </c>
      <c r="K4205" s="62" t="s">
        <v>23</v>
      </c>
      <c r="L4205" s="62" t="s">
        <v>3</v>
      </c>
      <c r="M4205" s="62">
        <v>234.5615</v>
      </c>
      <c r="N4205" s="62">
        <v>0</v>
      </c>
    </row>
    <row r="4206" spans="9:14">
      <c r="I4206" s="62">
        <v>2020</v>
      </c>
      <c r="J4206" s="62">
        <v>12</v>
      </c>
      <c r="K4206" s="62" t="s">
        <v>23</v>
      </c>
      <c r="L4206" s="62" t="s">
        <v>3</v>
      </c>
      <c r="M4206" s="62">
        <v>284.4516</v>
      </c>
      <c r="N4206" s="62">
        <v>0</v>
      </c>
    </row>
    <row r="4207" spans="9:14">
      <c r="I4207" s="62">
        <v>2021</v>
      </c>
      <c r="J4207" s="62">
        <v>1</v>
      </c>
      <c r="K4207" s="62" t="s">
        <v>23</v>
      </c>
      <c r="L4207" s="62" t="s">
        <v>3</v>
      </c>
      <c r="M4207" s="62">
        <v>260.3402</v>
      </c>
      <c r="N4207" s="62">
        <v>0</v>
      </c>
    </row>
    <row r="4208" spans="9:14">
      <c r="I4208" s="62">
        <v>2021</v>
      </c>
      <c r="J4208" s="62">
        <v>2</v>
      </c>
      <c r="K4208" s="62" t="s">
        <v>23</v>
      </c>
      <c r="L4208" s="62" t="s">
        <v>3</v>
      </c>
      <c r="M4208" s="62">
        <v>295.8923</v>
      </c>
      <c r="N4208" s="62">
        <v>0</v>
      </c>
    </row>
    <row r="4209" spans="9:14">
      <c r="I4209" s="62">
        <v>2021</v>
      </c>
      <c r="J4209" s="62">
        <v>3</v>
      </c>
      <c r="K4209" s="62" t="s">
        <v>23</v>
      </c>
      <c r="L4209" s="62" t="s">
        <v>3</v>
      </c>
      <c r="M4209" s="62">
        <v>250.659</v>
      </c>
      <c r="N4209" s="62">
        <v>0</v>
      </c>
    </row>
    <row r="4210" spans="9:14">
      <c r="I4210" s="62">
        <v>2021</v>
      </c>
      <c r="J4210" s="62">
        <v>4</v>
      </c>
      <c r="K4210" s="62" t="s">
        <v>23</v>
      </c>
      <c r="L4210" s="62" t="s">
        <v>3</v>
      </c>
      <c r="M4210" s="62">
        <v>113.4375</v>
      </c>
      <c r="N4210" s="62">
        <v>0</v>
      </c>
    </row>
    <row r="4211" spans="9:14">
      <c r="I4211" s="62">
        <v>2021</v>
      </c>
      <c r="J4211" s="62">
        <v>5</v>
      </c>
      <c r="K4211" s="62" t="s">
        <v>23</v>
      </c>
      <c r="L4211" s="62" t="s">
        <v>3</v>
      </c>
      <c r="M4211" s="62">
        <v>55.0682</v>
      </c>
      <c r="N4211" s="62">
        <v>0</v>
      </c>
    </row>
    <row r="4212" spans="9:14">
      <c r="I4212" s="62">
        <v>2021</v>
      </c>
      <c r="J4212" s="62">
        <v>6</v>
      </c>
      <c r="K4212" s="62" t="s">
        <v>23</v>
      </c>
      <c r="L4212" s="62" t="s">
        <v>3</v>
      </c>
      <c r="M4212" s="62">
        <v>30.1794</v>
      </c>
      <c r="N4212" s="62">
        <v>0</v>
      </c>
    </row>
    <row r="4213" spans="9:14">
      <c r="I4213" s="62">
        <v>2021</v>
      </c>
      <c r="J4213" s="62">
        <v>7</v>
      </c>
      <c r="K4213" s="62" t="s">
        <v>23</v>
      </c>
      <c r="L4213" s="62" t="s">
        <v>3</v>
      </c>
      <c r="M4213" s="62">
        <v>39.435</v>
      </c>
      <c r="N4213" s="62">
        <v>0</v>
      </c>
    </row>
    <row r="4214" spans="9:14">
      <c r="I4214" s="62">
        <v>2021</v>
      </c>
      <c r="J4214" s="62">
        <v>8</v>
      </c>
      <c r="K4214" s="62" t="s">
        <v>23</v>
      </c>
      <c r="L4214" s="62" t="s">
        <v>3</v>
      </c>
      <c r="M4214" s="62">
        <v>69.172</v>
      </c>
      <c r="N4214" s="62">
        <v>0</v>
      </c>
    </row>
    <row r="4215" spans="9:14">
      <c r="I4215" s="62">
        <v>2021</v>
      </c>
      <c r="J4215" s="62">
        <v>9</v>
      </c>
      <c r="K4215" s="62" t="s">
        <v>23</v>
      </c>
      <c r="L4215" s="62" t="s">
        <v>3</v>
      </c>
      <c r="M4215" s="62">
        <v>133.25</v>
      </c>
      <c r="N4215" s="62">
        <v>0</v>
      </c>
    </row>
    <row r="4216" spans="9:14">
      <c r="I4216" s="62">
        <v>2021</v>
      </c>
      <c r="J4216" s="62">
        <v>10</v>
      </c>
      <c r="K4216" s="62" t="s">
        <v>23</v>
      </c>
      <c r="L4216" s="62" t="s">
        <v>3</v>
      </c>
      <c r="M4216" s="62">
        <v>85.393</v>
      </c>
      <c r="N4216" s="62">
        <v>0</v>
      </c>
    </row>
    <row r="4217" spans="9:14">
      <c r="I4217" s="62">
        <v>2021</v>
      </c>
      <c r="J4217" s="62">
        <v>11</v>
      </c>
      <c r="K4217" s="62" t="s">
        <v>23</v>
      </c>
      <c r="L4217" s="62" t="s">
        <v>3</v>
      </c>
      <c r="M4217" s="62">
        <v>49.561</v>
      </c>
      <c r="N4217" s="62">
        <v>0</v>
      </c>
    </row>
    <row r="4218" spans="9:14">
      <c r="I4218" s="62">
        <v>2021</v>
      </c>
      <c r="J4218" s="62">
        <v>12</v>
      </c>
      <c r="K4218" s="62" t="s">
        <v>23</v>
      </c>
      <c r="L4218" s="62" t="s">
        <v>3</v>
      </c>
      <c r="M4218" s="62">
        <v>28.278</v>
      </c>
      <c r="N4218" s="62">
        <v>0</v>
      </c>
    </row>
    <row r="4219" spans="9:14">
      <c r="I4219" s="62">
        <v>2022</v>
      </c>
      <c r="J4219" s="62">
        <v>1</v>
      </c>
      <c r="K4219" s="62" t="s">
        <v>23</v>
      </c>
      <c r="L4219" s="62" t="s">
        <v>3</v>
      </c>
      <c r="M4219" s="62">
        <v>60.84</v>
      </c>
      <c r="N4219" s="62">
        <v>0</v>
      </c>
    </row>
    <row r="4220" spans="9:14">
      <c r="I4220" s="62">
        <v>2022</v>
      </c>
      <c r="J4220" s="62">
        <v>2</v>
      </c>
      <c r="K4220" s="62" t="s">
        <v>23</v>
      </c>
      <c r="L4220" s="62" t="s">
        <v>3</v>
      </c>
      <c r="M4220" s="62">
        <v>107.809</v>
      </c>
      <c r="N4220" s="62">
        <v>0</v>
      </c>
    </row>
    <row r="4221" spans="9:14">
      <c r="I4221" s="62">
        <v>2022</v>
      </c>
      <c r="J4221" s="62">
        <v>3</v>
      </c>
      <c r="K4221" s="62" t="s">
        <v>23</v>
      </c>
      <c r="L4221" s="62" t="s">
        <v>3</v>
      </c>
      <c r="M4221" s="62">
        <v>53.31</v>
      </c>
      <c r="N4221" s="62">
        <v>0</v>
      </c>
    </row>
    <row r="4222" spans="9:14">
      <c r="I4222" s="62">
        <v>2022</v>
      </c>
      <c r="J4222" s="62">
        <v>4</v>
      </c>
      <c r="K4222" s="62" t="s">
        <v>23</v>
      </c>
      <c r="L4222" s="62" t="s">
        <v>3</v>
      </c>
      <c r="M4222" s="62">
        <v>24.0135</v>
      </c>
      <c r="N4222" s="62">
        <v>0</v>
      </c>
    </row>
    <row r="4223" spans="9:14">
      <c r="I4223" s="62">
        <v>2022</v>
      </c>
      <c r="J4223" s="62">
        <v>5</v>
      </c>
      <c r="K4223" s="62" t="s">
        <v>23</v>
      </c>
      <c r="L4223" s="62" t="s">
        <v>3</v>
      </c>
      <c r="M4223" s="62">
        <v>26.92</v>
      </c>
      <c r="N4223" s="62">
        <v>0</v>
      </c>
    </row>
    <row r="4224" spans="9:14">
      <c r="I4224" s="62">
        <v>2022</v>
      </c>
      <c r="J4224" s="62">
        <v>6</v>
      </c>
      <c r="K4224" s="62" t="s">
        <v>23</v>
      </c>
      <c r="L4224" s="62" t="s">
        <v>3</v>
      </c>
      <c r="M4224" s="62">
        <v>9.19</v>
      </c>
      <c r="N4224" s="62">
        <v>0</v>
      </c>
    </row>
    <row r="4225" spans="9:14">
      <c r="I4225" s="62">
        <v>2022</v>
      </c>
      <c r="J4225" s="62">
        <v>7</v>
      </c>
      <c r="K4225" s="62" t="s">
        <v>23</v>
      </c>
      <c r="L4225" s="62" t="s">
        <v>3</v>
      </c>
      <c r="M4225" s="62">
        <v>21.4635</v>
      </c>
      <c r="N4225" s="62">
        <v>0</v>
      </c>
    </row>
    <row r="4226" spans="9:14">
      <c r="I4226" s="62">
        <v>2022</v>
      </c>
      <c r="J4226" s="62">
        <v>8</v>
      </c>
      <c r="K4226" s="62" t="s">
        <v>23</v>
      </c>
      <c r="L4226" s="62" t="s">
        <v>3</v>
      </c>
      <c r="M4226" s="62">
        <v>17.72</v>
      </c>
      <c r="N4226" s="62">
        <v>0</v>
      </c>
    </row>
    <row r="4227" spans="9:14">
      <c r="I4227" s="62">
        <v>2022</v>
      </c>
      <c r="J4227" s="62">
        <v>9</v>
      </c>
      <c r="K4227" s="62" t="s">
        <v>23</v>
      </c>
      <c r="L4227" s="62" t="s">
        <v>3</v>
      </c>
      <c r="M4227" s="62">
        <v>21.55</v>
      </c>
      <c r="N4227" s="62">
        <v>0</v>
      </c>
    </row>
    <row r="4228" spans="9:14">
      <c r="I4228" s="62">
        <v>2022</v>
      </c>
      <c r="J4228" s="62">
        <v>10</v>
      </c>
      <c r="K4228" s="62" t="s">
        <v>23</v>
      </c>
      <c r="L4228" s="62" t="s">
        <v>3</v>
      </c>
      <c r="M4228" s="62">
        <v>59.08</v>
      </c>
      <c r="N4228" s="62">
        <v>0</v>
      </c>
    </row>
    <row r="4229" spans="9:14">
      <c r="I4229" s="62">
        <v>2022</v>
      </c>
      <c r="J4229" s="62">
        <v>11</v>
      </c>
      <c r="K4229" s="62" t="s">
        <v>23</v>
      </c>
      <c r="L4229" s="62" t="s">
        <v>3</v>
      </c>
      <c r="M4229" s="62">
        <v>61.95</v>
      </c>
      <c r="N4229" s="62">
        <v>0</v>
      </c>
    </row>
    <row r="4230" spans="9:14">
      <c r="I4230" s="62">
        <v>2022</v>
      </c>
      <c r="J4230" s="62">
        <v>12</v>
      </c>
      <c r="K4230" s="62" t="s">
        <v>23</v>
      </c>
      <c r="L4230" s="62" t="s">
        <v>3</v>
      </c>
      <c r="M4230" s="62">
        <v>98.26900000000001</v>
      </c>
      <c r="N4230" s="62">
        <v>0</v>
      </c>
    </row>
    <row r="4231" spans="9:14">
      <c r="I4231" s="62">
        <v>2023</v>
      </c>
      <c r="J4231" s="62">
        <v>1</v>
      </c>
      <c r="K4231" s="62" t="s">
        <v>23</v>
      </c>
      <c r="L4231" s="62" t="s">
        <v>3</v>
      </c>
      <c r="M4231" s="62">
        <v>77.26000000000001</v>
      </c>
      <c r="N4231" s="62">
        <v>0</v>
      </c>
    </row>
    <row r="4232" spans="9:14">
      <c r="I4232" s="62">
        <v>2023</v>
      </c>
      <c r="J4232" s="62">
        <v>2</v>
      </c>
      <c r="K4232" s="62" t="s">
        <v>23</v>
      </c>
      <c r="L4232" s="62" t="s">
        <v>3</v>
      </c>
      <c r="M4232" s="62">
        <v>69.29650000000001</v>
      </c>
      <c r="N4232" s="62">
        <v>0</v>
      </c>
    </row>
    <row r="4233" spans="9:14">
      <c r="I4233" s="62">
        <v>2023</v>
      </c>
      <c r="J4233" s="62">
        <v>3</v>
      </c>
      <c r="K4233" s="62" t="s">
        <v>23</v>
      </c>
      <c r="L4233" s="62" t="s">
        <v>3</v>
      </c>
      <c r="M4233" s="62">
        <v>76.185</v>
      </c>
      <c r="N4233" s="62">
        <v>0</v>
      </c>
    </row>
    <row r="4234" spans="9:14">
      <c r="I4234" s="62">
        <v>2023</v>
      </c>
      <c r="J4234" s="62">
        <v>4</v>
      </c>
      <c r="K4234" s="62" t="s">
        <v>23</v>
      </c>
      <c r="L4234" s="62" t="s">
        <v>3</v>
      </c>
      <c r="M4234" s="62">
        <v>36.306</v>
      </c>
      <c r="N4234" s="62">
        <v>0</v>
      </c>
    </row>
    <row r="4235" spans="9:14">
      <c r="I4235" s="62">
        <v>2023</v>
      </c>
      <c r="J4235" s="62">
        <v>5</v>
      </c>
      <c r="K4235" s="62" t="s">
        <v>23</v>
      </c>
      <c r="L4235" s="62" t="s">
        <v>3</v>
      </c>
      <c r="M4235" s="62">
        <v>40.095</v>
      </c>
      <c r="N4235" s="62">
        <v>0</v>
      </c>
    </row>
    <row r="4236" spans="9:14">
      <c r="I4236" s="62">
        <v>2023</v>
      </c>
      <c r="J4236" s="62">
        <v>6</v>
      </c>
      <c r="K4236" s="62" t="s">
        <v>23</v>
      </c>
      <c r="L4236" s="62" t="s">
        <v>3</v>
      </c>
      <c r="M4236" s="62">
        <v>39.572</v>
      </c>
      <c r="N4236" s="62">
        <v>0</v>
      </c>
    </row>
    <row r="4237" spans="9:14">
      <c r="I4237" s="62">
        <v>2023</v>
      </c>
      <c r="J4237" s="62">
        <v>7</v>
      </c>
      <c r="K4237" s="62" t="s">
        <v>23</v>
      </c>
      <c r="L4237" s="62" t="s">
        <v>3</v>
      </c>
      <c r="M4237" s="62">
        <v>19.7</v>
      </c>
      <c r="N4237" s="62">
        <v>0</v>
      </c>
    </row>
    <row r="4238" spans="9:14">
      <c r="I4238" s="62">
        <v>2023</v>
      </c>
      <c r="J4238" s="62">
        <v>8</v>
      </c>
      <c r="K4238" s="62" t="s">
        <v>23</v>
      </c>
      <c r="L4238" s="62" t="s">
        <v>3</v>
      </c>
      <c r="M4238" s="62">
        <v>18.77</v>
      </c>
      <c r="N4238" s="62">
        <v>0</v>
      </c>
    </row>
    <row r="4239" spans="9:14">
      <c r="I4239" s="62">
        <v>2023</v>
      </c>
      <c r="J4239" s="62">
        <v>9</v>
      </c>
      <c r="K4239" s="62" t="s">
        <v>23</v>
      </c>
      <c r="L4239" s="62" t="s">
        <v>3</v>
      </c>
      <c r="M4239" s="62">
        <v>35.734</v>
      </c>
      <c r="N4239" s="62">
        <v>0</v>
      </c>
    </row>
    <row r="4240" spans="9:14">
      <c r="I4240" s="62">
        <v>2023</v>
      </c>
      <c r="J4240" s="62">
        <v>10</v>
      </c>
      <c r="K4240" s="62" t="s">
        <v>23</v>
      </c>
      <c r="L4240" s="62" t="s">
        <v>3</v>
      </c>
      <c r="M4240" s="62">
        <v>49.36799999999999</v>
      </c>
      <c r="N4240" s="62">
        <v>0</v>
      </c>
    </row>
    <row r="4241" spans="9:14">
      <c r="I4241" s="62">
        <v>2023</v>
      </c>
      <c r="J4241" s="62">
        <v>11</v>
      </c>
      <c r="K4241" s="62" t="s">
        <v>23</v>
      </c>
      <c r="L4241" s="62" t="s">
        <v>3</v>
      </c>
      <c r="M4241" s="62">
        <v>33.507</v>
      </c>
      <c r="N4241" s="62">
        <v>0</v>
      </c>
    </row>
    <row r="4242" spans="9:14">
      <c r="I4242" s="62">
        <v>2023</v>
      </c>
      <c r="J4242" s="62">
        <v>12</v>
      </c>
      <c r="K4242" s="62" t="s">
        <v>23</v>
      </c>
      <c r="L4242" s="62" t="s">
        <v>3</v>
      </c>
      <c r="M4242" s="62">
        <v>38.54</v>
      </c>
      <c r="N4242" s="62">
        <v>0</v>
      </c>
    </row>
    <row r="4243" spans="9:14">
      <c r="I4243" s="62">
        <v>2024</v>
      </c>
      <c r="J4243" s="62">
        <v>1</v>
      </c>
      <c r="K4243" s="62" t="s">
        <v>23</v>
      </c>
      <c r="L4243" s="62" t="s">
        <v>3</v>
      </c>
      <c r="M4243" s="62">
        <v>28.0654</v>
      </c>
      <c r="N4243" s="62">
        <v>0</v>
      </c>
    </row>
    <row r="4244" spans="9:14">
      <c r="I4244" s="62">
        <v>2024</v>
      </c>
      <c r="J4244" s="62">
        <v>2</v>
      </c>
      <c r="K4244" s="62" t="s">
        <v>23</v>
      </c>
      <c r="L4244" s="62" t="s">
        <v>3</v>
      </c>
      <c r="M4244" s="62">
        <v>74.0645</v>
      </c>
      <c r="N4244" s="62">
        <v>0</v>
      </c>
    </row>
    <row r="4245" spans="9:14">
      <c r="I4245" s="62">
        <v>2024</v>
      </c>
      <c r="J4245" s="62">
        <v>3</v>
      </c>
      <c r="K4245" s="62" t="s">
        <v>23</v>
      </c>
      <c r="L4245" s="62" t="s">
        <v>3</v>
      </c>
      <c r="M4245" s="62">
        <v>54.252</v>
      </c>
      <c r="N4245" s="62">
        <v>0</v>
      </c>
    </row>
    <row r="4246" spans="9:14">
      <c r="I4246" s="62">
        <v>2024</v>
      </c>
      <c r="J4246" s="62">
        <v>4</v>
      </c>
      <c r="K4246" s="62" t="s">
        <v>23</v>
      </c>
      <c r="L4246" s="62" t="s">
        <v>3</v>
      </c>
      <c r="M4246" s="62">
        <v>36.9955</v>
      </c>
      <c r="N4246" s="62">
        <v>0</v>
      </c>
    </row>
    <row r="4247" spans="9:14">
      <c r="I4247" s="62">
        <v>2024</v>
      </c>
      <c r="J4247" s="62">
        <v>5</v>
      </c>
      <c r="K4247" s="62" t="s">
        <v>23</v>
      </c>
      <c r="L4247" s="62" t="s">
        <v>3</v>
      </c>
      <c r="M4247" s="62">
        <v>20.562</v>
      </c>
      <c r="N4247" s="62">
        <v>0</v>
      </c>
    </row>
    <row r="4248" spans="9:14">
      <c r="I4248" s="62">
        <v>2024</v>
      </c>
      <c r="J4248" s="62">
        <v>6</v>
      </c>
      <c r="K4248" s="62" t="s">
        <v>23</v>
      </c>
      <c r="L4248" s="62" t="s">
        <v>3</v>
      </c>
      <c r="M4248" s="62">
        <v>10.448</v>
      </c>
      <c r="N4248" s="62">
        <v>0</v>
      </c>
    </row>
    <row r="4249" spans="9:14">
      <c r="I4249" s="62">
        <v>2024</v>
      </c>
      <c r="J4249" s="62">
        <v>7</v>
      </c>
      <c r="K4249" s="62" t="s">
        <v>23</v>
      </c>
      <c r="L4249" s="62" t="s">
        <v>3</v>
      </c>
      <c r="M4249" s="62">
        <v>22.812</v>
      </c>
      <c r="N4249" s="62">
        <v>0</v>
      </c>
    </row>
    <row r="4250" spans="9:14">
      <c r="I4250" s="62">
        <v>2024</v>
      </c>
      <c r="J4250" s="62">
        <v>8</v>
      </c>
      <c r="K4250" s="62" t="s">
        <v>23</v>
      </c>
      <c r="L4250" s="62" t="s">
        <v>3</v>
      </c>
      <c r="M4250" s="62">
        <v>17.666</v>
      </c>
      <c r="N4250" s="62">
        <v>0</v>
      </c>
    </row>
    <row r="4251" spans="9:14">
      <c r="I4251" s="62">
        <v>2024</v>
      </c>
      <c r="J4251" s="62">
        <v>9</v>
      </c>
      <c r="K4251" s="62" t="s">
        <v>23</v>
      </c>
      <c r="L4251" s="62" t="s">
        <v>3</v>
      </c>
      <c r="M4251" s="62">
        <v>21.115</v>
      </c>
      <c r="N4251" s="62">
        <v>0</v>
      </c>
    </row>
    <row r="4252" spans="9:14">
      <c r="I4252" s="62">
        <v>2024</v>
      </c>
      <c r="J4252" s="62">
        <v>10</v>
      </c>
      <c r="K4252" s="62" t="s">
        <v>23</v>
      </c>
      <c r="L4252" s="62" t="s">
        <v>3</v>
      </c>
      <c r="M4252" s="62">
        <v>51.745</v>
      </c>
      <c r="N4252" s="62">
        <v>0</v>
      </c>
    </row>
    <row r="4253" spans="9:14">
      <c r="I4253" s="62">
        <v>2024</v>
      </c>
      <c r="J4253" s="62">
        <v>11</v>
      </c>
      <c r="K4253" s="62" t="s">
        <v>23</v>
      </c>
      <c r="L4253" s="62" t="s">
        <v>3</v>
      </c>
      <c r="M4253" s="62">
        <v>38.97</v>
      </c>
      <c r="N4253" s="62">
        <v>0</v>
      </c>
    </row>
    <row r="4254" spans="9:14">
      <c r="I4254" s="62">
        <v>2024</v>
      </c>
      <c r="J4254" s="62">
        <v>12</v>
      </c>
      <c r="K4254" s="62" t="s">
        <v>23</v>
      </c>
      <c r="L4254" s="62" t="s">
        <v>3</v>
      </c>
      <c r="M4254" s="62">
        <v>20.658</v>
      </c>
      <c r="N4254" s="62">
        <v>0</v>
      </c>
    </row>
    <row r="4255" spans="9:14">
      <c r="I4255" s="62">
        <v>2025</v>
      </c>
      <c r="J4255" s="62">
        <v>1</v>
      </c>
      <c r="K4255" s="62" t="s">
        <v>23</v>
      </c>
      <c r="L4255" s="62" t="s">
        <v>3</v>
      </c>
      <c r="M4255" s="62">
        <v>39.727</v>
      </c>
      <c r="N4255" s="62">
        <v>0</v>
      </c>
    </row>
    <row r="4256" spans="9:14">
      <c r="I4256" s="62">
        <v>2025</v>
      </c>
      <c r="J4256" s="62">
        <v>2</v>
      </c>
      <c r="K4256" s="62" t="s">
        <v>23</v>
      </c>
      <c r="L4256" s="62" t="s">
        <v>3</v>
      </c>
      <c r="M4256" s="62">
        <v>35.651</v>
      </c>
      <c r="N4256" s="62">
        <v>0</v>
      </c>
    </row>
    <row r="4257" spans="9:14">
      <c r="I4257" s="62">
        <v>2025</v>
      </c>
      <c r="J4257" s="62">
        <v>3</v>
      </c>
      <c r="K4257" s="62" t="s">
        <v>23</v>
      </c>
      <c r="L4257" s="62" t="s">
        <v>3</v>
      </c>
      <c r="M4257" s="62">
        <v>30.9</v>
      </c>
      <c r="N4257" s="62">
        <v>0</v>
      </c>
    </row>
    <row r="4258" spans="9:14">
      <c r="I4258" s="62">
        <v>2025</v>
      </c>
      <c r="J4258" s="62">
        <v>4</v>
      </c>
      <c r="K4258" s="62" t="s">
        <v>23</v>
      </c>
      <c r="L4258" s="62" t="s">
        <v>3</v>
      </c>
      <c r="M4258" s="62">
        <v>33.543</v>
      </c>
      <c r="N4258" s="62">
        <v>0</v>
      </c>
    </row>
    <row r="4259" spans="9:14">
      <c r="I4259" s="62">
        <v>2025</v>
      </c>
      <c r="J4259" s="62">
        <v>5</v>
      </c>
      <c r="K4259" s="62" t="s">
        <v>23</v>
      </c>
      <c r="L4259" s="62" t="s">
        <v>3</v>
      </c>
      <c r="M4259" s="62">
        <v>20.07</v>
      </c>
      <c r="N4259" s="62">
        <v>0</v>
      </c>
    </row>
    <row r="4260" spans="9:14">
      <c r="I4260" s="62">
        <v>2025</v>
      </c>
      <c r="J4260" s="62">
        <v>6</v>
      </c>
      <c r="K4260" s="62" t="s">
        <v>23</v>
      </c>
      <c r="L4260" s="62" t="s">
        <v>3</v>
      </c>
      <c r="M4260" s="62">
        <v>9.808</v>
      </c>
      <c r="N4260" s="62">
        <v>0</v>
      </c>
    </row>
    <row r="4261" spans="9:14">
      <c r="I4261" s="62">
        <v>2025</v>
      </c>
      <c r="J4261" s="62">
        <v>7</v>
      </c>
      <c r="K4261" s="62" t="s">
        <v>23</v>
      </c>
      <c r="L4261" s="62" t="s">
        <v>3</v>
      </c>
      <c r="M4261" s="62">
        <v>10.395</v>
      </c>
      <c r="N4261" s="62">
        <v>0</v>
      </c>
    </row>
    <row r="4262" spans="9:14">
      <c r="I4262" s="62">
        <v>2025</v>
      </c>
      <c r="J4262" s="62">
        <v>8</v>
      </c>
      <c r="K4262" s="62" t="s">
        <v>23</v>
      </c>
      <c r="L4262" s="62" t="s">
        <v>3</v>
      </c>
      <c r="M4262" s="62">
        <v>7.416</v>
      </c>
      <c r="N4262" s="62">
        <v>0</v>
      </c>
    </row>
    <row r="4263" spans="9:14">
      <c r="I4263" s="62">
        <v>2025</v>
      </c>
      <c r="J4263" s="62">
        <v>9</v>
      </c>
      <c r="K4263" s="62" t="s">
        <v>23</v>
      </c>
      <c r="L4263" s="62" t="s">
        <v>3</v>
      </c>
      <c r="M4263" s="62">
        <v>6.506</v>
      </c>
      <c r="N4263" s="62">
        <v>0</v>
      </c>
    </row>
    <row r="4264" spans="9:14">
      <c r="I4264" s="62">
        <v>2025</v>
      </c>
      <c r="J4264" s="62">
        <v>10</v>
      </c>
      <c r="K4264" s="62" t="s">
        <v>23</v>
      </c>
      <c r="L4264" s="62" t="s">
        <v>3</v>
      </c>
      <c r="M4264" s="62">
        <v>37.571</v>
      </c>
      <c r="N4264" s="62">
        <v>0</v>
      </c>
    </row>
    <row r="4265" spans="9:14">
      <c r="I4265" s="62">
        <v>2025</v>
      </c>
      <c r="J4265" s="62">
        <v>11</v>
      </c>
      <c r="K4265" s="62" t="s">
        <v>23</v>
      </c>
      <c r="L4265" s="62" t="s">
        <v>3</v>
      </c>
      <c r="M4265" s="62">
        <v>20.2</v>
      </c>
      <c r="N4265" s="62">
        <v>0</v>
      </c>
    </row>
    <row r="4266" spans="9:14">
      <c r="I4266" s="62">
        <v>2025</v>
      </c>
      <c r="J4266" s="62">
        <v>12</v>
      </c>
      <c r="K4266" s="62" t="s">
        <v>23</v>
      </c>
      <c r="L4266" s="62" t="s">
        <v>3</v>
      </c>
      <c r="M4266" s="62">
        <v>5.25</v>
      </c>
      <c r="N4266" s="62">
        <v>0</v>
      </c>
    </row>
    <row r="4267" spans="9:14">
      <c r="I4267" s="62">
        <v>2026</v>
      </c>
      <c r="J4267" s="62">
        <v>1</v>
      </c>
      <c r="K4267" s="62" t="s">
        <v>23</v>
      </c>
      <c r="L4267" s="62" t="s">
        <v>3</v>
      </c>
      <c r="M4267" s="62">
        <v>5.65</v>
      </c>
      <c r="N4267" s="62">
        <v>0</v>
      </c>
    </row>
    <row r="4268" spans="9:14">
      <c r="I4268" s="62">
        <v>2026</v>
      </c>
      <c r="J4268" s="62">
        <v>2</v>
      </c>
      <c r="K4268" s="62" t="s">
        <v>23</v>
      </c>
      <c r="L4268" s="62" t="s">
        <v>3</v>
      </c>
      <c r="M4268" s="62">
        <v>22.194</v>
      </c>
      <c r="N4268" s="62">
        <v>0</v>
      </c>
    </row>
    <row r="4269" spans="9:14">
      <c r="I4269" s="62">
        <v>2026</v>
      </c>
      <c r="J4269" s="62">
        <v>3</v>
      </c>
      <c r="K4269" s="62" t="s">
        <v>23</v>
      </c>
      <c r="L4269" s="62" t="s">
        <v>3</v>
      </c>
      <c r="M4269" s="62">
        <v>6.049</v>
      </c>
      <c r="N4269" s="62">
        <v>0</v>
      </c>
    </row>
    <row r="4270" spans="9:14">
      <c r="I4270" s="62">
        <v>2026</v>
      </c>
      <c r="J4270" s="62">
        <v>4</v>
      </c>
      <c r="K4270" s="62" t="s">
        <v>23</v>
      </c>
      <c r="L4270" s="62" t="s">
        <v>3</v>
      </c>
      <c r="M4270" s="62">
        <v>24.05</v>
      </c>
      <c r="N4270" s="62">
        <v>0</v>
      </c>
    </row>
    <row r="4271" spans="9:14">
      <c r="I4271" s="62">
        <v>2026</v>
      </c>
      <c r="J4271" s="62">
        <v>5</v>
      </c>
      <c r="K4271" s="62" t="s">
        <v>23</v>
      </c>
      <c r="L4271" s="62" t="s">
        <v>3</v>
      </c>
      <c r="M4271" s="62">
        <v>6.688</v>
      </c>
      <c r="N4271" s="62">
        <v>0</v>
      </c>
    </row>
    <row r="4272" spans="9:14">
      <c r="I4272" s="62">
        <v>2026</v>
      </c>
      <c r="J4272" s="62">
        <v>6</v>
      </c>
      <c r="K4272" s="62" t="s">
        <v>23</v>
      </c>
      <c r="L4272" s="62" t="s">
        <v>3</v>
      </c>
      <c r="M4272" s="62">
        <v>4.24</v>
      </c>
      <c r="N4272" s="62">
        <v>0</v>
      </c>
    </row>
    <row r="4273" spans="9:14">
      <c r="I4273" s="62">
        <v>2014</v>
      </c>
      <c r="J4273" s="62">
        <v>1</v>
      </c>
      <c r="K4273" s="62" t="s">
        <v>24</v>
      </c>
      <c r="L4273" s="62" t="s">
        <v>1</v>
      </c>
      <c r="M4273" s="62">
        <v>6.455</v>
      </c>
      <c r="N4273" s="62">
        <v>0</v>
      </c>
    </row>
    <row r="4274" spans="9:14">
      <c r="I4274" s="62">
        <v>2014</v>
      </c>
      <c r="J4274" s="62">
        <v>2</v>
      </c>
      <c r="K4274" s="62" t="s">
        <v>24</v>
      </c>
      <c r="L4274" s="62" t="s">
        <v>1</v>
      </c>
      <c r="M4274" s="62">
        <v>9.129999999999999</v>
      </c>
      <c r="N4274" s="62">
        <v>0</v>
      </c>
    </row>
    <row r="4275" spans="9:14">
      <c r="I4275" s="62">
        <v>2014</v>
      </c>
      <c r="J4275" s="62">
        <v>3</v>
      </c>
      <c r="K4275" s="62" t="s">
        <v>24</v>
      </c>
      <c r="L4275" s="62" t="s">
        <v>1</v>
      </c>
      <c r="M4275" s="62">
        <v>23.68</v>
      </c>
      <c r="N4275" s="62">
        <v>0</v>
      </c>
    </row>
    <row r="4276" spans="9:14">
      <c r="I4276" s="62">
        <v>2014</v>
      </c>
      <c r="J4276" s="62">
        <v>4</v>
      </c>
      <c r="K4276" s="62" t="s">
        <v>24</v>
      </c>
      <c r="L4276" s="62" t="s">
        <v>1</v>
      </c>
      <c r="M4276" s="62">
        <v>22.775</v>
      </c>
      <c r="N4276" s="62">
        <v>0</v>
      </c>
    </row>
    <row r="4277" spans="9:14">
      <c r="I4277" s="62">
        <v>2014</v>
      </c>
      <c r="J4277" s="62">
        <v>5</v>
      </c>
      <c r="K4277" s="62" t="s">
        <v>24</v>
      </c>
      <c r="L4277" s="62" t="s">
        <v>1</v>
      </c>
      <c r="M4277" s="62">
        <v>0.27</v>
      </c>
      <c r="N4277" s="62">
        <v>0</v>
      </c>
    </row>
    <row r="4278" spans="9:14">
      <c r="I4278" s="62">
        <v>2014</v>
      </c>
      <c r="J4278" s="62">
        <v>7</v>
      </c>
      <c r="K4278" s="62" t="s">
        <v>24</v>
      </c>
      <c r="L4278" s="62" t="s">
        <v>1</v>
      </c>
      <c r="M4278" s="62">
        <v>0.85</v>
      </c>
      <c r="N4278" s="62">
        <v>0</v>
      </c>
    </row>
    <row r="4279" spans="9:14">
      <c r="I4279" s="62">
        <v>2014</v>
      </c>
      <c r="J4279" s="62">
        <v>8</v>
      </c>
      <c r="K4279" s="62" t="s">
        <v>24</v>
      </c>
      <c r="L4279" s="62" t="s">
        <v>1</v>
      </c>
      <c r="M4279" s="62">
        <v>9.515000000000001</v>
      </c>
      <c r="N4279" s="62">
        <v>0</v>
      </c>
    </row>
    <row r="4280" spans="9:14">
      <c r="I4280" s="62">
        <v>2014</v>
      </c>
      <c r="J4280" s="62">
        <v>9</v>
      </c>
      <c r="K4280" s="62" t="s">
        <v>24</v>
      </c>
      <c r="L4280" s="62" t="s">
        <v>1</v>
      </c>
      <c r="M4280" s="62">
        <v>8.785</v>
      </c>
      <c r="N4280" s="62">
        <v>0</v>
      </c>
    </row>
    <row r="4281" spans="9:14">
      <c r="I4281" s="62">
        <v>2014</v>
      </c>
      <c r="J4281" s="62">
        <v>10</v>
      </c>
      <c r="K4281" s="62" t="s">
        <v>24</v>
      </c>
      <c r="L4281" s="62" t="s">
        <v>1</v>
      </c>
      <c r="M4281" s="62">
        <v>21.23</v>
      </c>
      <c r="N4281" s="62">
        <v>0</v>
      </c>
    </row>
    <row r="4282" spans="9:14">
      <c r="I4282" s="62">
        <v>2014</v>
      </c>
      <c r="J4282" s="62">
        <v>11</v>
      </c>
      <c r="K4282" s="62" t="s">
        <v>24</v>
      </c>
      <c r="L4282" s="62" t="s">
        <v>1</v>
      </c>
      <c r="M4282" s="62">
        <v>10</v>
      </c>
      <c r="N4282" s="62">
        <v>0</v>
      </c>
    </row>
    <row r="4283" spans="9:14">
      <c r="I4283" s="62">
        <v>2014</v>
      </c>
      <c r="J4283" s="62">
        <v>12</v>
      </c>
      <c r="K4283" s="62" t="s">
        <v>24</v>
      </c>
      <c r="L4283" s="62" t="s">
        <v>1</v>
      </c>
      <c r="M4283" s="62">
        <v>0.6775</v>
      </c>
      <c r="N4283" s="62">
        <v>0</v>
      </c>
    </row>
    <row r="4284" spans="9:14">
      <c r="I4284" s="62">
        <v>2015</v>
      </c>
      <c r="J4284" s="62">
        <v>1</v>
      </c>
      <c r="K4284" s="62" t="s">
        <v>24</v>
      </c>
      <c r="L4284" s="62" t="s">
        <v>1</v>
      </c>
      <c r="M4284" s="62">
        <v>8.51</v>
      </c>
      <c r="N4284" s="62">
        <v>0</v>
      </c>
    </row>
    <row r="4285" spans="9:14">
      <c r="I4285" s="62">
        <v>2015</v>
      </c>
      <c r="J4285" s="62">
        <v>2</v>
      </c>
      <c r="K4285" s="62" t="s">
        <v>24</v>
      </c>
      <c r="L4285" s="62" t="s">
        <v>1</v>
      </c>
      <c r="M4285" s="62">
        <v>5.21</v>
      </c>
      <c r="N4285" s="62">
        <v>0</v>
      </c>
    </row>
    <row r="4286" spans="9:14">
      <c r="I4286" s="62">
        <v>2015</v>
      </c>
      <c r="J4286" s="62">
        <v>3</v>
      </c>
      <c r="K4286" s="62" t="s">
        <v>24</v>
      </c>
      <c r="L4286" s="62" t="s">
        <v>1</v>
      </c>
      <c r="M4286" s="62">
        <v>10.18</v>
      </c>
      <c r="N4286" s="62">
        <v>0</v>
      </c>
    </row>
    <row r="4287" spans="9:14">
      <c r="I4287" s="62">
        <v>2015</v>
      </c>
      <c r="J4287" s="62">
        <v>4</v>
      </c>
      <c r="K4287" s="62" t="s">
        <v>24</v>
      </c>
      <c r="L4287" s="62" t="s">
        <v>1</v>
      </c>
      <c r="M4287" s="62">
        <v>41.175</v>
      </c>
      <c r="N4287" s="62">
        <v>0</v>
      </c>
    </row>
    <row r="4288" spans="9:14">
      <c r="I4288" s="62">
        <v>2015</v>
      </c>
      <c r="J4288" s="62">
        <v>5</v>
      </c>
      <c r="K4288" s="62" t="s">
        <v>24</v>
      </c>
      <c r="L4288" s="62" t="s">
        <v>1</v>
      </c>
      <c r="M4288" s="62">
        <v>41.156</v>
      </c>
      <c r="N4288" s="62">
        <v>0</v>
      </c>
    </row>
    <row r="4289" spans="9:14">
      <c r="I4289" s="62">
        <v>2015</v>
      </c>
      <c r="J4289" s="62">
        <v>6</v>
      </c>
      <c r="K4289" s="62" t="s">
        <v>24</v>
      </c>
      <c r="L4289" s="62" t="s">
        <v>1</v>
      </c>
      <c r="M4289" s="62">
        <v>15.345</v>
      </c>
      <c r="N4289" s="62">
        <v>0</v>
      </c>
    </row>
    <row r="4290" spans="9:14">
      <c r="I4290" s="62">
        <v>2015</v>
      </c>
      <c r="J4290" s="62">
        <v>7</v>
      </c>
      <c r="K4290" s="62" t="s">
        <v>24</v>
      </c>
      <c r="L4290" s="62" t="s">
        <v>1</v>
      </c>
      <c r="M4290" s="62">
        <v>14.77</v>
      </c>
      <c r="N4290" s="62">
        <v>0</v>
      </c>
    </row>
    <row r="4291" spans="9:14">
      <c r="I4291" s="62">
        <v>2015</v>
      </c>
      <c r="J4291" s="62">
        <v>8</v>
      </c>
      <c r="K4291" s="62" t="s">
        <v>24</v>
      </c>
      <c r="L4291" s="62" t="s">
        <v>1</v>
      </c>
      <c r="M4291" s="62">
        <v>18.15</v>
      </c>
      <c r="N4291" s="62">
        <v>0</v>
      </c>
    </row>
    <row r="4292" spans="9:14">
      <c r="I4292" s="62">
        <v>2015</v>
      </c>
      <c r="J4292" s="62">
        <v>9</v>
      </c>
      <c r="K4292" s="62" t="s">
        <v>24</v>
      </c>
      <c r="L4292" s="62" t="s">
        <v>1</v>
      </c>
      <c r="M4292" s="62">
        <v>27.85</v>
      </c>
      <c r="N4292" s="62">
        <v>0</v>
      </c>
    </row>
    <row r="4293" spans="9:14">
      <c r="I4293" s="62">
        <v>2015</v>
      </c>
      <c r="J4293" s="62">
        <v>10</v>
      </c>
      <c r="K4293" s="62" t="s">
        <v>24</v>
      </c>
      <c r="L4293" s="62" t="s">
        <v>1</v>
      </c>
      <c r="M4293" s="62">
        <v>24.148</v>
      </c>
      <c r="N4293" s="62">
        <v>0</v>
      </c>
    </row>
    <row r="4294" spans="9:14">
      <c r="I4294" s="62">
        <v>2015</v>
      </c>
      <c r="J4294" s="62">
        <v>11</v>
      </c>
      <c r="K4294" s="62" t="s">
        <v>24</v>
      </c>
      <c r="L4294" s="62" t="s">
        <v>1</v>
      </c>
      <c r="M4294" s="62">
        <v>20.9</v>
      </c>
      <c r="N4294" s="62">
        <v>0</v>
      </c>
    </row>
    <row r="4295" spans="9:14">
      <c r="I4295" s="62">
        <v>2015</v>
      </c>
      <c r="J4295" s="62">
        <v>12</v>
      </c>
      <c r="K4295" s="62" t="s">
        <v>24</v>
      </c>
      <c r="L4295" s="62" t="s">
        <v>1</v>
      </c>
      <c r="M4295" s="62">
        <v>18.145</v>
      </c>
      <c r="N4295" s="62">
        <v>0</v>
      </c>
    </row>
    <row r="4296" spans="9:14">
      <c r="I4296" s="62">
        <v>2016</v>
      </c>
      <c r="J4296" s="62">
        <v>1</v>
      </c>
      <c r="K4296" s="62" t="s">
        <v>24</v>
      </c>
      <c r="L4296" s="62" t="s">
        <v>1</v>
      </c>
      <c r="M4296" s="62">
        <v>5.178</v>
      </c>
      <c r="N4296" s="62">
        <v>0</v>
      </c>
    </row>
    <row r="4297" spans="9:14">
      <c r="I4297" s="62">
        <v>2016</v>
      </c>
      <c r="J4297" s="62">
        <v>2</v>
      </c>
      <c r="K4297" s="62" t="s">
        <v>24</v>
      </c>
      <c r="L4297" s="62" t="s">
        <v>1</v>
      </c>
      <c r="M4297" s="62">
        <v>5.99</v>
      </c>
      <c r="N4297" s="62">
        <v>0</v>
      </c>
    </row>
    <row r="4298" spans="9:14">
      <c r="I4298" s="62">
        <v>2016</v>
      </c>
      <c r="J4298" s="62">
        <v>3</v>
      </c>
      <c r="K4298" s="62" t="s">
        <v>24</v>
      </c>
      <c r="L4298" s="62" t="s">
        <v>1</v>
      </c>
      <c r="M4298" s="62">
        <v>2.2498</v>
      </c>
      <c r="N4298" s="62">
        <v>0</v>
      </c>
    </row>
    <row r="4299" spans="9:14">
      <c r="I4299" s="62">
        <v>2016</v>
      </c>
      <c r="J4299" s="62">
        <v>4</v>
      </c>
      <c r="K4299" s="62" t="s">
        <v>24</v>
      </c>
      <c r="L4299" s="62" t="s">
        <v>1</v>
      </c>
      <c r="M4299" s="62">
        <v>3.1805</v>
      </c>
      <c r="N4299" s="62">
        <v>0</v>
      </c>
    </row>
    <row r="4300" spans="9:14">
      <c r="I4300" s="62">
        <v>2016</v>
      </c>
      <c r="J4300" s="62">
        <v>5</v>
      </c>
      <c r="K4300" s="62" t="s">
        <v>24</v>
      </c>
      <c r="L4300" s="62" t="s">
        <v>1</v>
      </c>
      <c r="M4300" s="62">
        <v>4.556500000000001</v>
      </c>
      <c r="N4300" s="62">
        <v>0</v>
      </c>
    </row>
    <row r="4301" spans="9:14">
      <c r="I4301" s="62">
        <v>2016</v>
      </c>
      <c r="J4301" s="62">
        <v>7</v>
      </c>
      <c r="K4301" s="62" t="s">
        <v>24</v>
      </c>
      <c r="L4301" s="62" t="s">
        <v>1</v>
      </c>
      <c r="M4301" s="62">
        <v>0.35</v>
      </c>
      <c r="N4301" s="62">
        <v>0</v>
      </c>
    </row>
    <row r="4302" spans="9:14">
      <c r="I4302" s="62">
        <v>2016</v>
      </c>
      <c r="J4302" s="62">
        <v>8</v>
      </c>
      <c r="K4302" s="62" t="s">
        <v>24</v>
      </c>
      <c r="L4302" s="62" t="s">
        <v>1</v>
      </c>
      <c r="M4302" s="62">
        <v>0.855</v>
      </c>
      <c r="N4302" s="62">
        <v>0</v>
      </c>
    </row>
    <row r="4303" spans="9:14">
      <c r="I4303" s="62">
        <v>2016</v>
      </c>
      <c r="J4303" s="62">
        <v>9</v>
      </c>
      <c r="K4303" s="62" t="s">
        <v>24</v>
      </c>
      <c r="L4303" s="62" t="s">
        <v>1</v>
      </c>
      <c r="M4303" s="62">
        <v>6.1964</v>
      </c>
      <c r="N4303" s="62">
        <v>0</v>
      </c>
    </row>
    <row r="4304" spans="9:14">
      <c r="I4304" s="62">
        <v>2016</v>
      </c>
      <c r="J4304" s="62">
        <v>10</v>
      </c>
      <c r="K4304" s="62" t="s">
        <v>24</v>
      </c>
      <c r="L4304" s="62" t="s">
        <v>1</v>
      </c>
      <c r="M4304" s="62">
        <v>36.28</v>
      </c>
      <c r="N4304" s="62">
        <v>0</v>
      </c>
    </row>
    <row r="4305" spans="9:14">
      <c r="I4305" s="62">
        <v>2016</v>
      </c>
      <c r="J4305" s="62">
        <v>11</v>
      </c>
      <c r="K4305" s="62" t="s">
        <v>24</v>
      </c>
      <c r="L4305" s="62" t="s">
        <v>1</v>
      </c>
      <c r="M4305" s="62">
        <v>0.768</v>
      </c>
      <c r="N4305" s="62">
        <v>0</v>
      </c>
    </row>
    <row r="4306" spans="9:14">
      <c r="I4306" s="62">
        <v>2016</v>
      </c>
      <c r="J4306" s="62">
        <v>12</v>
      </c>
      <c r="K4306" s="62" t="s">
        <v>24</v>
      </c>
      <c r="L4306" s="62" t="s">
        <v>1</v>
      </c>
      <c r="M4306" s="62">
        <v>0.715</v>
      </c>
      <c r="N4306" s="62">
        <v>0</v>
      </c>
    </row>
    <row r="4307" spans="9:14">
      <c r="I4307" s="62">
        <v>2017</v>
      </c>
      <c r="J4307" s="62">
        <v>1</v>
      </c>
      <c r="K4307" s="62" t="s">
        <v>24</v>
      </c>
      <c r="L4307" s="62" t="s">
        <v>1</v>
      </c>
      <c r="M4307" s="62">
        <v>7.096</v>
      </c>
      <c r="N4307" s="62">
        <v>0</v>
      </c>
    </row>
    <row r="4308" spans="9:14">
      <c r="I4308" s="62">
        <v>2017</v>
      </c>
      <c r="J4308" s="62">
        <v>2</v>
      </c>
      <c r="K4308" s="62" t="s">
        <v>24</v>
      </c>
      <c r="L4308" s="62" t="s">
        <v>1</v>
      </c>
      <c r="M4308" s="62">
        <v>12.215</v>
      </c>
      <c r="N4308" s="62">
        <v>0</v>
      </c>
    </row>
    <row r="4309" spans="9:14">
      <c r="I4309" s="62">
        <v>2017</v>
      </c>
      <c r="J4309" s="62">
        <v>3</v>
      </c>
      <c r="K4309" s="62" t="s">
        <v>24</v>
      </c>
      <c r="L4309" s="62" t="s">
        <v>1</v>
      </c>
      <c r="M4309" s="62">
        <v>14.701</v>
      </c>
      <c r="N4309" s="62">
        <v>0</v>
      </c>
    </row>
    <row r="4310" spans="9:14">
      <c r="I4310" s="62">
        <v>2017</v>
      </c>
      <c r="J4310" s="62">
        <v>4</v>
      </c>
      <c r="K4310" s="62" t="s">
        <v>24</v>
      </c>
      <c r="L4310" s="62" t="s">
        <v>1</v>
      </c>
      <c r="M4310" s="62">
        <v>8.951000000000001</v>
      </c>
      <c r="N4310" s="62">
        <v>0</v>
      </c>
    </row>
    <row r="4311" spans="9:14">
      <c r="I4311" s="62">
        <v>2017</v>
      </c>
      <c r="J4311" s="62">
        <v>5</v>
      </c>
      <c r="K4311" s="62" t="s">
        <v>24</v>
      </c>
      <c r="L4311" s="62" t="s">
        <v>1</v>
      </c>
      <c r="M4311" s="62">
        <v>15.648</v>
      </c>
      <c r="N4311" s="62">
        <v>0</v>
      </c>
    </row>
    <row r="4312" spans="9:14">
      <c r="I4312" s="62">
        <v>2017</v>
      </c>
      <c r="J4312" s="62">
        <v>6</v>
      </c>
      <c r="K4312" s="62" t="s">
        <v>24</v>
      </c>
      <c r="L4312" s="62" t="s">
        <v>1</v>
      </c>
      <c r="M4312" s="62">
        <v>7.798</v>
      </c>
      <c r="N4312" s="62">
        <v>0</v>
      </c>
    </row>
    <row r="4313" spans="9:14">
      <c r="I4313" s="62">
        <v>2017</v>
      </c>
      <c r="J4313" s="62">
        <v>7</v>
      </c>
      <c r="K4313" s="62" t="s">
        <v>24</v>
      </c>
      <c r="L4313" s="62" t="s">
        <v>1</v>
      </c>
      <c r="M4313" s="62">
        <v>7.3125</v>
      </c>
      <c r="N4313" s="62">
        <v>0</v>
      </c>
    </row>
    <row r="4314" spans="9:14">
      <c r="I4314" s="62">
        <v>2017</v>
      </c>
      <c r="J4314" s="62">
        <v>8</v>
      </c>
      <c r="K4314" s="62" t="s">
        <v>24</v>
      </c>
      <c r="L4314" s="62" t="s">
        <v>1</v>
      </c>
      <c r="M4314" s="62">
        <v>7.131</v>
      </c>
      <c r="N4314" s="62">
        <v>0</v>
      </c>
    </row>
    <row r="4315" spans="9:14">
      <c r="I4315" s="62">
        <v>2017</v>
      </c>
      <c r="J4315" s="62">
        <v>9</v>
      </c>
      <c r="K4315" s="62" t="s">
        <v>24</v>
      </c>
      <c r="L4315" s="62" t="s">
        <v>1</v>
      </c>
      <c r="M4315" s="62">
        <v>80.51000000000001</v>
      </c>
      <c r="N4315" s="62">
        <v>0</v>
      </c>
    </row>
    <row r="4316" spans="9:14">
      <c r="I4316" s="62">
        <v>2017</v>
      </c>
      <c r="J4316" s="62">
        <v>10</v>
      </c>
      <c r="K4316" s="62" t="s">
        <v>24</v>
      </c>
      <c r="L4316" s="62" t="s">
        <v>1</v>
      </c>
      <c r="M4316" s="62">
        <v>37.01600000000001</v>
      </c>
      <c r="N4316" s="62">
        <v>0</v>
      </c>
    </row>
    <row r="4317" spans="9:14">
      <c r="I4317" s="62">
        <v>2017</v>
      </c>
      <c r="J4317" s="62">
        <v>11</v>
      </c>
      <c r="K4317" s="62" t="s">
        <v>24</v>
      </c>
      <c r="L4317" s="62" t="s">
        <v>1</v>
      </c>
      <c r="M4317" s="62">
        <v>29.504</v>
      </c>
      <c r="N4317" s="62">
        <v>0</v>
      </c>
    </row>
    <row r="4318" spans="9:14">
      <c r="I4318" s="62">
        <v>2018</v>
      </c>
      <c r="J4318" s="62">
        <v>3</v>
      </c>
      <c r="K4318" s="62" t="s">
        <v>24</v>
      </c>
      <c r="L4318" s="62" t="s">
        <v>1</v>
      </c>
      <c r="M4318" s="62">
        <v>15.895</v>
      </c>
      <c r="N4318" s="62">
        <v>0</v>
      </c>
    </row>
    <row r="4319" spans="9:14">
      <c r="I4319" s="62">
        <v>2018</v>
      </c>
      <c r="J4319" s="62">
        <v>4</v>
      </c>
      <c r="K4319" s="62" t="s">
        <v>24</v>
      </c>
      <c r="L4319" s="62" t="s">
        <v>1</v>
      </c>
      <c r="M4319" s="62">
        <v>7.095</v>
      </c>
      <c r="N4319" s="62">
        <v>0</v>
      </c>
    </row>
    <row r="4320" spans="9:14">
      <c r="I4320" s="62">
        <v>2018</v>
      </c>
      <c r="J4320" s="62">
        <v>5</v>
      </c>
      <c r="K4320" s="62" t="s">
        <v>24</v>
      </c>
      <c r="L4320" s="62" t="s">
        <v>1</v>
      </c>
      <c r="M4320" s="62">
        <v>8.67</v>
      </c>
      <c r="N4320" s="62">
        <v>0</v>
      </c>
    </row>
    <row r="4321" spans="9:14">
      <c r="I4321" s="62">
        <v>2018</v>
      </c>
      <c r="J4321" s="62">
        <v>6</v>
      </c>
      <c r="K4321" s="62" t="s">
        <v>24</v>
      </c>
      <c r="L4321" s="62" t="s">
        <v>1</v>
      </c>
      <c r="M4321" s="62">
        <v>4.945</v>
      </c>
      <c r="N4321" s="62">
        <v>0</v>
      </c>
    </row>
    <row r="4322" spans="9:14">
      <c r="I4322" s="62">
        <v>2018</v>
      </c>
      <c r="J4322" s="62">
        <v>7</v>
      </c>
      <c r="K4322" s="62" t="s">
        <v>24</v>
      </c>
      <c r="L4322" s="62" t="s">
        <v>1</v>
      </c>
      <c r="M4322" s="62">
        <v>3.71</v>
      </c>
      <c r="N4322" s="62">
        <v>0</v>
      </c>
    </row>
    <row r="4323" spans="9:14">
      <c r="I4323" s="62">
        <v>2018</v>
      </c>
      <c r="J4323" s="62">
        <v>8</v>
      </c>
      <c r="K4323" s="62" t="s">
        <v>24</v>
      </c>
      <c r="L4323" s="62" t="s">
        <v>1</v>
      </c>
      <c r="M4323" s="62">
        <v>3.5</v>
      </c>
      <c r="N4323" s="62">
        <v>0</v>
      </c>
    </row>
    <row r="4324" spans="9:14">
      <c r="I4324" s="62">
        <v>2018</v>
      </c>
      <c r="J4324" s="62">
        <v>9</v>
      </c>
      <c r="K4324" s="62" t="s">
        <v>24</v>
      </c>
      <c r="L4324" s="62" t="s">
        <v>1</v>
      </c>
      <c r="M4324" s="62">
        <v>13.495</v>
      </c>
      <c r="N4324" s="62">
        <v>0</v>
      </c>
    </row>
    <row r="4325" spans="9:14">
      <c r="I4325" s="62">
        <v>2018</v>
      </c>
      <c r="J4325" s="62">
        <v>10</v>
      </c>
      <c r="K4325" s="62" t="s">
        <v>24</v>
      </c>
      <c r="L4325" s="62" t="s">
        <v>1</v>
      </c>
      <c r="M4325" s="62">
        <v>35.099</v>
      </c>
      <c r="N4325" s="62">
        <v>0</v>
      </c>
    </row>
    <row r="4326" spans="9:14">
      <c r="I4326" s="62">
        <v>2018</v>
      </c>
      <c r="J4326" s="62">
        <v>11</v>
      </c>
      <c r="K4326" s="62" t="s">
        <v>24</v>
      </c>
      <c r="L4326" s="62" t="s">
        <v>1</v>
      </c>
      <c r="M4326" s="62">
        <v>10.151</v>
      </c>
      <c r="N4326" s="62">
        <v>0</v>
      </c>
    </row>
    <row r="4327" spans="9:14">
      <c r="I4327" s="62">
        <v>2018</v>
      </c>
      <c r="J4327" s="62">
        <v>12</v>
      </c>
      <c r="K4327" s="62" t="s">
        <v>24</v>
      </c>
      <c r="L4327" s="62" t="s">
        <v>1</v>
      </c>
      <c r="M4327" s="62">
        <v>3.66</v>
      </c>
      <c r="N4327" s="62">
        <v>0</v>
      </c>
    </row>
    <row r="4328" spans="9:14">
      <c r="I4328" s="62">
        <v>2019</v>
      </c>
      <c r="J4328" s="62">
        <v>1</v>
      </c>
      <c r="K4328" s="62" t="s">
        <v>24</v>
      </c>
      <c r="L4328" s="62" t="s">
        <v>1</v>
      </c>
      <c r="M4328" s="62">
        <v>4.04</v>
      </c>
      <c r="N4328" s="62">
        <v>0</v>
      </c>
    </row>
    <row r="4329" spans="9:14">
      <c r="I4329" s="62">
        <v>2019</v>
      </c>
      <c r="J4329" s="62">
        <v>2</v>
      </c>
      <c r="K4329" s="62" t="s">
        <v>24</v>
      </c>
      <c r="L4329" s="62" t="s">
        <v>1</v>
      </c>
      <c r="M4329" s="62">
        <v>8.478999999999999</v>
      </c>
      <c r="N4329" s="62">
        <v>0</v>
      </c>
    </row>
    <row r="4330" spans="9:14">
      <c r="I4330" s="62">
        <v>2019</v>
      </c>
      <c r="J4330" s="62">
        <v>3</v>
      </c>
      <c r="K4330" s="62" t="s">
        <v>24</v>
      </c>
      <c r="L4330" s="62" t="s">
        <v>1</v>
      </c>
      <c r="M4330" s="62">
        <v>56.8305</v>
      </c>
      <c r="N4330" s="62">
        <v>0</v>
      </c>
    </row>
    <row r="4331" spans="9:14">
      <c r="I4331" s="62">
        <v>2019</v>
      </c>
      <c r="J4331" s="62">
        <v>4</v>
      </c>
      <c r="K4331" s="62" t="s">
        <v>24</v>
      </c>
      <c r="L4331" s="62" t="s">
        <v>1</v>
      </c>
      <c r="M4331" s="62">
        <v>59.6525</v>
      </c>
      <c r="N4331" s="62">
        <v>0</v>
      </c>
    </row>
    <row r="4332" spans="9:14">
      <c r="I4332" s="62">
        <v>2019</v>
      </c>
      <c r="J4332" s="62">
        <v>5</v>
      </c>
      <c r="K4332" s="62" t="s">
        <v>24</v>
      </c>
      <c r="L4332" s="62" t="s">
        <v>1</v>
      </c>
      <c r="M4332" s="62">
        <v>26.112</v>
      </c>
      <c r="N4332" s="62">
        <v>0</v>
      </c>
    </row>
    <row r="4333" spans="9:14">
      <c r="I4333" s="62">
        <v>2019</v>
      </c>
      <c r="J4333" s="62">
        <v>6</v>
      </c>
      <c r="K4333" s="62" t="s">
        <v>24</v>
      </c>
      <c r="L4333" s="62" t="s">
        <v>1</v>
      </c>
      <c r="M4333" s="62">
        <v>8.045</v>
      </c>
      <c r="N4333" s="62">
        <v>0</v>
      </c>
    </row>
    <row r="4334" spans="9:14">
      <c r="I4334" s="62">
        <v>2019</v>
      </c>
      <c r="J4334" s="62">
        <v>7</v>
      </c>
      <c r="K4334" s="62" t="s">
        <v>24</v>
      </c>
      <c r="L4334" s="62" t="s">
        <v>1</v>
      </c>
      <c r="M4334" s="62">
        <v>2</v>
      </c>
      <c r="N4334" s="62">
        <v>0</v>
      </c>
    </row>
    <row r="4335" spans="9:14">
      <c r="I4335" s="62">
        <v>2019</v>
      </c>
      <c r="J4335" s="62">
        <v>8</v>
      </c>
      <c r="K4335" s="62" t="s">
        <v>24</v>
      </c>
      <c r="L4335" s="62" t="s">
        <v>1</v>
      </c>
      <c r="M4335" s="62">
        <v>2.165</v>
      </c>
      <c r="N4335" s="62">
        <v>0</v>
      </c>
    </row>
    <row r="4336" spans="9:14">
      <c r="I4336" s="62">
        <v>2019</v>
      </c>
      <c r="J4336" s="62">
        <v>9</v>
      </c>
      <c r="K4336" s="62" t="s">
        <v>24</v>
      </c>
      <c r="L4336" s="62" t="s">
        <v>1</v>
      </c>
      <c r="M4336" s="62">
        <v>58.148</v>
      </c>
      <c r="N4336" s="62">
        <v>0</v>
      </c>
    </row>
    <row r="4337" spans="9:14">
      <c r="I4337" s="62">
        <v>2019</v>
      </c>
      <c r="J4337" s="62">
        <v>10</v>
      </c>
      <c r="K4337" s="62" t="s">
        <v>24</v>
      </c>
      <c r="L4337" s="62" t="s">
        <v>1</v>
      </c>
      <c r="M4337" s="62">
        <v>48.75</v>
      </c>
      <c r="N4337" s="62">
        <v>0</v>
      </c>
    </row>
    <row r="4338" spans="9:14">
      <c r="I4338" s="62">
        <v>2019</v>
      </c>
      <c r="J4338" s="62">
        <v>11</v>
      </c>
      <c r="K4338" s="62" t="s">
        <v>24</v>
      </c>
      <c r="L4338" s="62" t="s">
        <v>1</v>
      </c>
      <c r="M4338" s="62">
        <v>2.605</v>
      </c>
      <c r="N4338" s="62">
        <v>0</v>
      </c>
    </row>
    <row r="4339" spans="9:14">
      <c r="I4339" s="62">
        <v>2019</v>
      </c>
      <c r="J4339" s="62">
        <v>12</v>
      </c>
      <c r="K4339" s="62" t="s">
        <v>24</v>
      </c>
      <c r="L4339" s="62" t="s">
        <v>1</v>
      </c>
      <c r="M4339" s="62">
        <v>2</v>
      </c>
      <c r="N4339" s="62">
        <v>0</v>
      </c>
    </row>
    <row r="4340" spans="9:14">
      <c r="I4340" s="62">
        <v>2020</v>
      </c>
      <c r="J4340" s="62">
        <v>1</v>
      </c>
      <c r="K4340" s="62" t="s">
        <v>24</v>
      </c>
      <c r="L4340" s="62" t="s">
        <v>1</v>
      </c>
      <c r="M4340" s="62">
        <v>4.175</v>
      </c>
      <c r="N4340" s="62">
        <v>0</v>
      </c>
    </row>
    <row r="4341" spans="9:14">
      <c r="I4341" s="62">
        <v>2020</v>
      </c>
      <c r="J4341" s="62">
        <v>2</v>
      </c>
      <c r="K4341" s="62" t="s">
        <v>24</v>
      </c>
      <c r="L4341" s="62" t="s">
        <v>1</v>
      </c>
      <c r="M4341" s="62">
        <v>4.39</v>
      </c>
      <c r="N4341" s="62">
        <v>0</v>
      </c>
    </row>
    <row r="4342" spans="9:14">
      <c r="I4342" s="62">
        <v>2020</v>
      </c>
      <c r="J4342" s="62">
        <v>3</v>
      </c>
      <c r="K4342" s="62" t="s">
        <v>24</v>
      </c>
      <c r="L4342" s="62" t="s">
        <v>1</v>
      </c>
      <c r="M4342" s="62">
        <v>24.4316</v>
      </c>
      <c r="N4342" s="62">
        <v>0</v>
      </c>
    </row>
    <row r="4343" spans="9:14">
      <c r="I4343" s="62">
        <v>2020</v>
      </c>
      <c r="J4343" s="62">
        <v>4</v>
      </c>
      <c r="K4343" s="62" t="s">
        <v>24</v>
      </c>
      <c r="L4343" s="62" t="s">
        <v>1</v>
      </c>
      <c r="M4343" s="62">
        <v>104.1469</v>
      </c>
      <c r="N4343" s="62">
        <v>0</v>
      </c>
    </row>
    <row r="4344" spans="9:14">
      <c r="I4344" s="62">
        <v>2020</v>
      </c>
      <c r="J4344" s="62">
        <v>5</v>
      </c>
      <c r="K4344" s="62" t="s">
        <v>24</v>
      </c>
      <c r="L4344" s="62" t="s">
        <v>1</v>
      </c>
      <c r="M4344" s="62">
        <v>106.7039</v>
      </c>
      <c r="N4344" s="62">
        <v>0</v>
      </c>
    </row>
    <row r="4345" spans="9:14">
      <c r="I4345" s="62">
        <v>2020</v>
      </c>
      <c r="J4345" s="62">
        <v>6</v>
      </c>
      <c r="K4345" s="62" t="s">
        <v>24</v>
      </c>
      <c r="L4345" s="62" t="s">
        <v>1</v>
      </c>
      <c r="M4345" s="62">
        <v>104.4978</v>
      </c>
      <c r="N4345" s="62">
        <v>0</v>
      </c>
    </row>
    <row r="4346" spans="9:14">
      <c r="I4346" s="62">
        <v>2020</v>
      </c>
      <c r="J4346" s="62">
        <v>7</v>
      </c>
      <c r="K4346" s="62" t="s">
        <v>24</v>
      </c>
      <c r="L4346" s="62" t="s">
        <v>1</v>
      </c>
      <c r="M4346" s="62">
        <v>102.47</v>
      </c>
      <c r="N4346" s="62">
        <v>0</v>
      </c>
    </row>
    <row r="4347" spans="9:14">
      <c r="I4347" s="62">
        <v>2020</v>
      </c>
      <c r="J4347" s="62">
        <v>8</v>
      </c>
      <c r="K4347" s="62" t="s">
        <v>24</v>
      </c>
      <c r="L4347" s="62" t="s">
        <v>1</v>
      </c>
      <c r="M4347" s="62">
        <v>122.3538</v>
      </c>
      <c r="N4347" s="62">
        <v>0</v>
      </c>
    </row>
    <row r="4348" spans="9:14">
      <c r="I4348" s="62">
        <v>2020</v>
      </c>
      <c r="J4348" s="62">
        <v>9</v>
      </c>
      <c r="K4348" s="62" t="s">
        <v>24</v>
      </c>
      <c r="L4348" s="62" t="s">
        <v>1</v>
      </c>
      <c r="M4348" s="62">
        <v>146.899</v>
      </c>
      <c r="N4348" s="62">
        <v>0</v>
      </c>
    </row>
    <row r="4349" spans="9:14">
      <c r="I4349" s="62">
        <v>2020</v>
      </c>
      <c r="J4349" s="62">
        <v>10</v>
      </c>
      <c r="K4349" s="62" t="s">
        <v>24</v>
      </c>
      <c r="L4349" s="62" t="s">
        <v>1</v>
      </c>
      <c r="M4349" s="62">
        <v>126.0566</v>
      </c>
      <c r="N4349" s="62">
        <v>0</v>
      </c>
    </row>
    <row r="4350" spans="9:14">
      <c r="I4350" s="62">
        <v>2020</v>
      </c>
      <c r="J4350" s="62">
        <v>11</v>
      </c>
      <c r="K4350" s="62" t="s">
        <v>24</v>
      </c>
      <c r="L4350" s="62" t="s">
        <v>1</v>
      </c>
      <c r="M4350" s="62">
        <v>99.95</v>
      </c>
      <c r="N4350" s="62">
        <v>0</v>
      </c>
    </row>
    <row r="4351" spans="9:14">
      <c r="I4351" s="62">
        <v>2020</v>
      </c>
      <c r="J4351" s="62">
        <v>12</v>
      </c>
      <c r="K4351" s="62" t="s">
        <v>24</v>
      </c>
      <c r="L4351" s="62" t="s">
        <v>1</v>
      </c>
      <c r="M4351" s="62">
        <v>107.91</v>
      </c>
      <c r="N4351" s="62">
        <v>0</v>
      </c>
    </row>
    <row r="4352" spans="9:14">
      <c r="I4352" s="62">
        <v>2021</v>
      </c>
      <c r="J4352" s="62">
        <v>1</v>
      </c>
      <c r="K4352" s="62" t="s">
        <v>24</v>
      </c>
      <c r="L4352" s="62" t="s">
        <v>1</v>
      </c>
      <c r="M4352" s="62">
        <v>111.775</v>
      </c>
      <c r="N4352" s="62">
        <v>0</v>
      </c>
    </row>
    <row r="4353" spans="9:14">
      <c r="I4353" s="62">
        <v>2021</v>
      </c>
      <c r="J4353" s="62">
        <v>2</v>
      </c>
      <c r="K4353" s="62" t="s">
        <v>24</v>
      </c>
      <c r="L4353" s="62" t="s">
        <v>1</v>
      </c>
      <c r="M4353" s="62">
        <v>142.29</v>
      </c>
      <c r="N4353" s="62">
        <v>0</v>
      </c>
    </row>
    <row r="4354" spans="9:14">
      <c r="I4354" s="62">
        <v>2021</v>
      </c>
      <c r="J4354" s="62">
        <v>3</v>
      </c>
      <c r="K4354" s="62" t="s">
        <v>24</v>
      </c>
      <c r="L4354" s="62" t="s">
        <v>1</v>
      </c>
      <c r="M4354" s="62">
        <v>93.3959</v>
      </c>
      <c r="N4354" s="62">
        <v>0</v>
      </c>
    </row>
    <row r="4355" spans="9:14">
      <c r="I4355" s="62">
        <v>2021</v>
      </c>
      <c r="J4355" s="62">
        <v>4</v>
      </c>
      <c r="K4355" s="62" t="s">
        <v>24</v>
      </c>
      <c r="L4355" s="62" t="s">
        <v>1</v>
      </c>
      <c r="M4355" s="62">
        <v>73.25530000000001</v>
      </c>
      <c r="N4355" s="62">
        <v>0</v>
      </c>
    </row>
    <row r="4356" spans="9:14">
      <c r="I4356" s="62">
        <v>2021</v>
      </c>
      <c r="J4356" s="62">
        <v>5</v>
      </c>
      <c r="K4356" s="62" t="s">
        <v>24</v>
      </c>
      <c r="L4356" s="62" t="s">
        <v>1</v>
      </c>
      <c r="M4356" s="62">
        <v>30.6595</v>
      </c>
      <c r="N4356" s="62">
        <v>0</v>
      </c>
    </row>
    <row r="4357" spans="9:14">
      <c r="I4357" s="62">
        <v>2021</v>
      </c>
      <c r="J4357" s="62">
        <v>6</v>
      </c>
      <c r="K4357" s="62" t="s">
        <v>24</v>
      </c>
      <c r="L4357" s="62" t="s">
        <v>1</v>
      </c>
      <c r="M4357" s="62">
        <v>20.7459</v>
      </c>
      <c r="N4357" s="62">
        <v>0</v>
      </c>
    </row>
    <row r="4358" spans="9:14">
      <c r="I4358" s="62">
        <v>2021</v>
      </c>
      <c r="J4358" s="62">
        <v>7</v>
      </c>
      <c r="K4358" s="62" t="s">
        <v>24</v>
      </c>
      <c r="L4358" s="62" t="s">
        <v>1</v>
      </c>
      <c r="M4358" s="62">
        <v>21.767</v>
      </c>
      <c r="N4358" s="62">
        <v>0</v>
      </c>
    </row>
    <row r="4359" spans="9:14">
      <c r="I4359" s="62">
        <v>2021</v>
      </c>
      <c r="J4359" s="62">
        <v>8</v>
      </c>
      <c r="K4359" s="62" t="s">
        <v>24</v>
      </c>
      <c r="L4359" s="62" t="s">
        <v>1</v>
      </c>
      <c r="M4359" s="62">
        <v>23.415</v>
      </c>
      <c r="N4359" s="62">
        <v>0</v>
      </c>
    </row>
    <row r="4360" spans="9:14">
      <c r="I4360" s="62">
        <v>2021</v>
      </c>
      <c r="J4360" s="62">
        <v>9</v>
      </c>
      <c r="K4360" s="62" t="s">
        <v>24</v>
      </c>
      <c r="L4360" s="62" t="s">
        <v>1</v>
      </c>
      <c r="M4360" s="62">
        <v>51.045</v>
      </c>
      <c r="N4360" s="62">
        <v>0</v>
      </c>
    </row>
    <row r="4361" spans="9:14">
      <c r="I4361" s="62">
        <v>2021</v>
      </c>
      <c r="J4361" s="62">
        <v>10</v>
      </c>
      <c r="K4361" s="62" t="s">
        <v>24</v>
      </c>
      <c r="L4361" s="62" t="s">
        <v>1</v>
      </c>
      <c r="M4361" s="62">
        <v>37.9</v>
      </c>
      <c r="N4361" s="62">
        <v>0</v>
      </c>
    </row>
    <row r="4362" spans="9:14">
      <c r="I4362" s="62">
        <v>2021</v>
      </c>
      <c r="J4362" s="62">
        <v>11</v>
      </c>
      <c r="K4362" s="62" t="s">
        <v>24</v>
      </c>
      <c r="L4362" s="62" t="s">
        <v>1</v>
      </c>
      <c r="M4362" s="62">
        <v>8.6</v>
      </c>
      <c r="N4362" s="62">
        <v>0</v>
      </c>
    </row>
    <row r="4363" spans="9:14">
      <c r="I4363" s="62">
        <v>2021</v>
      </c>
      <c r="J4363" s="62">
        <v>12</v>
      </c>
      <c r="K4363" s="62" t="s">
        <v>24</v>
      </c>
      <c r="L4363" s="62" t="s">
        <v>1</v>
      </c>
      <c r="M4363" s="62">
        <v>2</v>
      </c>
      <c r="N4363" s="62">
        <v>0</v>
      </c>
    </row>
    <row r="4364" spans="9:14">
      <c r="I4364" s="62">
        <v>2022</v>
      </c>
      <c r="J4364" s="62">
        <v>1</v>
      </c>
      <c r="K4364" s="62" t="s">
        <v>24</v>
      </c>
      <c r="L4364" s="62" t="s">
        <v>1</v>
      </c>
      <c r="M4364" s="62">
        <v>2.39</v>
      </c>
      <c r="N4364" s="62">
        <v>0</v>
      </c>
    </row>
    <row r="4365" spans="9:14">
      <c r="I4365" s="62">
        <v>2022</v>
      </c>
      <c r="J4365" s="62">
        <v>2</v>
      </c>
      <c r="K4365" s="62" t="s">
        <v>24</v>
      </c>
      <c r="L4365" s="62" t="s">
        <v>1</v>
      </c>
      <c r="M4365" s="62">
        <v>3.44</v>
      </c>
      <c r="N4365" s="62">
        <v>0</v>
      </c>
    </row>
    <row r="4366" spans="9:14">
      <c r="I4366" s="62">
        <v>2022</v>
      </c>
      <c r="J4366" s="62">
        <v>3</v>
      </c>
      <c r="K4366" s="62" t="s">
        <v>24</v>
      </c>
      <c r="L4366" s="62" t="s">
        <v>1</v>
      </c>
      <c r="M4366" s="62">
        <v>33.54</v>
      </c>
      <c r="N4366" s="62">
        <v>0</v>
      </c>
    </row>
    <row r="4367" spans="9:14">
      <c r="I4367" s="62">
        <v>2022</v>
      </c>
      <c r="J4367" s="62">
        <v>4</v>
      </c>
      <c r="K4367" s="62" t="s">
        <v>24</v>
      </c>
      <c r="L4367" s="62" t="s">
        <v>1</v>
      </c>
      <c r="M4367" s="62">
        <v>46.588</v>
      </c>
      <c r="N4367" s="62">
        <v>0</v>
      </c>
    </row>
    <row r="4368" spans="9:14">
      <c r="I4368" s="62">
        <v>2022</v>
      </c>
      <c r="J4368" s="62">
        <v>5</v>
      </c>
      <c r="K4368" s="62" t="s">
        <v>24</v>
      </c>
      <c r="L4368" s="62" t="s">
        <v>1</v>
      </c>
      <c r="M4368" s="62">
        <v>7.0345</v>
      </c>
      <c r="N4368" s="62">
        <v>0</v>
      </c>
    </row>
    <row r="4369" spans="9:14">
      <c r="I4369" s="62">
        <v>2022</v>
      </c>
      <c r="J4369" s="62">
        <v>6</v>
      </c>
      <c r="K4369" s="62" t="s">
        <v>24</v>
      </c>
      <c r="L4369" s="62" t="s">
        <v>1</v>
      </c>
      <c r="M4369" s="62">
        <v>2.5</v>
      </c>
      <c r="N4369" s="62">
        <v>0</v>
      </c>
    </row>
    <row r="4370" spans="9:14">
      <c r="I4370" s="62">
        <v>2022</v>
      </c>
      <c r="J4370" s="62">
        <v>7</v>
      </c>
      <c r="K4370" s="62" t="s">
        <v>24</v>
      </c>
      <c r="L4370" s="62" t="s">
        <v>1</v>
      </c>
      <c r="M4370" s="62">
        <v>9.5875</v>
      </c>
      <c r="N4370" s="62">
        <v>0</v>
      </c>
    </row>
    <row r="4371" spans="9:14">
      <c r="I4371" s="62">
        <v>2022</v>
      </c>
      <c r="J4371" s="62">
        <v>8</v>
      </c>
      <c r="K4371" s="62" t="s">
        <v>24</v>
      </c>
      <c r="L4371" s="62" t="s">
        <v>1</v>
      </c>
      <c r="M4371" s="62">
        <v>12.464</v>
      </c>
      <c r="N4371" s="62">
        <v>0</v>
      </c>
    </row>
    <row r="4372" spans="9:14">
      <c r="I4372" s="62">
        <v>2022</v>
      </c>
      <c r="J4372" s="62">
        <v>9</v>
      </c>
      <c r="K4372" s="62" t="s">
        <v>24</v>
      </c>
      <c r="L4372" s="62" t="s">
        <v>1</v>
      </c>
      <c r="M4372" s="62">
        <v>4.933000000000001</v>
      </c>
      <c r="N4372" s="62">
        <v>0</v>
      </c>
    </row>
    <row r="4373" spans="9:14">
      <c r="I4373" s="62">
        <v>2022</v>
      </c>
      <c r="J4373" s="62">
        <v>10</v>
      </c>
      <c r="K4373" s="62" t="s">
        <v>24</v>
      </c>
      <c r="L4373" s="62" t="s">
        <v>1</v>
      </c>
      <c r="M4373" s="62">
        <v>2.8065</v>
      </c>
      <c r="N4373" s="62">
        <v>0</v>
      </c>
    </row>
    <row r="4374" spans="9:14">
      <c r="I4374" s="62">
        <v>2022</v>
      </c>
      <c r="J4374" s="62">
        <v>11</v>
      </c>
      <c r="K4374" s="62" t="s">
        <v>24</v>
      </c>
      <c r="L4374" s="62" t="s">
        <v>1</v>
      </c>
      <c r="M4374" s="62">
        <v>2.8</v>
      </c>
      <c r="N4374" s="62">
        <v>0</v>
      </c>
    </row>
    <row r="4375" spans="9:14">
      <c r="I4375" s="62">
        <v>2022</v>
      </c>
      <c r="J4375" s="62">
        <v>12</v>
      </c>
      <c r="K4375" s="62" t="s">
        <v>24</v>
      </c>
      <c r="L4375" s="62" t="s">
        <v>1</v>
      </c>
      <c r="M4375" s="62">
        <v>15.2878</v>
      </c>
      <c r="N4375" s="62">
        <v>0</v>
      </c>
    </row>
    <row r="4376" spans="9:14">
      <c r="I4376" s="62">
        <v>2023</v>
      </c>
      <c r="J4376" s="62">
        <v>1</v>
      </c>
      <c r="K4376" s="62" t="s">
        <v>24</v>
      </c>
      <c r="L4376" s="62" t="s">
        <v>1</v>
      </c>
      <c r="M4376" s="62">
        <v>21.1286</v>
      </c>
      <c r="N4376" s="62">
        <v>0</v>
      </c>
    </row>
    <row r="4377" spans="9:14">
      <c r="I4377" s="62">
        <v>2023</v>
      </c>
      <c r="J4377" s="62">
        <v>2</v>
      </c>
      <c r="K4377" s="62" t="s">
        <v>24</v>
      </c>
      <c r="L4377" s="62" t="s">
        <v>1</v>
      </c>
      <c r="M4377" s="62">
        <v>25</v>
      </c>
      <c r="N4377" s="62">
        <v>0</v>
      </c>
    </row>
    <row r="4378" spans="9:14">
      <c r="I4378" s="62">
        <v>2023</v>
      </c>
      <c r="J4378" s="62">
        <v>3</v>
      </c>
      <c r="K4378" s="62" t="s">
        <v>24</v>
      </c>
      <c r="L4378" s="62" t="s">
        <v>1</v>
      </c>
      <c r="M4378" s="62">
        <v>48.1225</v>
      </c>
      <c r="N4378" s="62">
        <v>0</v>
      </c>
    </row>
    <row r="4379" spans="9:14">
      <c r="I4379" s="62">
        <v>2023</v>
      </c>
      <c r="J4379" s="62">
        <v>4</v>
      </c>
      <c r="K4379" s="62" t="s">
        <v>24</v>
      </c>
      <c r="L4379" s="62" t="s">
        <v>1</v>
      </c>
      <c r="M4379" s="62">
        <v>42.5</v>
      </c>
      <c r="N4379" s="62">
        <v>0</v>
      </c>
    </row>
    <row r="4380" spans="9:14">
      <c r="I4380" s="62">
        <v>2023</v>
      </c>
      <c r="J4380" s="62">
        <v>5</v>
      </c>
      <c r="K4380" s="62" t="s">
        <v>24</v>
      </c>
      <c r="L4380" s="62" t="s">
        <v>1</v>
      </c>
      <c r="M4380" s="62">
        <v>15.1</v>
      </c>
      <c r="N4380" s="62">
        <v>0</v>
      </c>
    </row>
    <row r="4381" spans="9:14">
      <c r="I4381" s="62">
        <v>2023</v>
      </c>
      <c r="J4381" s="62">
        <v>6</v>
      </c>
      <c r="K4381" s="62" t="s">
        <v>24</v>
      </c>
      <c r="L4381" s="62" t="s">
        <v>1</v>
      </c>
      <c r="M4381" s="62">
        <v>6.097</v>
      </c>
      <c r="N4381" s="62">
        <v>0</v>
      </c>
    </row>
    <row r="4382" spans="9:14">
      <c r="I4382" s="62">
        <v>2023</v>
      </c>
      <c r="J4382" s="62">
        <v>7</v>
      </c>
      <c r="K4382" s="62" t="s">
        <v>24</v>
      </c>
      <c r="L4382" s="62" t="s">
        <v>1</v>
      </c>
      <c r="M4382" s="62">
        <v>3.1556</v>
      </c>
      <c r="N4382" s="62">
        <v>0</v>
      </c>
    </row>
    <row r="4383" spans="9:14">
      <c r="I4383" s="62">
        <v>2023</v>
      </c>
      <c r="J4383" s="62">
        <v>8</v>
      </c>
      <c r="K4383" s="62" t="s">
        <v>24</v>
      </c>
      <c r="L4383" s="62" t="s">
        <v>1</v>
      </c>
      <c r="M4383" s="62">
        <v>2.835</v>
      </c>
      <c r="N4383" s="62">
        <v>0</v>
      </c>
    </row>
    <row r="4384" spans="9:14">
      <c r="I4384" s="62">
        <v>2023</v>
      </c>
      <c r="J4384" s="62">
        <v>9</v>
      </c>
      <c r="K4384" s="62" t="s">
        <v>24</v>
      </c>
      <c r="L4384" s="62" t="s">
        <v>1</v>
      </c>
      <c r="M4384" s="62">
        <v>23.175</v>
      </c>
      <c r="N4384" s="62">
        <v>0</v>
      </c>
    </row>
    <row r="4385" spans="9:14">
      <c r="I4385" s="62">
        <v>2023</v>
      </c>
      <c r="J4385" s="62">
        <v>10</v>
      </c>
      <c r="K4385" s="62" t="s">
        <v>24</v>
      </c>
      <c r="L4385" s="62" t="s">
        <v>1</v>
      </c>
      <c r="M4385" s="62">
        <v>24.289</v>
      </c>
      <c r="N4385" s="62">
        <v>0</v>
      </c>
    </row>
    <row r="4386" spans="9:14">
      <c r="I4386" s="62">
        <v>2023</v>
      </c>
      <c r="J4386" s="62">
        <v>11</v>
      </c>
      <c r="K4386" s="62" t="s">
        <v>24</v>
      </c>
      <c r="L4386" s="62" t="s">
        <v>1</v>
      </c>
      <c r="M4386" s="62">
        <v>3.59</v>
      </c>
      <c r="N4386" s="62">
        <v>0</v>
      </c>
    </row>
    <row r="4387" spans="9:14">
      <c r="I4387" s="62">
        <v>2024</v>
      </c>
      <c r="J4387" s="62">
        <v>1</v>
      </c>
      <c r="K4387" s="62" t="s">
        <v>24</v>
      </c>
      <c r="L4387" s="62" t="s">
        <v>1</v>
      </c>
      <c r="M4387" s="62">
        <v>9.945</v>
      </c>
      <c r="N4387" s="62">
        <v>0</v>
      </c>
    </row>
    <row r="4388" spans="9:14">
      <c r="I4388" s="62">
        <v>2024</v>
      </c>
      <c r="J4388" s="62">
        <v>2</v>
      </c>
      <c r="K4388" s="62" t="s">
        <v>24</v>
      </c>
      <c r="L4388" s="62" t="s">
        <v>1</v>
      </c>
      <c r="M4388" s="62">
        <v>35.93</v>
      </c>
      <c r="N4388" s="62">
        <v>0</v>
      </c>
    </row>
    <row r="4389" spans="9:14">
      <c r="I4389" s="62">
        <v>2024</v>
      </c>
      <c r="J4389" s="62">
        <v>3</v>
      </c>
      <c r="K4389" s="62" t="s">
        <v>24</v>
      </c>
      <c r="L4389" s="62" t="s">
        <v>1</v>
      </c>
      <c r="M4389" s="62">
        <v>17.546</v>
      </c>
      <c r="N4389" s="62">
        <v>0</v>
      </c>
    </row>
    <row r="4390" spans="9:14">
      <c r="I4390" s="62">
        <v>2024</v>
      </c>
      <c r="J4390" s="62">
        <v>4</v>
      </c>
      <c r="K4390" s="62" t="s">
        <v>24</v>
      </c>
      <c r="L4390" s="62" t="s">
        <v>1</v>
      </c>
      <c r="M4390" s="62">
        <v>7.3244</v>
      </c>
      <c r="N4390" s="62">
        <v>0</v>
      </c>
    </row>
    <row r="4391" spans="9:14">
      <c r="I4391" s="62">
        <v>2024</v>
      </c>
      <c r="J4391" s="62">
        <v>5</v>
      </c>
      <c r="K4391" s="62" t="s">
        <v>24</v>
      </c>
      <c r="L4391" s="62" t="s">
        <v>1</v>
      </c>
      <c r="M4391" s="62">
        <v>7.98</v>
      </c>
      <c r="N4391" s="62">
        <v>0</v>
      </c>
    </row>
    <row r="4392" spans="9:14">
      <c r="I4392" s="62">
        <v>2024</v>
      </c>
      <c r="J4392" s="62">
        <v>6</v>
      </c>
      <c r="K4392" s="62" t="s">
        <v>24</v>
      </c>
      <c r="L4392" s="62" t="s">
        <v>1</v>
      </c>
      <c r="M4392" s="62">
        <v>3.927</v>
      </c>
      <c r="N4392" s="62">
        <v>0</v>
      </c>
    </row>
    <row r="4393" spans="9:14">
      <c r="I4393" s="62">
        <v>2024</v>
      </c>
      <c r="J4393" s="62">
        <v>7</v>
      </c>
      <c r="K4393" s="62" t="s">
        <v>24</v>
      </c>
      <c r="L4393" s="62" t="s">
        <v>1</v>
      </c>
      <c r="M4393" s="62">
        <v>8.32</v>
      </c>
      <c r="N4393" s="62">
        <v>0</v>
      </c>
    </row>
    <row r="4394" spans="9:14">
      <c r="I4394" s="62">
        <v>2024</v>
      </c>
      <c r="J4394" s="62">
        <v>8</v>
      </c>
      <c r="K4394" s="62" t="s">
        <v>24</v>
      </c>
      <c r="L4394" s="62" t="s">
        <v>1</v>
      </c>
      <c r="M4394" s="62">
        <v>3.972</v>
      </c>
      <c r="N4394" s="62">
        <v>0</v>
      </c>
    </row>
    <row r="4395" spans="9:14">
      <c r="I4395" s="62">
        <v>2024</v>
      </c>
      <c r="J4395" s="62">
        <v>9</v>
      </c>
      <c r="K4395" s="62" t="s">
        <v>24</v>
      </c>
      <c r="L4395" s="62" t="s">
        <v>1</v>
      </c>
      <c r="M4395" s="62">
        <v>1.7</v>
      </c>
      <c r="N4395" s="62">
        <v>0</v>
      </c>
    </row>
    <row r="4396" spans="9:14">
      <c r="I4396" s="62">
        <v>2024</v>
      </c>
      <c r="J4396" s="62">
        <v>10</v>
      </c>
      <c r="K4396" s="62" t="s">
        <v>24</v>
      </c>
      <c r="L4396" s="62" t="s">
        <v>1</v>
      </c>
      <c r="M4396" s="62">
        <v>12.72</v>
      </c>
      <c r="N4396" s="62">
        <v>0</v>
      </c>
    </row>
    <row r="4397" spans="9:14">
      <c r="I4397" s="62">
        <v>2024</v>
      </c>
      <c r="J4397" s="62">
        <v>11</v>
      </c>
      <c r="K4397" s="62" t="s">
        <v>24</v>
      </c>
      <c r="L4397" s="62" t="s">
        <v>1</v>
      </c>
      <c r="M4397" s="62">
        <v>11.85</v>
      </c>
      <c r="N4397" s="62">
        <v>0</v>
      </c>
    </row>
    <row r="4398" spans="9:14">
      <c r="I4398" s="62">
        <v>2024</v>
      </c>
      <c r="J4398" s="62">
        <v>12</v>
      </c>
      <c r="K4398" s="62" t="s">
        <v>24</v>
      </c>
      <c r="L4398" s="62" t="s">
        <v>1</v>
      </c>
      <c r="M4398" s="62">
        <v>0.102</v>
      </c>
      <c r="N4398" s="62">
        <v>0</v>
      </c>
    </row>
    <row r="4399" spans="9:14">
      <c r="I4399" s="62">
        <v>2025</v>
      </c>
      <c r="J4399" s="62">
        <v>1</v>
      </c>
      <c r="K4399" s="62" t="s">
        <v>24</v>
      </c>
      <c r="L4399" s="62" t="s">
        <v>1</v>
      </c>
      <c r="M4399" s="62">
        <v>21.824</v>
      </c>
      <c r="N4399" s="62">
        <v>0</v>
      </c>
    </row>
    <row r="4400" spans="9:14">
      <c r="I4400" s="62">
        <v>2025</v>
      </c>
      <c r="J4400" s="62">
        <v>2</v>
      </c>
      <c r="K4400" s="62" t="s">
        <v>24</v>
      </c>
      <c r="L4400" s="62" t="s">
        <v>1</v>
      </c>
      <c r="M4400" s="62">
        <v>35.26</v>
      </c>
      <c r="N4400" s="62">
        <v>0</v>
      </c>
    </row>
    <row r="4401" spans="9:14">
      <c r="I4401" s="62">
        <v>2025</v>
      </c>
      <c r="J4401" s="62">
        <v>3</v>
      </c>
      <c r="K4401" s="62" t="s">
        <v>24</v>
      </c>
      <c r="L4401" s="62" t="s">
        <v>1</v>
      </c>
      <c r="M4401" s="62">
        <v>60.653</v>
      </c>
      <c r="N4401" s="62">
        <v>0</v>
      </c>
    </row>
    <row r="4402" spans="9:14">
      <c r="I4402" s="62">
        <v>2025</v>
      </c>
      <c r="J4402" s="62">
        <v>4</v>
      </c>
      <c r="K4402" s="62" t="s">
        <v>24</v>
      </c>
      <c r="L4402" s="62" t="s">
        <v>1</v>
      </c>
      <c r="M4402" s="62">
        <v>84.571</v>
      </c>
      <c r="N4402" s="62">
        <v>0</v>
      </c>
    </row>
    <row r="4403" spans="9:14">
      <c r="I4403" s="62">
        <v>2025</v>
      </c>
      <c r="J4403" s="62">
        <v>5</v>
      </c>
      <c r="K4403" s="62" t="s">
        <v>24</v>
      </c>
      <c r="L4403" s="62" t="s">
        <v>1</v>
      </c>
      <c r="M4403" s="62">
        <v>19.2624</v>
      </c>
      <c r="N4403" s="62">
        <v>0</v>
      </c>
    </row>
    <row r="4404" spans="9:14">
      <c r="I4404" s="62">
        <v>2025</v>
      </c>
      <c r="J4404" s="62">
        <v>6</v>
      </c>
      <c r="K4404" s="62" t="s">
        <v>24</v>
      </c>
      <c r="L4404" s="62" t="s">
        <v>1</v>
      </c>
      <c r="M4404" s="62">
        <v>9.5466</v>
      </c>
      <c r="N4404" s="62">
        <v>0</v>
      </c>
    </row>
    <row r="4405" spans="9:14">
      <c r="I4405" s="62">
        <v>2025</v>
      </c>
      <c r="J4405" s="62">
        <v>7</v>
      </c>
      <c r="K4405" s="62" t="s">
        <v>24</v>
      </c>
      <c r="L4405" s="62" t="s">
        <v>1</v>
      </c>
      <c r="M4405" s="62">
        <v>0.8282</v>
      </c>
      <c r="N4405" s="62">
        <v>0</v>
      </c>
    </row>
    <row r="4406" spans="9:14">
      <c r="I4406" s="62">
        <v>2025</v>
      </c>
      <c r="J4406" s="62">
        <v>8</v>
      </c>
      <c r="K4406" s="62" t="s">
        <v>24</v>
      </c>
      <c r="L4406" s="62" t="s">
        <v>1</v>
      </c>
      <c r="M4406" s="62">
        <v>5.552</v>
      </c>
      <c r="N4406" s="62">
        <v>0</v>
      </c>
    </row>
    <row r="4407" spans="9:14">
      <c r="I4407" s="62">
        <v>2025</v>
      </c>
      <c r="J4407" s="62">
        <v>9</v>
      </c>
      <c r="K4407" s="62" t="s">
        <v>24</v>
      </c>
      <c r="L4407" s="62" t="s">
        <v>1</v>
      </c>
      <c r="M4407" s="62">
        <v>0.89</v>
      </c>
      <c r="N4407" s="62">
        <v>0</v>
      </c>
    </row>
    <row r="4408" spans="9:14">
      <c r="I4408" s="62">
        <v>2025</v>
      </c>
      <c r="J4408" s="62">
        <v>10</v>
      </c>
      <c r="K4408" s="62" t="s">
        <v>24</v>
      </c>
      <c r="L4408" s="62" t="s">
        <v>1</v>
      </c>
      <c r="M4408" s="62">
        <v>13.817</v>
      </c>
      <c r="N4408" s="62">
        <v>0</v>
      </c>
    </row>
    <row r="4409" spans="9:14">
      <c r="I4409" s="62">
        <v>2025</v>
      </c>
      <c r="J4409" s="62">
        <v>11</v>
      </c>
      <c r="K4409" s="62" t="s">
        <v>24</v>
      </c>
      <c r="L4409" s="62" t="s">
        <v>1</v>
      </c>
      <c r="M4409" s="62">
        <v>4.13</v>
      </c>
      <c r="N4409" s="62">
        <v>0</v>
      </c>
    </row>
    <row r="4410" spans="9:14">
      <c r="I4410" s="62">
        <v>2025</v>
      </c>
      <c r="J4410" s="62">
        <v>12</v>
      </c>
      <c r="K4410" s="62" t="s">
        <v>24</v>
      </c>
      <c r="L4410" s="62" t="s">
        <v>1</v>
      </c>
      <c r="M4410" s="62">
        <v>0.53</v>
      </c>
      <c r="N4410" s="62">
        <v>0</v>
      </c>
    </row>
    <row r="4411" spans="9:14">
      <c r="I4411" s="62">
        <v>2026</v>
      </c>
      <c r="J4411" s="62">
        <v>1</v>
      </c>
      <c r="K4411" s="62" t="s">
        <v>24</v>
      </c>
      <c r="L4411" s="62" t="s">
        <v>1</v>
      </c>
      <c r="M4411" s="62">
        <v>9.1</v>
      </c>
      <c r="N4411" s="62">
        <v>0</v>
      </c>
    </row>
    <row r="4412" spans="9:14">
      <c r="I4412" s="62">
        <v>2026</v>
      </c>
      <c r="J4412" s="62">
        <v>2</v>
      </c>
      <c r="K4412" s="62" t="s">
        <v>24</v>
      </c>
      <c r="L4412" s="62" t="s">
        <v>1</v>
      </c>
      <c r="M4412" s="62">
        <v>6.44</v>
      </c>
      <c r="N4412" s="62">
        <v>0</v>
      </c>
    </row>
    <row r="4413" spans="9:14">
      <c r="I4413" s="62">
        <v>2026</v>
      </c>
      <c r="J4413" s="62">
        <v>3</v>
      </c>
      <c r="K4413" s="62" t="s">
        <v>24</v>
      </c>
      <c r="L4413" s="62" t="s">
        <v>1</v>
      </c>
      <c r="M4413" s="62">
        <v>12.555</v>
      </c>
      <c r="N4413" s="62">
        <v>0</v>
      </c>
    </row>
    <row r="4414" spans="9:14">
      <c r="I4414" s="62">
        <v>2026</v>
      </c>
      <c r="J4414" s="62">
        <v>4</v>
      </c>
      <c r="K4414" s="62" t="s">
        <v>24</v>
      </c>
      <c r="L4414" s="62" t="s">
        <v>1</v>
      </c>
      <c r="M4414" s="62">
        <v>25.137</v>
      </c>
      <c r="N4414" s="62">
        <v>0</v>
      </c>
    </row>
    <row r="4415" spans="9:14">
      <c r="I4415" s="62">
        <v>2026</v>
      </c>
      <c r="J4415" s="62">
        <v>5</v>
      </c>
      <c r="K4415" s="62" t="s">
        <v>24</v>
      </c>
      <c r="L4415" s="62" t="s">
        <v>1</v>
      </c>
      <c r="M4415" s="62">
        <v>13.613</v>
      </c>
      <c r="N4415" s="62">
        <v>0</v>
      </c>
    </row>
    <row r="4416" spans="9:14">
      <c r="I4416" s="62">
        <v>2026</v>
      </c>
      <c r="J4416" s="62">
        <v>6</v>
      </c>
      <c r="K4416" s="62" t="s">
        <v>24</v>
      </c>
      <c r="L4416" s="62" t="s">
        <v>1</v>
      </c>
      <c r="M4416" s="62">
        <v>6.2</v>
      </c>
      <c r="N4416" s="62">
        <v>0</v>
      </c>
    </row>
    <row r="4417" spans="9:14">
      <c r="I4417" s="62">
        <v>2026</v>
      </c>
      <c r="J4417" s="62">
        <v>7</v>
      </c>
      <c r="K4417" s="62" t="s">
        <v>24</v>
      </c>
      <c r="L4417" s="62" t="s">
        <v>1</v>
      </c>
      <c r="M4417" s="62">
        <v>3.5</v>
      </c>
      <c r="N4417" s="62">
        <v>0</v>
      </c>
    </row>
    <row r="4418" spans="9:14">
      <c r="I4418" s="62">
        <v>2026</v>
      </c>
      <c r="J4418" s="62">
        <v>8</v>
      </c>
      <c r="K4418" s="62" t="s">
        <v>24</v>
      </c>
      <c r="L4418" s="62" t="s">
        <v>1</v>
      </c>
      <c r="M4418" s="62">
        <v>3.695</v>
      </c>
      <c r="N4418" s="62">
        <v>0</v>
      </c>
    </row>
    <row r="4419" spans="9:14">
      <c r="I4419" s="62">
        <v>2026</v>
      </c>
      <c r="J4419" s="62">
        <v>9</v>
      </c>
      <c r="K4419" s="62" t="s">
        <v>24</v>
      </c>
      <c r="L4419" s="62" t="s">
        <v>1</v>
      </c>
      <c r="M4419" s="62">
        <v>5</v>
      </c>
      <c r="N4419" s="62">
        <v>0</v>
      </c>
    </row>
    <row r="4420" spans="9:14">
      <c r="I4420" s="62">
        <v>2026</v>
      </c>
      <c r="J4420" s="62">
        <v>10</v>
      </c>
      <c r="K4420" s="62" t="s">
        <v>24</v>
      </c>
      <c r="L4420" s="62" t="s">
        <v>1</v>
      </c>
      <c r="M4420" s="62">
        <v>24.589</v>
      </c>
      <c r="N4420" s="62">
        <v>0</v>
      </c>
    </row>
    <row r="4421" spans="9:14">
      <c r="I4421" s="62">
        <v>2026</v>
      </c>
      <c r="J4421" s="62">
        <v>11</v>
      </c>
      <c r="K4421" s="62" t="s">
        <v>24</v>
      </c>
      <c r="L4421" s="62" t="s">
        <v>1</v>
      </c>
      <c r="M4421" s="62">
        <v>22.26</v>
      </c>
      <c r="N4421" s="62">
        <v>0</v>
      </c>
    </row>
    <row r="4422" spans="9:14">
      <c r="I4422" s="62">
        <v>2026</v>
      </c>
      <c r="J4422" s="62">
        <v>12</v>
      </c>
      <c r="K4422" s="62" t="s">
        <v>24</v>
      </c>
      <c r="L4422" s="62" t="s">
        <v>1</v>
      </c>
      <c r="M4422" s="62">
        <v>3.5</v>
      </c>
      <c r="N4422" s="62">
        <v>0</v>
      </c>
    </row>
    <row r="4423" spans="9:14">
      <c r="I4423" s="62">
        <v>2027</v>
      </c>
      <c r="J4423" s="62">
        <v>1</v>
      </c>
      <c r="K4423" s="62" t="s">
        <v>24</v>
      </c>
      <c r="L4423" s="62" t="s">
        <v>1</v>
      </c>
      <c r="M4423" s="62">
        <v>3.5</v>
      </c>
      <c r="N4423" s="62">
        <v>0</v>
      </c>
    </row>
    <row r="4424" spans="9:14">
      <c r="I4424" s="62">
        <v>2027</v>
      </c>
      <c r="J4424" s="62">
        <v>2</v>
      </c>
      <c r="K4424" s="62" t="s">
        <v>24</v>
      </c>
      <c r="L4424" s="62" t="s">
        <v>1</v>
      </c>
      <c r="M4424" s="62">
        <v>8.66</v>
      </c>
      <c r="N4424" s="62">
        <v>0</v>
      </c>
    </row>
    <row r="4425" spans="9:14">
      <c r="I4425" s="62">
        <v>2027</v>
      </c>
      <c r="J4425" s="62">
        <v>3</v>
      </c>
      <c r="K4425" s="62" t="s">
        <v>24</v>
      </c>
      <c r="L4425" s="62" t="s">
        <v>1</v>
      </c>
      <c r="M4425" s="62">
        <v>27.855</v>
      </c>
      <c r="N4425" s="62">
        <v>0</v>
      </c>
    </row>
    <row r="4426" spans="9:14">
      <c r="I4426" s="62">
        <v>2027</v>
      </c>
      <c r="J4426" s="62">
        <v>4</v>
      </c>
      <c r="K4426" s="62" t="s">
        <v>24</v>
      </c>
      <c r="L4426" s="62" t="s">
        <v>1</v>
      </c>
      <c r="M4426" s="62">
        <v>20.009</v>
      </c>
      <c r="N4426" s="62">
        <v>0</v>
      </c>
    </row>
    <row r="4427" spans="9:14">
      <c r="I4427" s="62">
        <v>2027</v>
      </c>
      <c r="J4427" s="62">
        <v>5</v>
      </c>
      <c r="K4427" s="62" t="s">
        <v>24</v>
      </c>
      <c r="L4427" s="62" t="s">
        <v>1</v>
      </c>
      <c r="M4427" s="62">
        <v>6.792</v>
      </c>
      <c r="N4427" s="62">
        <v>0</v>
      </c>
    </row>
    <row r="4428" spans="9:14">
      <c r="I4428" s="62">
        <v>2027</v>
      </c>
      <c r="J4428" s="62">
        <v>6</v>
      </c>
      <c r="K4428" s="62" t="s">
        <v>24</v>
      </c>
      <c r="L4428" s="62" t="s">
        <v>1</v>
      </c>
      <c r="M4428" s="62">
        <v>3.5</v>
      </c>
      <c r="N4428" s="62">
        <v>0</v>
      </c>
    </row>
    <row r="4429" spans="9:14">
      <c r="I4429" s="62">
        <v>2027</v>
      </c>
      <c r="J4429" s="62">
        <v>7</v>
      </c>
      <c r="K4429" s="62" t="s">
        <v>24</v>
      </c>
      <c r="L4429" s="62" t="s">
        <v>1</v>
      </c>
      <c r="M4429" s="62">
        <v>3.5</v>
      </c>
      <c r="N4429" s="62">
        <v>0</v>
      </c>
    </row>
    <row r="4430" spans="9:14">
      <c r="I4430" s="62">
        <v>2027</v>
      </c>
      <c r="J4430" s="62">
        <v>8</v>
      </c>
      <c r="K4430" s="62" t="s">
        <v>24</v>
      </c>
      <c r="L4430" s="62" t="s">
        <v>1</v>
      </c>
      <c r="M4430" s="62">
        <v>3.5</v>
      </c>
      <c r="N4430" s="62">
        <v>0</v>
      </c>
    </row>
    <row r="4431" spans="9:14">
      <c r="I4431" s="62">
        <v>2027</v>
      </c>
      <c r="J4431" s="62">
        <v>9</v>
      </c>
      <c r="K4431" s="62" t="s">
        <v>24</v>
      </c>
      <c r="L4431" s="62" t="s">
        <v>1</v>
      </c>
      <c r="M4431" s="62">
        <v>14.61</v>
      </c>
      <c r="N4431" s="62">
        <v>0</v>
      </c>
    </row>
    <row r="4432" spans="9:14">
      <c r="I4432" s="62">
        <v>2027</v>
      </c>
      <c r="J4432" s="62">
        <v>10</v>
      </c>
      <c r="K4432" s="62" t="s">
        <v>24</v>
      </c>
      <c r="L4432" s="62" t="s">
        <v>1</v>
      </c>
      <c r="M4432" s="62">
        <v>21.4</v>
      </c>
      <c r="N4432" s="62">
        <v>0</v>
      </c>
    </row>
    <row r="4433" spans="9:14">
      <c r="I4433" s="62">
        <v>2027</v>
      </c>
      <c r="J4433" s="62">
        <v>11</v>
      </c>
      <c r="K4433" s="62" t="s">
        <v>24</v>
      </c>
      <c r="L4433" s="62" t="s">
        <v>1</v>
      </c>
      <c r="M4433" s="62">
        <v>3.5</v>
      </c>
      <c r="N4433" s="62">
        <v>0</v>
      </c>
    </row>
    <row r="4434" spans="9:14">
      <c r="I4434" s="62">
        <v>2027</v>
      </c>
      <c r="J4434" s="62">
        <v>12</v>
      </c>
      <c r="K4434" s="62" t="s">
        <v>24</v>
      </c>
      <c r="L4434" s="62" t="s">
        <v>1</v>
      </c>
      <c r="M4434" s="62">
        <v>3.5</v>
      </c>
      <c r="N4434" s="62">
        <v>0</v>
      </c>
    </row>
    <row r="4435" spans="9:14">
      <c r="I4435" s="62">
        <v>2014</v>
      </c>
      <c r="J4435" s="62">
        <v>1</v>
      </c>
      <c r="K4435" s="62" t="s">
        <v>24</v>
      </c>
      <c r="L4435" s="62" t="s">
        <v>2</v>
      </c>
      <c r="M4435" s="62">
        <v>6.455</v>
      </c>
      <c r="N4435" s="62">
        <v>0</v>
      </c>
    </row>
    <row r="4436" spans="9:14">
      <c r="I4436" s="62">
        <v>2014</v>
      </c>
      <c r="J4436" s="62">
        <v>2</v>
      </c>
      <c r="K4436" s="62" t="s">
        <v>24</v>
      </c>
      <c r="L4436" s="62" t="s">
        <v>2</v>
      </c>
      <c r="M4436" s="62">
        <v>7.59</v>
      </c>
      <c r="N4436" s="62">
        <v>0</v>
      </c>
    </row>
    <row r="4437" spans="9:14">
      <c r="I4437" s="62">
        <v>2014</v>
      </c>
      <c r="J4437" s="62">
        <v>3</v>
      </c>
      <c r="K4437" s="62" t="s">
        <v>24</v>
      </c>
      <c r="L4437" s="62" t="s">
        <v>2</v>
      </c>
      <c r="M4437" s="62">
        <v>23.68</v>
      </c>
      <c r="N4437" s="62">
        <v>0</v>
      </c>
    </row>
    <row r="4438" spans="9:14">
      <c r="I4438" s="62">
        <v>2014</v>
      </c>
      <c r="J4438" s="62">
        <v>4</v>
      </c>
      <c r="K4438" s="62" t="s">
        <v>24</v>
      </c>
      <c r="L4438" s="62" t="s">
        <v>2</v>
      </c>
      <c r="M4438" s="62">
        <v>22.325</v>
      </c>
      <c r="N4438" s="62">
        <v>0</v>
      </c>
    </row>
    <row r="4439" spans="9:14">
      <c r="I4439" s="62">
        <v>2014</v>
      </c>
      <c r="J4439" s="62">
        <v>5</v>
      </c>
      <c r="K4439" s="62" t="s">
        <v>24</v>
      </c>
      <c r="L4439" s="62" t="s">
        <v>2</v>
      </c>
      <c r="M4439" s="62">
        <v>0.27</v>
      </c>
      <c r="N4439" s="62">
        <v>0</v>
      </c>
    </row>
    <row r="4440" spans="9:14">
      <c r="I4440" s="62">
        <v>2014</v>
      </c>
      <c r="J4440" s="62">
        <v>9</v>
      </c>
      <c r="K4440" s="62" t="s">
        <v>24</v>
      </c>
      <c r="L4440" s="62" t="s">
        <v>2</v>
      </c>
      <c r="M4440" s="62">
        <v>3.82</v>
      </c>
      <c r="N4440" s="62">
        <v>0</v>
      </c>
    </row>
    <row r="4441" spans="9:14">
      <c r="I4441" s="62">
        <v>2014</v>
      </c>
      <c r="J4441" s="62">
        <v>10</v>
      </c>
      <c r="K4441" s="62" t="s">
        <v>24</v>
      </c>
      <c r="L4441" s="62" t="s">
        <v>2</v>
      </c>
      <c r="M4441" s="62">
        <v>21.05</v>
      </c>
      <c r="N4441" s="62">
        <v>0</v>
      </c>
    </row>
    <row r="4442" spans="9:14">
      <c r="I4442" s="62">
        <v>2014</v>
      </c>
      <c r="J4442" s="62">
        <v>11</v>
      </c>
      <c r="K4442" s="62" t="s">
        <v>24</v>
      </c>
      <c r="L4442" s="62" t="s">
        <v>2</v>
      </c>
      <c r="M4442" s="62">
        <v>10</v>
      </c>
      <c r="N4442" s="62">
        <v>0</v>
      </c>
    </row>
    <row r="4443" spans="9:14">
      <c r="I4443" s="62">
        <v>2014</v>
      </c>
      <c r="J4443" s="62">
        <v>12</v>
      </c>
      <c r="K4443" s="62" t="s">
        <v>24</v>
      </c>
      <c r="L4443" s="62" t="s">
        <v>2</v>
      </c>
      <c r="M4443" s="62">
        <v>0.4525</v>
      </c>
      <c r="N4443" s="62">
        <v>0</v>
      </c>
    </row>
    <row r="4444" spans="9:14">
      <c r="I4444" s="62">
        <v>2015</v>
      </c>
      <c r="J4444" s="62">
        <v>1</v>
      </c>
      <c r="K4444" s="62" t="s">
        <v>24</v>
      </c>
      <c r="L4444" s="62" t="s">
        <v>2</v>
      </c>
      <c r="M4444" s="62">
        <v>1.769</v>
      </c>
      <c r="N4444" s="62">
        <v>0</v>
      </c>
    </row>
    <row r="4445" spans="9:14">
      <c r="I4445" s="62">
        <v>2015</v>
      </c>
      <c r="J4445" s="62">
        <v>2</v>
      </c>
      <c r="K4445" s="62" t="s">
        <v>24</v>
      </c>
      <c r="L4445" s="62" t="s">
        <v>2</v>
      </c>
      <c r="M4445" s="62">
        <v>5.21</v>
      </c>
      <c r="N4445" s="62">
        <v>0</v>
      </c>
    </row>
    <row r="4446" spans="9:14">
      <c r="I4446" s="62">
        <v>2015</v>
      </c>
      <c r="J4446" s="62">
        <v>3</v>
      </c>
      <c r="K4446" s="62" t="s">
        <v>24</v>
      </c>
      <c r="L4446" s="62" t="s">
        <v>2</v>
      </c>
      <c r="M4446" s="62">
        <v>9.85</v>
      </c>
      <c r="N4446" s="62">
        <v>0</v>
      </c>
    </row>
    <row r="4447" spans="9:14">
      <c r="I4447" s="62">
        <v>2015</v>
      </c>
      <c r="J4447" s="62">
        <v>4</v>
      </c>
      <c r="K4447" s="62" t="s">
        <v>24</v>
      </c>
      <c r="L4447" s="62" t="s">
        <v>2</v>
      </c>
      <c r="M4447" s="62">
        <v>41</v>
      </c>
      <c r="N4447" s="62">
        <v>0</v>
      </c>
    </row>
    <row r="4448" spans="9:14">
      <c r="I4448" s="62">
        <v>2015</v>
      </c>
      <c r="J4448" s="62">
        <v>5</v>
      </c>
      <c r="K4448" s="62" t="s">
        <v>24</v>
      </c>
      <c r="L4448" s="62" t="s">
        <v>2</v>
      </c>
      <c r="M4448" s="62">
        <v>41.156</v>
      </c>
      <c r="N4448" s="62">
        <v>0</v>
      </c>
    </row>
    <row r="4449" spans="9:14">
      <c r="I4449" s="62">
        <v>2015</v>
      </c>
      <c r="J4449" s="62">
        <v>6</v>
      </c>
      <c r="K4449" s="62" t="s">
        <v>24</v>
      </c>
      <c r="L4449" s="62" t="s">
        <v>2</v>
      </c>
      <c r="M4449" s="62">
        <v>15.345</v>
      </c>
      <c r="N4449" s="62">
        <v>0</v>
      </c>
    </row>
    <row r="4450" spans="9:14">
      <c r="I4450" s="62">
        <v>2015</v>
      </c>
      <c r="J4450" s="62">
        <v>7</v>
      </c>
      <c r="K4450" s="62" t="s">
        <v>24</v>
      </c>
      <c r="L4450" s="62" t="s">
        <v>2</v>
      </c>
      <c r="M4450" s="62">
        <v>13.81</v>
      </c>
      <c r="N4450" s="62">
        <v>0</v>
      </c>
    </row>
    <row r="4451" spans="9:14">
      <c r="I4451" s="62">
        <v>2015</v>
      </c>
      <c r="J4451" s="62">
        <v>8</v>
      </c>
      <c r="K4451" s="62" t="s">
        <v>24</v>
      </c>
      <c r="L4451" s="62" t="s">
        <v>2</v>
      </c>
      <c r="M4451" s="62">
        <v>18.15</v>
      </c>
      <c r="N4451" s="62">
        <v>0</v>
      </c>
    </row>
    <row r="4452" spans="9:14">
      <c r="I4452" s="62">
        <v>2015</v>
      </c>
      <c r="J4452" s="62">
        <v>9</v>
      </c>
      <c r="K4452" s="62" t="s">
        <v>24</v>
      </c>
      <c r="L4452" s="62" t="s">
        <v>2</v>
      </c>
      <c r="M4452" s="62">
        <v>27.85</v>
      </c>
      <c r="N4452" s="62">
        <v>0</v>
      </c>
    </row>
    <row r="4453" spans="9:14">
      <c r="I4453" s="62">
        <v>2015</v>
      </c>
      <c r="J4453" s="62">
        <v>10</v>
      </c>
      <c r="K4453" s="62" t="s">
        <v>24</v>
      </c>
      <c r="L4453" s="62" t="s">
        <v>2</v>
      </c>
      <c r="M4453" s="62">
        <v>24.148</v>
      </c>
      <c r="N4453" s="62">
        <v>0</v>
      </c>
    </row>
    <row r="4454" spans="9:14">
      <c r="I4454" s="62">
        <v>2015</v>
      </c>
      <c r="J4454" s="62">
        <v>11</v>
      </c>
      <c r="K4454" s="62" t="s">
        <v>24</v>
      </c>
      <c r="L4454" s="62" t="s">
        <v>2</v>
      </c>
      <c r="M4454" s="62">
        <v>19.635</v>
      </c>
      <c r="N4454" s="62">
        <v>0</v>
      </c>
    </row>
    <row r="4455" spans="9:14">
      <c r="I4455" s="62">
        <v>2015</v>
      </c>
      <c r="J4455" s="62">
        <v>12</v>
      </c>
      <c r="K4455" s="62" t="s">
        <v>24</v>
      </c>
      <c r="L4455" s="62" t="s">
        <v>2</v>
      </c>
      <c r="M4455" s="62">
        <v>14.79</v>
      </c>
      <c r="N4455" s="62">
        <v>0</v>
      </c>
    </row>
    <row r="4456" spans="9:14">
      <c r="I4456" s="62">
        <v>2016</v>
      </c>
      <c r="J4456" s="62">
        <v>1</v>
      </c>
      <c r="K4456" s="62" t="s">
        <v>24</v>
      </c>
      <c r="L4456" s="62" t="s">
        <v>2</v>
      </c>
      <c r="M4456" s="62">
        <v>0.138</v>
      </c>
      <c r="N4456" s="62">
        <v>0</v>
      </c>
    </row>
    <row r="4457" spans="9:14">
      <c r="I4457" s="62">
        <v>2016</v>
      </c>
      <c r="J4457" s="62">
        <v>2</v>
      </c>
      <c r="K4457" s="62" t="s">
        <v>24</v>
      </c>
      <c r="L4457" s="62" t="s">
        <v>2</v>
      </c>
      <c r="M4457" s="62">
        <v>1.958</v>
      </c>
      <c r="N4457" s="62">
        <v>0</v>
      </c>
    </row>
    <row r="4458" spans="9:14">
      <c r="I4458" s="62">
        <v>2016</v>
      </c>
      <c r="J4458" s="62">
        <v>3</v>
      </c>
      <c r="K4458" s="62" t="s">
        <v>24</v>
      </c>
      <c r="L4458" s="62" t="s">
        <v>2</v>
      </c>
      <c r="M4458" s="62">
        <v>2.1538</v>
      </c>
      <c r="N4458" s="62">
        <v>0</v>
      </c>
    </row>
    <row r="4459" spans="9:14">
      <c r="I4459" s="62">
        <v>2016</v>
      </c>
      <c r="J4459" s="62">
        <v>4</v>
      </c>
      <c r="K4459" s="62" t="s">
        <v>24</v>
      </c>
      <c r="L4459" s="62" t="s">
        <v>2</v>
      </c>
      <c r="M4459" s="62">
        <v>3.1805</v>
      </c>
      <c r="N4459" s="62">
        <v>0</v>
      </c>
    </row>
    <row r="4460" spans="9:14">
      <c r="I4460" s="62">
        <v>2016</v>
      </c>
      <c r="J4460" s="62">
        <v>5</v>
      </c>
      <c r="K4460" s="62" t="s">
        <v>24</v>
      </c>
      <c r="L4460" s="62" t="s">
        <v>2</v>
      </c>
      <c r="M4460" s="62">
        <v>4.3815</v>
      </c>
      <c r="N4460" s="62">
        <v>0</v>
      </c>
    </row>
    <row r="4461" spans="9:14">
      <c r="I4461" s="62">
        <v>2016</v>
      </c>
      <c r="J4461" s="62">
        <v>9</v>
      </c>
      <c r="K4461" s="62" t="s">
        <v>24</v>
      </c>
      <c r="L4461" s="62" t="s">
        <v>2</v>
      </c>
      <c r="M4461" s="62">
        <v>6.1964</v>
      </c>
      <c r="N4461" s="62">
        <v>0</v>
      </c>
    </row>
    <row r="4462" spans="9:14">
      <c r="I4462" s="62">
        <v>2016</v>
      </c>
      <c r="J4462" s="62">
        <v>10</v>
      </c>
      <c r="K4462" s="62" t="s">
        <v>24</v>
      </c>
      <c r="L4462" s="62" t="s">
        <v>2</v>
      </c>
      <c r="M4462" s="62">
        <v>36.28</v>
      </c>
      <c r="N4462" s="62">
        <v>0</v>
      </c>
    </row>
    <row r="4463" spans="9:14">
      <c r="I4463" s="62">
        <v>2016</v>
      </c>
      <c r="J4463" s="62">
        <v>11</v>
      </c>
      <c r="K4463" s="62" t="s">
        <v>24</v>
      </c>
      <c r="L4463" s="62" t="s">
        <v>2</v>
      </c>
      <c r="M4463" s="62">
        <v>0.768</v>
      </c>
      <c r="N4463" s="62">
        <v>0</v>
      </c>
    </row>
    <row r="4464" spans="9:14">
      <c r="I4464" s="62">
        <v>2017</v>
      </c>
      <c r="J4464" s="62">
        <v>1</v>
      </c>
      <c r="K4464" s="62" t="s">
        <v>24</v>
      </c>
      <c r="L4464" s="62" t="s">
        <v>2</v>
      </c>
      <c r="M4464" s="62">
        <v>1.596</v>
      </c>
      <c r="N4464" s="62">
        <v>0</v>
      </c>
    </row>
    <row r="4465" spans="9:14">
      <c r="I4465" s="62">
        <v>2017</v>
      </c>
      <c r="J4465" s="62">
        <v>2</v>
      </c>
      <c r="K4465" s="62" t="s">
        <v>24</v>
      </c>
      <c r="L4465" s="62" t="s">
        <v>2</v>
      </c>
      <c r="M4465" s="62">
        <v>8.09</v>
      </c>
      <c r="N4465" s="62">
        <v>0</v>
      </c>
    </row>
    <row r="4466" spans="9:14">
      <c r="I4466" s="62">
        <v>2017</v>
      </c>
      <c r="J4466" s="62">
        <v>3</v>
      </c>
      <c r="K4466" s="62" t="s">
        <v>24</v>
      </c>
      <c r="L4466" s="62" t="s">
        <v>2</v>
      </c>
      <c r="M4466" s="62">
        <v>14.701</v>
      </c>
      <c r="N4466" s="62">
        <v>0</v>
      </c>
    </row>
    <row r="4467" spans="9:14">
      <c r="I4467" s="62">
        <v>2017</v>
      </c>
      <c r="J4467" s="62">
        <v>4</v>
      </c>
      <c r="K4467" s="62" t="s">
        <v>24</v>
      </c>
      <c r="L4467" s="62" t="s">
        <v>2</v>
      </c>
      <c r="M4467" s="62">
        <v>8.951000000000001</v>
      </c>
      <c r="N4467" s="62">
        <v>0</v>
      </c>
    </row>
    <row r="4468" spans="9:14">
      <c r="I4468" s="62">
        <v>2017</v>
      </c>
      <c r="J4468" s="62">
        <v>5</v>
      </c>
      <c r="K4468" s="62" t="s">
        <v>24</v>
      </c>
      <c r="L4468" s="62" t="s">
        <v>2</v>
      </c>
      <c r="M4468" s="62">
        <v>14.66</v>
      </c>
      <c r="N4468" s="62">
        <v>0</v>
      </c>
    </row>
    <row r="4469" spans="9:14">
      <c r="I4469" s="62">
        <v>2017</v>
      </c>
      <c r="J4469" s="62">
        <v>6</v>
      </c>
      <c r="K4469" s="62" t="s">
        <v>24</v>
      </c>
      <c r="L4469" s="62" t="s">
        <v>2</v>
      </c>
      <c r="M4469" s="62">
        <v>7.798</v>
      </c>
      <c r="N4469" s="62">
        <v>0</v>
      </c>
    </row>
    <row r="4470" spans="9:14">
      <c r="I4470" s="62">
        <v>2017</v>
      </c>
      <c r="J4470" s="62">
        <v>9</v>
      </c>
      <c r="K4470" s="62" t="s">
        <v>24</v>
      </c>
      <c r="L4470" s="62" t="s">
        <v>2</v>
      </c>
      <c r="M4470" s="62">
        <v>2.61</v>
      </c>
      <c r="N4470" s="62">
        <v>0</v>
      </c>
    </row>
    <row r="4471" spans="9:14">
      <c r="I4471" s="62">
        <v>2017</v>
      </c>
      <c r="J4471" s="62">
        <v>10</v>
      </c>
      <c r="K4471" s="62" t="s">
        <v>24</v>
      </c>
      <c r="L4471" s="62" t="s">
        <v>2</v>
      </c>
      <c r="M4471" s="62">
        <v>24.079</v>
      </c>
      <c r="N4471" s="62">
        <v>0</v>
      </c>
    </row>
    <row r="4472" spans="9:14">
      <c r="I4472" s="62">
        <v>2017</v>
      </c>
      <c r="J4472" s="62">
        <v>11</v>
      </c>
      <c r="K4472" s="62" t="s">
        <v>24</v>
      </c>
      <c r="L4472" s="62" t="s">
        <v>2</v>
      </c>
      <c r="M4472" s="62">
        <v>29.504</v>
      </c>
      <c r="N4472" s="62">
        <v>0</v>
      </c>
    </row>
    <row r="4473" spans="9:14">
      <c r="I4473" s="62">
        <v>2018</v>
      </c>
      <c r="J4473" s="62">
        <v>3</v>
      </c>
      <c r="K4473" s="62" t="s">
        <v>24</v>
      </c>
      <c r="L4473" s="62" t="s">
        <v>2</v>
      </c>
      <c r="M4473" s="62">
        <v>15.535</v>
      </c>
      <c r="N4473" s="62">
        <v>0</v>
      </c>
    </row>
    <row r="4474" spans="9:14">
      <c r="I4474" s="62">
        <v>2018</v>
      </c>
      <c r="J4474" s="62">
        <v>4</v>
      </c>
      <c r="K4474" s="62" t="s">
        <v>24</v>
      </c>
      <c r="L4474" s="62" t="s">
        <v>2</v>
      </c>
      <c r="M4474" s="62">
        <v>5.445</v>
      </c>
      <c r="N4474" s="62">
        <v>0</v>
      </c>
    </row>
    <row r="4475" spans="9:14">
      <c r="I4475" s="62">
        <v>2018</v>
      </c>
      <c r="J4475" s="62">
        <v>5</v>
      </c>
      <c r="K4475" s="62" t="s">
        <v>24</v>
      </c>
      <c r="L4475" s="62" t="s">
        <v>2</v>
      </c>
      <c r="M4475" s="62">
        <v>2.695</v>
      </c>
      <c r="N4475" s="62">
        <v>0</v>
      </c>
    </row>
    <row r="4476" spans="9:14">
      <c r="I4476" s="62">
        <v>2018</v>
      </c>
      <c r="J4476" s="62">
        <v>9</v>
      </c>
      <c r="K4476" s="62" t="s">
        <v>24</v>
      </c>
      <c r="L4476" s="62" t="s">
        <v>2</v>
      </c>
      <c r="M4476" s="62">
        <v>8.350000000000001</v>
      </c>
      <c r="N4476" s="62">
        <v>0</v>
      </c>
    </row>
    <row r="4477" spans="9:14">
      <c r="I4477" s="62">
        <v>2018</v>
      </c>
      <c r="J4477" s="62">
        <v>10</v>
      </c>
      <c r="K4477" s="62" t="s">
        <v>24</v>
      </c>
      <c r="L4477" s="62" t="s">
        <v>2</v>
      </c>
      <c r="M4477" s="62">
        <v>23.914</v>
      </c>
      <c r="N4477" s="62">
        <v>0</v>
      </c>
    </row>
    <row r="4478" spans="9:14">
      <c r="I4478" s="62">
        <v>2018</v>
      </c>
      <c r="J4478" s="62">
        <v>11</v>
      </c>
      <c r="K4478" s="62" t="s">
        <v>24</v>
      </c>
      <c r="L4478" s="62" t="s">
        <v>2</v>
      </c>
      <c r="M4478" s="62">
        <v>8.151</v>
      </c>
      <c r="N4478" s="62">
        <v>0</v>
      </c>
    </row>
    <row r="4479" spans="9:14">
      <c r="I4479" s="62">
        <v>2018</v>
      </c>
      <c r="J4479" s="62">
        <v>12</v>
      </c>
      <c r="K4479" s="62" t="s">
        <v>24</v>
      </c>
      <c r="L4479" s="62" t="s">
        <v>2</v>
      </c>
      <c r="M4479" s="62">
        <v>0.115</v>
      </c>
      <c r="N4479" s="62">
        <v>0</v>
      </c>
    </row>
    <row r="4480" spans="9:14">
      <c r="I4480" s="62">
        <v>2019</v>
      </c>
      <c r="J4480" s="62">
        <v>1</v>
      </c>
      <c r="K4480" s="62" t="s">
        <v>24</v>
      </c>
      <c r="L4480" s="62" t="s">
        <v>2</v>
      </c>
      <c r="M4480" s="62">
        <v>1.92</v>
      </c>
      <c r="N4480" s="62">
        <v>0</v>
      </c>
    </row>
    <row r="4481" spans="9:14">
      <c r="I4481" s="62">
        <v>2019</v>
      </c>
      <c r="J4481" s="62">
        <v>2</v>
      </c>
      <c r="K4481" s="62" t="s">
        <v>24</v>
      </c>
      <c r="L4481" s="62" t="s">
        <v>2</v>
      </c>
      <c r="M4481" s="62">
        <v>3.355</v>
      </c>
      <c r="N4481" s="62">
        <v>0</v>
      </c>
    </row>
    <row r="4482" spans="9:14">
      <c r="I4482" s="62">
        <v>2019</v>
      </c>
      <c r="J4482" s="62">
        <v>3</v>
      </c>
      <c r="K4482" s="62" t="s">
        <v>24</v>
      </c>
      <c r="L4482" s="62" t="s">
        <v>2</v>
      </c>
      <c r="M4482" s="62">
        <v>41.423</v>
      </c>
      <c r="N4482" s="62">
        <v>0</v>
      </c>
    </row>
    <row r="4483" spans="9:14">
      <c r="I4483" s="62">
        <v>2019</v>
      </c>
      <c r="J4483" s="62">
        <v>4</v>
      </c>
      <c r="K4483" s="62" t="s">
        <v>24</v>
      </c>
      <c r="L4483" s="62" t="s">
        <v>2</v>
      </c>
      <c r="M4483" s="62">
        <v>51.5425</v>
      </c>
      <c r="N4483" s="62">
        <v>0</v>
      </c>
    </row>
    <row r="4484" spans="9:14">
      <c r="I4484" s="62">
        <v>2019</v>
      </c>
      <c r="J4484" s="62">
        <v>5</v>
      </c>
      <c r="K4484" s="62" t="s">
        <v>24</v>
      </c>
      <c r="L4484" s="62" t="s">
        <v>2</v>
      </c>
      <c r="M4484" s="62">
        <v>19.94</v>
      </c>
      <c r="N4484" s="62">
        <v>0</v>
      </c>
    </row>
    <row r="4485" spans="9:14">
      <c r="I4485" s="62">
        <v>2019</v>
      </c>
      <c r="J4485" s="62">
        <v>9</v>
      </c>
      <c r="K4485" s="62" t="s">
        <v>24</v>
      </c>
      <c r="L4485" s="62" t="s">
        <v>2</v>
      </c>
      <c r="M4485" s="62">
        <v>52.926</v>
      </c>
      <c r="N4485" s="62">
        <v>0</v>
      </c>
    </row>
    <row r="4486" spans="9:14">
      <c r="I4486" s="62">
        <v>2019</v>
      </c>
      <c r="J4486" s="62">
        <v>10</v>
      </c>
      <c r="K4486" s="62" t="s">
        <v>24</v>
      </c>
      <c r="L4486" s="62" t="s">
        <v>2</v>
      </c>
      <c r="M4486" s="62">
        <v>46.75</v>
      </c>
      <c r="N4486" s="62">
        <v>0</v>
      </c>
    </row>
    <row r="4487" spans="9:14">
      <c r="I4487" s="62">
        <v>2019</v>
      </c>
      <c r="J4487" s="62">
        <v>11</v>
      </c>
      <c r="K4487" s="62" t="s">
        <v>24</v>
      </c>
      <c r="L4487" s="62" t="s">
        <v>2</v>
      </c>
      <c r="M4487" s="62">
        <v>0.36</v>
      </c>
      <c r="N4487" s="62">
        <v>0</v>
      </c>
    </row>
    <row r="4488" spans="9:14">
      <c r="I4488" s="62">
        <v>2020</v>
      </c>
      <c r="J4488" s="62">
        <v>1</v>
      </c>
      <c r="K4488" s="62" t="s">
        <v>24</v>
      </c>
      <c r="L4488" s="62" t="s">
        <v>2</v>
      </c>
      <c r="M4488" s="62">
        <v>2.175</v>
      </c>
      <c r="N4488" s="62">
        <v>0</v>
      </c>
    </row>
    <row r="4489" spans="9:14">
      <c r="I4489" s="62">
        <v>2020</v>
      </c>
      <c r="J4489" s="62">
        <v>2</v>
      </c>
      <c r="K4489" s="62" t="s">
        <v>24</v>
      </c>
      <c r="L4489" s="62" t="s">
        <v>2</v>
      </c>
      <c r="M4489" s="62">
        <v>2.39</v>
      </c>
      <c r="N4489" s="62">
        <v>0</v>
      </c>
    </row>
    <row r="4490" spans="9:14">
      <c r="I4490" s="62">
        <v>2020</v>
      </c>
      <c r="J4490" s="62">
        <v>3</v>
      </c>
      <c r="K4490" s="62" t="s">
        <v>24</v>
      </c>
      <c r="L4490" s="62" t="s">
        <v>2</v>
      </c>
      <c r="M4490" s="62">
        <v>8.5</v>
      </c>
      <c r="N4490" s="62">
        <v>0</v>
      </c>
    </row>
    <row r="4491" spans="9:14">
      <c r="I4491" s="62">
        <v>2020</v>
      </c>
      <c r="J4491" s="62">
        <v>4</v>
      </c>
      <c r="K4491" s="62" t="s">
        <v>24</v>
      </c>
      <c r="L4491" s="62" t="s">
        <v>2</v>
      </c>
      <c r="M4491" s="62">
        <v>2.805</v>
      </c>
      <c r="N4491" s="62">
        <v>0</v>
      </c>
    </row>
    <row r="4492" spans="9:14">
      <c r="I4492" s="62">
        <v>2020</v>
      </c>
      <c r="J4492" s="62">
        <v>9</v>
      </c>
      <c r="K4492" s="62" t="s">
        <v>24</v>
      </c>
      <c r="L4492" s="62" t="s">
        <v>2</v>
      </c>
      <c r="M4492" s="62">
        <v>12.56</v>
      </c>
      <c r="N4492" s="62">
        <v>0</v>
      </c>
    </row>
    <row r="4493" spans="9:14">
      <c r="I4493" s="62">
        <v>2020</v>
      </c>
      <c r="J4493" s="62">
        <v>10</v>
      </c>
      <c r="K4493" s="62" t="s">
        <v>24</v>
      </c>
      <c r="L4493" s="62" t="s">
        <v>2</v>
      </c>
      <c r="M4493" s="62">
        <v>5.36</v>
      </c>
      <c r="N4493" s="62">
        <v>0</v>
      </c>
    </row>
    <row r="4494" spans="9:14">
      <c r="I4494" s="62">
        <v>2020</v>
      </c>
      <c r="J4494" s="62">
        <v>12</v>
      </c>
      <c r="K4494" s="62" t="s">
        <v>24</v>
      </c>
      <c r="L4494" s="62" t="s">
        <v>2</v>
      </c>
      <c r="M4494" s="62">
        <v>12</v>
      </c>
      <c r="N4494" s="62">
        <v>0</v>
      </c>
    </row>
    <row r="4495" spans="9:14">
      <c r="I4495" s="62">
        <v>2021</v>
      </c>
      <c r="J4495" s="62">
        <v>1</v>
      </c>
      <c r="K4495" s="62" t="s">
        <v>24</v>
      </c>
      <c r="L4495" s="62" t="s">
        <v>2</v>
      </c>
      <c r="M4495" s="62">
        <v>21.35</v>
      </c>
      <c r="N4495" s="62">
        <v>0</v>
      </c>
    </row>
    <row r="4496" spans="9:14">
      <c r="I4496" s="62">
        <v>2021</v>
      </c>
      <c r="J4496" s="62">
        <v>2</v>
      </c>
      <c r="K4496" s="62" t="s">
        <v>24</v>
      </c>
      <c r="L4496" s="62" t="s">
        <v>2</v>
      </c>
      <c r="M4496" s="62">
        <v>23.74</v>
      </c>
      <c r="N4496" s="62">
        <v>0</v>
      </c>
    </row>
    <row r="4497" spans="9:14">
      <c r="I4497" s="62">
        <v>2021</v>
      </c>
      <c r="J4497" s="62">
        <v>3</v>
      </c>
      <c r="K4497" s="62" t="s">
        <v>24</v>
      </c>
      <c r="L4497" s="62" t="s">
        <v>2</v>
      </c>
      <c r="M4497" s="62">
        <v>18.8</v>
      </c>
      <c r="N4497" s="62">
        <v>0</v>
      </c>
    </row>
    <row r="4498" spans="9:14">
      <c r="I4498" s="62">
        <v>2021</v>
      </c>
      <c r="J4498" s="62">
        <v>4</v>
      </c>
      <c r="K4498" s="62" t="s">
        <v>24</v>
      </c>
      <c r="L4498" s="62" t="s">
        <v>2</v>
      </c>
      <c r="M4498" s="62">
        <v>22.4805</v>
      </c>
      <c r="N4498" s="62">
        <v>0</v>
      </c>
    </row>
    <row r="4499" spans="9:14">
      <c r="I4499" s="62">
        <v>2021</v>
      </c>
      <c r="J4499" s="62">
        <v>5</v>
      </c>
      <c r="K4499" s="62" t="s">
        <v>24</v>
      </c>
      <c r="L4499" s="62" t="s">
        <v>2</v>
      </c>
      <c r="M4499" s="62">
        <v>14.713</v>
      </c>
      <c r="N4499" s="62">
        <v>0</v>
      </c>
    </row>
    <row r="4500" spans="9:14">
      <c r="I4500" s="62">
        <v>2021</v>
      </c>
      <c r="J4500" s="62">
        <v>6</v>
      </c>
      <c r="K4500" s="62" t="s">
        <v>24</v>
      </c>
      <c r="L4500" s="62" t="s">
        <v>2</v>
      </c>
      <c r="M4500" s="62">
        <v>12</v>
      </c>
      <c r="N4500" s="62">
        <v>0</v>
      </c>
    </row>
    <row r="4501" spans="9:14">
      <c r="I4501" s="62">
        <v>2021</v>
      </c>
      <c r="J4501" s="62">
        <v>7</v>
      </c>
      <c r="K4501" s="62" t="s">
        <v>24</v>
      </c>
      <c r="L4501" s="62" t="s">
        <v>2</v>
      </c>
      <c r="M4501" s="62">
        <v>12</v>
      </c>
      <c r="N4501" s="62">
        <v>0</v>
      </c>
    </row>
    <row r="4502" spans="9:14">
      <c r="I4502" s="62">
        <v>2021</v>
      </c>
      <c r="J4502" s="62">
        <v>8</v>
      </c>
      <c r="K4502" s="62" t="s">
        <v>24</v>
      </c>
      <c r="L4502" s="62" t="s">
        <v>2</v>
      </c>
      <c r="M4502" s="62">
        <v>12</v>
      </c>
      <c r="N4502" s="62">
        <v>0</v>
      </c>
    </row>
    <row r="4503" spans="9:14">
      <c r="I4503" s="62">
        <v>2021</v>
      </c>
      <c r="J4503" s="62">
        <v>9</v>
      </c>
      <c r="K4503" s="62" t="s">
        <v>24</v>
      </c>
      <c r="L4503" s="62" t="s">
        <v>2</v>
      </c>
      <c r="M4503" s="62">
        <v>17.815</v>
      </c>
      <c r="N4503" s="62">
        <v>0</v>
      </c>
    </row>
    <row r="4504" spans="9:14">
      <c r="I4504" s="62">
        <v>2021</v>
      </c>
      <c r="J4504" s="62">
        <v>10</v>
      </c>
      <c r="K4504" s="62" t="s">
        <v>24</v>
      </c>
      <c r="L4504" s="62" t="s">
        <v>2</v>
      </c>
      <c r="M4504" s="62">
        <v>35.9</v>
      </c>
      <c r="N4504" s="62">
        <v>0</v>
      </c>
    </row>
    <row r="4505" spans="9:14">
      <c r="I4505" s="62">
        <v>2021</v>
      </c>
      <c r="J4505" s="62">
        <v>11</v>
      </c>
      <c r="K4505" s="62" t="s">
        <v>24</v>
      </c>
      <c r="L4505" s="62" t="s">
        <v>2</v>
      </c>
      <c r="M4505" s="62">
        <v>6.6</v>
      </c>
      <c r="N4505" s="62">
        <v>0</v>
      </c>
    </row>
    <row r="4506" spans="9:14">
      <c r="I4506" s="62">
        <v>2022</v>
      </c>
      <c r="J4506" s="62">
        <v>1</v>
      </c>
      <c r="K4506" s="62" t="s">
        <v>24</v>
      </c>
      <c r="L4506" s="62" t="s">
        <v>2</v>
      </c>
      <c r="M4506" s="62">
        <v>0.39</v>
      </c>
      <c r="N4506" s="62">
        <v>0</v>
      </c>
    </row>
    <row r="4507" spans="9:14">
      <c r="I4507" s="62">
        <v>2022</v>
      </c>
      <c r="J4507" s="62">
        <v>2</v>
      </c>
      <c r="K4507" s="62" t="s">
        <v>24</v>
      </c>
      <c r="L4507" s="62" t="s">
        <v>2</v>
      </c>
      <c r="M4507" s="62">
        <v>1.44</v>
      </c>
      <c r="N4507" s="62">
        <v>0</v>
      </c>
    </row>
    <row r="4508" spans="9:14">
      <c r="I4508" s="62">
        <v>2022</v>
      </c>
      <c r="J4508" s="62">
        <v>3</v>
      </c>
      <c r="K4508" s="62" t="s">
        <v>24</v>
      </c>
      <c r="L4508" s="62" t="s">
        <v>2</v>
      </c>
      <c r="M4508" s="62">
        <v>31.54</v>
      </c>
      <c r="N4508" s="62">
        <v>0</v>
      </c>
    </row>
    <row r="4509" spans="9:14">
      <c r="I4509" s="62">
        <v>2022</v>
      </c>
      <c r="J4509" s="62">
        <v>4</v>
      </c>
      <c r="K4509" s="62" t="s">
        <v>24</v>
      </c>
      <c r="L4509" s="62" t="s">
        <v>2</v>
      </c>
      <c r="M4509" s="62">
        <v>43.364</v>
      </c>
      <c r="N4509" s="62">
        <v>0</v>
      </c>
    </row>
    <row r="4510" spans="9:14">
      <c r="I4510" s="62">
        <v>2022</v>
      </c>
      <c r="J4510" s="62">
        <v>5</v>
      </c>
      <c r="K4510" s="62" t="s">
        <v>24</v>
      </c>
      <c r="L4510" s="62" t="s">
        <v>2</v>
      </c>
      <c r="M4510" s="62">
        <v>4.55</v>
      </c>
      <c r="N4510" s="62">
        <v>0</v>
      </c>
    </row>
    <row r="4511" spans="9:14">
      <c r="I4511" s="62">
        <v>2022</v>
      </c>
      <c r="J4511" s="62">
        <v>7</v>
      </c>
      <c r="K4511" s="62" t="s">
        <v>24</v>
      </c>
      <c r="L4511" s="62" t="s">
        <v>2</v>
      </c>
      <c r="M4511" s="62">
        <v>0.3575</v>
      </c>
      <c r="N4511" s="62">
        <v>0</v>
      </c>
    </row>
    <row r="4512" spans="9:14">
      <c r="I4512" s="62">
        <v>2022</v>
      </c>
      <c r="J4512" s="62">
        <v>8</v>
      </c>
      <c r="K4512" s="62" t="s">
        <v>24</v>
      </c>
      <c r="L4512" s="62" t="s">
        <v>2</v>
      </c>
      <c r="M4512" s="62">
        <v>0.65</v>
      </c>
      <c r="N4512" s="62">
        <v>0</v>
      </c>
    </row>
    <row r="4513" spans="9:14">
      <c r="I4513" s="62">
        <v>2022</v>
      </c>
      <c r="J4513" s="62">
        <v>9</v>
      </c>
      <c r="K4513" s="62" t="s">
        <v>24</v>
      </c>
      <c r="L4513" s="62" t="s">
        <v>2</v>
      </c>
      <c r="M4513" s="62">
        <v>0.98</v>
      </c>
      <c r="N4513" s="62">
        <v>0</v>
      </c>
    </row>
    <row r="4514" spans="9:14">
      <c r="I4514" s="62">
        <v>2022</v>
      </c>
      <c r="J4514" s="62">
        <v>10</v>
      </c>
      <c r="K4514" s="62" t="s">
        <v>24</v>
      </c>
      <c r="L4514" s="62" t="s">
        <v>2</v>
      </c>
      <c r="M4514" s="62">
        <v>0.4225</v>
      </c>
      <c r="N4514" s="62">
        <v>0</v>
      </c>
    </row>
    <row r="4515" spans="9:14">
      <c r="I4515" s="62">
        <v>2023</v>
      </c>
      <c r="J4515" s="62">
        <v>1</v>
      </c>
      <c r="K4515" s="62" t="s">
        <v>24</v>
      </c>
      <c r="L4515" s="62" t="s">
        <v>2</v>
      </c>
      <c r="M4515" s="62">
        <v>3.85</v>
      </c>
      <c r="N4515" s="62">
        <v>0</v>
      </c>
    </row>
    <row r="4516" spans="9:14">
      <c r="I4516" s="62">
        <v>2023</v>
      </c>
      <c r="J4516" s="62">
        <v>2</v>
      </c>
      <c r="K4516" s="62" t="s">
        <v>24</v>
      </c>
      <c r="L4516" s="62" t="s">
        <v>2</v>
      </c>
      <c r="M4516" s="62">
        <v>5</v>
      </c>
      <c r="N4516" s="62">
        <v>0</v>
      </c>
    </row>
    <row r="4517" spans="9:14">
      <c r="I4517" s="62">
        <v>2023</v>
      </c>
      <c r="J4517" s="62">
        <v>3</v>
      </c>
      <c r="K4517" s="62" t="s">
        <v>24</v>
      </c>
      <c r="L4517" s="62" t="s">
        <v>2</v>
      </c>
      <c r="M4517" s="62">
        <v>26.2025</v>
      </c>
      <c r="N4517" s="62">
        <v>0</v>
      </c>
    </row>
    <row r="4518" spans="9:14">
      <c r="I4518" s="62">
        <v>2023</v>
      </c>
      <c r="J4518" s="62">
        <v>4</v>
      </c>
      <c r="K4518" s="62" t="s">
        <v>24</v>
      </c>
      <c r="L4518" s="62" t="s">
        <v>2</v>
      </c>
      <c r="M4518" s="62">
        <v>37.57</v>
      </c>
      <c r="N4518" s="62">
        <v>0</v>
      </c>
    </row>
    <row r="4519" spans="9:14">
      <c r="I4519" s="62">
        <v>2023</v>
      </c>
      <c r="J4519" s="62">
        <v>5</v>
      </c>
      <c r="K4519" s="62" t="s">
        <v>24</v>
      </c>
      <c r="L4519" s="62" t="s">
        <v>2</v>
      </c>
      <c r="M4519" s="62">
        <v>13.1</v>
      </c>
      <c r="N4519" s="62">
        <v>0</v>
      </c>
    </row>
    <row r="4520" spans="9:14">
      <c r="I4520" s="62">
        <v>2023</v>
      </c>
      <c r="J4520" s="62">
        <v>6</v>
      </c>
      <c r="K4520" s="62" t="s">
        <v>24</v>
      </c>
      <c r="L4520" s="62" t="s">
        <v>2</v>
      </c>
      <c r="M4520" s="62">
        <v>0.8149999999999999</v>
      </c>
      <c r="N4520" s="62">
        <v>0</v>
      </c>
    </row>
    <row r="4521" spans="9:14">
      <c r="I4521" s="62">
        <v>2023</v>
      </c>
      <c r="J4521" s="62">
        <v>9</v>
      </c>
      <c r="K4521" s="62" t="s">
        <v>24</v>
      </c>
      <c r="L4521" s="62" t="s">
        <v>2</v>
      </c>
      <c r="M4521" s="62">
        <v>21</v>
      </c>
      <c r="N4521" s="62">
        <v>0</v>
      </c>
    </row>
    <row r="4522" spans="9:14">
      <c r="I4522" s="62">
        <v>2023</v>
      </c>
      <c r="J4522" s="62">
        <v>10</v>
      </c>
      <c r="K4522" s="62" t="s">
        <v>24</v>
      </c>
      <c r="L4522" s="62" t="s">
        <v>2</v>
      </c>
      <c r="M4522" s="62">
        <v>21</v>
      </c>
      <c r="N4522" s="62">
        <v>0</v>
      </c>
    </row>
    <row r="4523" spans="9:14">
      <c r="I4523" s="62">
        <v>2023</v>
      </c>
      <c r="J4523" s="62">
        <v>11</v>
      </c>
      <c r="K4523" s="62" t="s">
        <v>24</v>
      </c>
      <c r="L4523" s="62" t="s">
        <v>2</v>
      </c>
      <c r="M4523" s="62">
        <v>2.73</v>
      </c>
      <c r="N4523" s="62">
        <v>0</v>
      </c>
    </row>
    <row r="4524" spans="9:14">
      <c r="I4524" s="62">
        <v>2024</v>
      </c>
      <c r="J4524" s="62">
        <v>2</v>
      </c>
      <c r="K4524" s="62" t="s">
        <v>24</v>
      </c>
      <c r="L4524" s="62" t="s">
        <v>2</v>
      </c>
      <c r="M4524" s="62">
        <v>1.55</v>
      </c>
      <c r="N4524" s="62">
        <v>0</v>
      </c>
    </row>
    <row r="4525" spans="9:14">
      <c r="I4525" s="62">
        <v>2024</v>
      </c>
      <c r="J4525" s="62">
        <v>3</v>
      </c>
      <c r="K4525" s="62" t="s">
        <v>24</v>
      </c>
      <c r="L4525" s="62" t="s">
        <v>2</v>
      </c>
      <c r="M4525" s="62">
        <v>5.785</v>
      </c>
      <c r="N4525" s="62">
        <v>0</v>
      </c>
    </row>
    <row r="4526" spans="9:14">
      <c r="I4526" s="62">
        <v>2024</v>
      </c>
      <c r="J4526" s="62">
        <v>4</v>
      </c>
      <c r="K4526" s="62" t="s">
        <v>24</v>
      </c>
      <c r="L4526" s="62" t="s">
        <v>2</v>
      </c>
      <c r="M4526" s="62">
        <v>5.81</v>
      </c>
      <c r="N4526" s="62">
        <v>0</v>
      </c>
    </row>
    <row r="4527" spans="9:14">
      <c r="I4527" s="62">
        <v>2024</v>
      </c>
      <c r="J4527" s="62">
        <v>5</v>
      </c>
      <c r="K4527" s="62" t="s">
        <v>24</v>
      </c>
      <c r="L4527" s="62" t="s">
        <v>2</v>
      </c>
      <c r="M4527" s="62">
        <v>4.725</v>
      </c>
      <c r="N4527" s="62">
        <v>0</v>
      </c>
    </row>
    <row r="4528" spans="9:14">
      <c r="I4528" s="62">
        <v>2024</v>
      </c>
      <c r="J4528" s="62">
        <v>6</v>
      </c>
      <c r="K4528" s="62" t="s">
        <v>24</v>
      </c>
      <c r="L4528" s="62" t="s">
        <v>2</v>
      </c>
      <c r="M4528" s="62">
        <v>3.927</v>
      </c>
      <c r="N4528" s="62">
        <v>0</v>
      </c>
    </row>
    <row r="4529" spans="9:14">
      <c r="I4529" s="62">
        <v>2024</v>
      </c>
      <c r="J4529" s="62">
        <v>7</v>
      </c>
      <c r="K4529" s="62" t="s">
        <v>24</v>
      </c>
      <c r="L4529" s="62" t="s">
        <v>2</v>
      </c>
      <c r="M4529" s="62">
        <v>5.1</v>
      </c>
      <c r="N4529" s="62">
        <v>0</v>
      </c>
    </row>
    <row r="4530" spans="9:14">
      <c r="I4530" s="62">
        <v>2024</v>
      </c>
      <c r="J4530" s="62">
        <v>8</v>
      </c>
      <c r="K4530" s="62" t="s">
        <v>24</v>
      </c>
      <c r="L4530" s="62" t="s">
        <v>2</v>
      </c>
      <c r="M4530" s="62">
        <v>0.51</v>
      </c>
      <c r="N4530" s="62">
        <v>0</v>
      </c>
    </row>
    <row r="4531" spans="9:14">
      <c r="I4531" s="62">
        <v>2024</v>
      </c>
      <c r="J4531" s="62">
        <v>9</v>
      </c>
      <c r="K4531" s="62" t="s">
        <v>24</v>
      </c>
      <c r="L4531" s="62" t="s">
        <v>2</v>
      </c>
      <c r="M4531" s="62">
        <v>1.7</v>
      </c>
      <c r="N4531" s="62">
        <v>0</v>
      </c>
    </row>
    <row r="4532" spans="9:14">
      <c r="I4532" s="62">
        <v>2024</v>
      </c>
      <c r="J4532" s="62">
        <v>10</v>
      </c>
      <c r="K4532" s="62" t="s">
        <v>24</v>
      </c>
      <c r="L4532" s="62" t="s">
        <v>2</v>
      </c>
      <c r="M4532" s="62">
        <v>12.72</v>
      </c>
      <c r="N4532" s="62">
        <v>0</v>
      </c>
    </row>
    <row r="4533" spans="9:14">
      <c r="I4533" s="62">
        <v>2024</v>
      </c>
      <c r="J4533" s="62">
        <v>11</v>
      </c>
      <c r="K4533" s="62" t="s">
        <v>24</v>
      </c>
      <c r="L4533" s="62" t="s">
        <v>2</v>
      </c>
      <c r="M4533" s="62">
        <v>10.1</v>
      </c>
      <c r="N4533" s="62">
        <v>0</v>
      </c>
    </row>
    <row r="4534" spans="9:14">
      <c r="I4534" s="62">
        <v>2024</v>
      </c>
      <c r="J4534" s="62">
        <v>12</v>
      </c>
      <c r="K4534" s="62" t="s">
        <v>24</v>
      </c>
      <c r="L4534" s="62" t="s">
        <v>2</v>
      </c>
      <c r="M4534" s="62">
        <v>0.102</v>
      </c>
      <c r="N4534" s="62">
        <v>0</v>
      </c>
    </row>
    <row r="4535" spans="9:14">
      <c r="I4535" s="62">
        <v>2025</v>
      </c>
      <c r="J4535" s="62">
        <v>1</v>
      </c>
      <c r="K4535" s="62" t="s">
        <v>24</v>
      </c>
      <c r="L4535" s="62" t="s">
        <v>2</v>
      </c>
      <c r="M4535" s="62">
        <v>20.324</v>
      </c>
      <c r="N4535" s="62">
        <v>0</v>
      </c>
    </row>
    <row r="4536" spans="9:14">
      <c r="I4536" s="62">
        <v>2025</v>
      </c>
      <c r="J4536" s="62">
        <v>2</v>
      </c>
      <c r="K4536" s="62" t="s">
        <v>24</v>
      </c>
      <c r="L4536" s="62" t="s">
        <v>2</v>
      </c>
      <c r="M4536" s="62">
        <v>33.76</v>
      </c>
      <c r="N4536" s="62">
        <v>0</v>
      </c>
    </row>
    <row r="4537" spans="9:14">
      <c r="I4537" s="62">
        <v>2025</v>
      </c>
      <c r="J4537" s="62">
        <v>3</v>
      </c>
      <c r="K4537" s="62" t="s">
        <v>24</v>
      </c>
      <c r="L4537" s="62" t="s">
        <v>2</v>
      </c>
      <c r="M4537" s="62">
        <v>59.153</v>
      </c>
      <c r="N4537" s="62">
        <v>0</v>
      </c>
    </row>
    <row r="4538" spans="9:14">
      <c r="I4538" s="62">
        <v>2025</v>
      </c>
      <c r="J4538" s="62">
        <v>4</v>
      </c>
      <c r="K4538" s="62" t="s">
        <v>24</v>
      </c>
      <c r="L4538" s="62" t="s">
        <v>2</v>
      </c>
      <c r="M4538" s="62">
        <v>83.071</v>
      </c>
      <c r="N4538" s="62">
        <v>0</v>
      </c>
    </row>
    <row r="4539" spans="9:14">
      <c r="I4539" s="62">
        <v>2025</v>
      </c>
      <c r="J4539" s="62">
        <v>5</v>
      </c>
      <c r="K4539" s="62" t="s">
        <v>24</v>
      </c>
      <c r="L4539" s="62" t="s">
        <v>2</v>
      </c>
      <c r="M4539" s="62">
        <v>17.014</v>
      </c>
      <c r="N4539" s="62">
        <v>0</v>
      </c>
    </row>
    <row r="4540" spans="9:14">
      <c r="I4540" s="62">
        <v>2025</v>
      </c>
      <c r="J4540" s="62">
        <v>6</v>
      </c>
      <c r="K4540" s="62" t="s">
        <v>24</v>
      </c>
      <c r="L4540" s="62" t="s">
        <v>2</v>
      </c>
      <c r="M4540" s="62">
        <v>9.0166</v>
      </c>
      <c r="N4540" s="62">
        <v>0</v>
      </c>
    </row>
    <row r="4541" spans="9:14">
      <c r="I4541" s="62">
        <v>2025</v>
      </c>
      <c r="J4541" s="62">
        <v>7</v>
      </c>
      <c r="K4541" s="62" t="s">
        <v>24</v>
      </c>
      <c r="L4541" s="62" t="s">
        <v>2</v>
      </c>
      <c r="M4541" s="62">
        <v>0.1482</v>
      </c>
      <c r="N4541" s="62">
        <v>0</v>
      </c>
    </row>
    <row r="4542" spans="9:14">
      <c r="I4542" s="62">
        <v>2025</v>
      </c>
      <c r="J4542" s="62">
        <v>9</v>
      </c>
      <c r="K4542" s="62" t="s">
        <v>24</v>
      </c>
      <c r="L4542" s="62" t="s">
        <v>2</v>
      </c>
      <c r="M4542" s="62">
        <v>0.36</v>
      </c>
      <c r="N4542" s="62">
        <v>0</v>
      </c>
    </row>
    <row r="4543" spans="9:14">
      <c r="I4543" s="62">
        <v>2025</v>
      </c>
      <c r="J4543" s="62">
        <v>10</v>
      </c>
      <c r="K4543" s="62" t="s">
        <v>24</v>
      </c>
      <c r="L4543" s="62" t="s">
        <v>2</v>
      </c>
      <c r="M4543" s="62">
        <v>12.45</v>
      </c>
      <c r="N4543" s="62">
        <v>0</v>
      </c>
    </row>
    <row r="4544" spans="9:14">
      <c r="I4544" s="62">
        <v>2025</v>
      </c>
      <c r="J4544" s="62">
        <v>11</v>
      </c>
      <c r="K4544" s="62" t="s">
        <v>24</v>
      </c>
      <c r="L4544" s="62" t="s">
        <v>2</v>
      </c>
      <c r="M4544" s="62">
        <v>3.6</v>
      </c>
      <c r="N4544" s="62">
        <v>0</v>
      </c>
    </row>
    <row r="4545" spans="9:14">
      <c r="I4545" s="62">
        <v>2026</v>
      </c>
      <c r="J4545" s="62">
        <v>1</v>
      </c>
      <c r="K4545" s="62" t="s">
        <v>24</v>
      </c>
      <c r="L4545" s="62" t="s">
        <v>2</v>
      </c>
      <c r="M4545" s="62">
        <v>4.35</v>
      </c>
      <c r="N4545" s="62">
        <v>0</v>
      </c>
    </row>
    <row r="4546" spans="9:14">
      <c r="I4546" s="62">
        <v>2026</v>
      </c>
      <c r="J4546" s="62">
        <v>2</v>
      </c>
      <c r="K4546" s="62" t="s">
        <v>24</v>
      </c>
      <c r="L4546" s="62" t="s">
        <v>2</v>
      </c>
      <c r="M4546" s="62">
        <v>0.96</v>
      </c>
      <c r="N4546" s="62">
        <v>0</v>
      </c>
    </row>
    <row r="4547" spans="9:14">
      <c r="I4547" s="62">
        <v>2026</v>
      </c>
      <c r="J4547" s="62">
        <v>3</v>
      </c>
      <c r="K4547" s="62" t="s">
        <v>24</v>
      </c>
      <c r="L4547" s="62" t="s">
        <v>2</v>
      </c>
      <c r="M4547" s="62">
        <v>12.555</v>
      </c>
      <c r="N4547" s="62">
        <v>0</v>
      </c>
    </row>
    <row r="4548" spans="9:14">
      <c r="I4548" s="62">
        <v>2026</v>
      </c>
      <c r="J4548" s="62">
        <v>4</v>
      </c>
      <c r="K4548" s="62" t="s">
        <v>24</v>
      </c>
      <c r="L4548" s="62" t="s">
        <v>2</v>
      </c>
      <c r="M4548" s="62">
        <v>24.3</v>
      </c>
      <c r="N4548" s="62">
        <v>0</v>
      </c>
    </row>
    <row r="4549" spans="9:14">
      <c r="I4549" s="62">
        <v>2026</v>
      </c>
      <c r="J4549" s="62">
        <v>5</v>
      </c>
      <c r="K4549" s="62" t="s">
        <v>24</v>
      </c>
      <c r="L4549" s="62" t="s">
        <v>2</v>
      </c>
      <c r="M4549" s="62">
        <v>11.113</v>
      </c>
      <c r="N4549" s="62">
        <v>0</v>
      </c>
    </row>
    <row r="4550" spans="9:14">
      <c r="I4550" s="62">
        <v>2026</v>
      </c>
      <c r="J4550" s="62">
        <v>6</v>
      </c>
      <c r="K4550" s="62" t="s">
        <v>24</v>
      </c>
      <c r="L4550" s="62" t="s">
        <v>2</v>
      </c>
      <c r="M4550" s="62">
        <v>3.5</v>
      </c>
      <c r="N4550" s="62">
        <v>0</v>
      </c>
    </row>
    <row r="4551" spans="9:14">
      <c r="I4551" s="62">
        <v>2026</v>
      </c>
      <c r="J4551" s="62">
        <v>7</v>
      </c>
      <c r="K4551" s="62" t="s">
        <v>24</v>
      </c>
      <c r="L4551" s="62" t="s">
        <v>2</v>
      </c>
      <c r="M4551" s="62">
        <v>3.5</v>
      </c>
      <c r="N4551" s="62">
        <v>0</v>
      </c>
    </row>
    <row r="4552" spans="9:14">
      <c r="I4552" s="62">
        <v>2026</v>
      </c>
      <c r="J4552" s="62">
        <v>8</v>
      </c>
      <c r="K4552" s="62" t="s">
        <v>24</v>
      </c>
      <c r="L4552" s="62" t="s">
        <v>2</v>
      </c>
      <c r="M4552" s="62">
        <v>3.695</v>
      </c>
      <c r="N4552" s="62">
        <v>0</v>
      </c>
    </row>
    <row r="4553" spans="9:14">
      <c r="I4553" s="62">
        <v>2026</v>
      </c>
      <c r="J4553" s="62">
        <v>9</v>
      </c>
      <c r="K4553" s="62" t="s">
        <v>24</v>
      </c>
      <c r="L4553" s="62" t="s">
        <v>2</v>
      </c>
      <c r="M4553" s="62">
        <v>5</v>
      </c>
      <c r="N4553" s="62">
        <v>0</v>
      </c>
    </row>
    <row r="4554" spans="9:14">
      <c r="I4554" s="62">
        <v>2026</v>
      </c>
      <c r="J4554" s="62">
        <v>10</v>
      </c>
      <c r="K4554" s="62" t="s">
        <v>24</v>
      </c>
      <c r="L4554" s="62" t="s">
        <v>2</v>
      </c>
      <c r="M4554" s="62">
        <v>24.589</v>
      </c>
      <c r="N4554" s="62">
        <v>0</v>
      </c>
    </row>
    <row r="4555" spans="9:14">
      <c r="I4555" s="62">
        <v>2026</v>
      </c>
      <c r="J4555" s="62">
        <v>11</v>
      </c>
      <c r="K4555" s="62" t="s">
        <v>24</v>
      </c>
      <c r="L4555" s="62" t="s">
        <v>2</v>
      </c>
      <c r="M4555" s="62">
        <v>22.26</v>
      </c>
      <c r="N4555" s="62">
        <v>0</v>
      </c>
    </row>
    <row r="4556" spans="9:14">
      <c r="I4556" s="62">
        <v>2026</v>
      </c>
      <c r="J4556" s="62">
        <v>12</v>
      </c>
      <c r="K4556" s="62" t="s">
        <v>24</v>
      </c>
      <c r="L4556" s="62" t="s">
        <v>2</v>
      </c>
      <c r="M4556" s="62">
        <v>3.5</v>
      </c>
      <c r="N4556" s="62">
        <v>0</v>
      </c>
    </row>
    <row r="4557" spans="9:14">
      <c r="I4557" s="62">
        <v>2027</v>
      </c>
      <c r="J4557" s="62">
        <v>1</v>
      </c>
      <c r="K4557" s="62" t="s">
        <v>24</v>
      </c>
      <c r="L4557" s="62" t="s">
        <v>2</v>
      </c>
      <c r="M4557" s="62">
        <v>3.5</v>
      </c>
      <c r="N4557" s="62">
        <v>0</v>
      </c>
    </row>
    <row r="4558" spans="9:14">
      <c r="I4558" s="62">
        <v>2027</v>
      </c>
      <c r="J4558" s="62">
        <v>2</v>
      </c>
      <c r="K4558" s="62" t="s">
        <v>24</v>
      </c>
      <c r="L4558" s="62" t="s">
        <v>2</v>
      </c>
      <c r="M4558" s="62">
        <v>8.66</v>
      </c>
      <c r="N4558" s="62">
        <v>0</v>
      </c>
    </row>
    <row r="4559" spans="9:14">
      <c r="I4559" s="62">
        <v>2027</v>
      </c>
      <c r="J4559" s="62">
        <v>3</v>
      </c>
      <c r="K4559" s="62" t="s">
        <v>24</v>
      </c>
      <c r="L4559" s="62" t="s">
        <v>2</v>
      </c>
      <c r="M4559" s="62">
        <v>27.855</v>
      </c>
      <c r="N4559" s="62">
        <v>0</v>
      </c>
    </row>
    <row r="4560" spans="9:14">
      <c r="I4560" s="62">
        <v>2027</v>
      </c>
      <c r="J4560" s="62">
        <v>4</v>
      </c>
      <c r="K4560" s="62" t="s">
        <v>24</v>
      </c>
      <c r="L4560" s="62" t="s">
        <v>2</v>
      </c>
      <c r="M4560" s="62">
        <v>20.009</v>
      </c>
      <c r="N4560" s="62">
        <v>0</v>
      </c>
    </row>
    <row r="4561" spans="9:14">
      <c r="I4561" s="62">
        <v>2027</v>
      </c>
      <c r="J4561" s="62">
        <v>5</v>
      </c>
      <c r="K4561" s="62" t="s">
        <v>24</v>
      </c>
      <c r="L4561" s="62" t="s">
        <v>2</v>
      </c>
      <c r="M4561" s="62">
        <v>6.792</v>
      </c>
      <c r="N4561" s="62">
        <v>0</v>
      </c>
    </row>
    <row r="4562" spans="9:14">
      <c r="I4562" s="62">
        <v>2027</v>
      </c>
      <c r="J4562" s="62">
        <v>6</v>
      </c>
      <c r="K4562" s="62" t="s">
        <v>24</v>
      </c>
      <c r="L4562" s="62" t="s">
        <v>2</v>
      </c>
      <c r="M4562" s="62">
        <v>3.5</v>
      </c>
      <c r="N4562" s="62">
        <v>0</v>
      </c>
    </row>
    <row r="4563" spans="9:14">
      <c r="I4563" s="62">
        <v>2027</v>
      </c>
      <c r="J4563" s="62">
        <v>7</v>
      </c>
      <c r="K4563" s="62" t="s">
        <v>24</v>
      </c>
      <c r="L4563" s="62" t="s">
        <v>2</v>
      </c>
      <c r="M4563" s="62">
        <v>3.5</v>
      </c>
      <c r="N4563" s="62">
        <v>0</v>
      </c>
    </row>
    <row r="4564" spans="9:14">
      <c r="I4564" s="62">
        <v>2027</v>
      </c>
      <c r="J4564" s="62">
        <v>8</v>
      </c>
      <c r="K4564" s="62" t="s">
        <v>24</v>
      </c>
      <c r="L4564" s="62" t="s">
        <v>2</v>
      </c>
      <c r="M4564" s="62">
        <v>3.5</v>
      </c>
      <c r="N4564" s="62">
        <v>0</v>
      </c>
    </row>
    <row r="4565" spans="9:14">
      <c r="I4565" s="62">
        <v>2027</v>
      </c>
      <c r="J4565" s="62">
        <v>9</v>
      </c>
      <c r="K4565" s="62" t="s">
        <v>24</v>
      </c>
      <c r="L4565" s="62" t="s">
        <v>2</v>
      </c>
      <c r="M4565" s="62">
        <v>14.61</v>
      </c>
      <c r="N4565" s="62">
        <v>0</v>
      </c>
    </row>
    <row r="4566" spans="9:14">
      <c r="I4566" s="62">
        <v>2027</v>
      </c>
      <c r="J4566" s="62">
        <v>10</v>
      </c>
      <c r="K4566" s="62" t="s">
        <v>24</v>
      </c>
      <c r="L4566" s="62" t="s">
        <v>2</v>
      </c>
      <c r="M4566" s="62">
        <v>21.4</v>
      </c>
      <c r="N4566" s="62">
        <v>0</v>
      </c>
    </row>
    <row r="4567" spans="9:14">
      <c r="I4567" s="62">
        <v>2027</v>
      </c>
      <c r="J4567" s="62">
        <v>11</v>
      </c>
      <c r="K4567" s="62" t="s">
        <v>24</v>
      </c>
      <c r="L4567" s="62" t="s">
        <v>2</v>
      </c>
      <c r="M4567" s="62">
        <v>3.5</v>
      </c>
      <c r="N4567" s="62">
        <v>0</v>
      </c>
    </row>
    <row r="4568" spans="9:14">
      <c r="I4568" s="62">
        <v>2027</v>
      </c>
      <c r="J4568" s="62">
        <v>12</v>
      </c>
      <c r="K4568" s="62" t="s">
        <v>24</v>
      </c>
      <c r="L4568" s="62" t="s">
        <v>2</v>
      </c>
      <c r="M4568" s="62">
        <v>3.5</v>
      </c>
      <c r="N4568" s="62">
        <v>0</v>
      </c>
    </row>
    <row r="4569" spans="9:14">
      <c r="I4569" s="62">
        <v>2014</v>
      </c>
      <c r="J4569" s="62">
        <v>2</v>
      </c>
      <c r="K4569" s="62" t="s">
        <v>24</v>
      </c>
      <c r="L4569" s="62" t="s">
        <v>3</v>
      </c>
      <c r="M4569" s="62">
        <v>1.54</v>
      </c>
      <c r="N4569" s="62">
        <v>0</v>
      </c>
    </row>
    <row r="4570" spans="9:14">
      <c r="I4570" s="62">
        <v>2014</v>
      </c>
      <c r="J4570" s="62">
        <v>4</v>
      </c>
      <c r="K4570" s="62" t="s">
        <v>24</v>
      </c>
      <c r="L4570" s="62" t="s">
        <v>3</v>
      </c>
      <c r="M4570" s="62">
        <v>0.45</v>
      </c>
      <c r="N4570" s="62">
        <v>0</v>
      </c>
    </row>
    <row r="4571" spans="9:14">
      <c r="I4571" s="62">
        <v>2014</v>
      </c>
      <c r="J4571" s="62">
        <v>7</v>
      </c>
      <c r="K4571" s="62" t="s">
        <v>24</v>
      </c>
      <c r="L4571" s="62" t="s">
        <v>3</v>
      </c>
      <c r="M4571" s="62">
        <v>0.85</v>
      </c>
      <c r="N4571" s="62">
        <v>0</v>
      </c>
    </row>
    <row r="4572" spans="9:14">
      <c r="I4572" s="62">
        <v>2014</v>
      </c>
      <c r="J4572" s="62">
        <v>8</v>
      </c>
      <c r="K4572" s="62" t="s">
        <v>24</v>
      </c>
      <c r="L4572" s="62" t="s">
        <v>3</v>
      </c>
      <c r="M4572" s="62">
        <v>9.515000000000001</v>
      </c>
      <c r="N4572" s="62">
        <v>0</v>
      </c>
    </row>
    <row r="4573" spans="9:14">
      <c r="I4573" s="62">
        <v>2014</v>
      </c>
      <c r="J4573" s="62">
        <v>9</v>
      </c>
      <c r="K4573" s="62" t="s">
        <v>24</v>
      </c>
      <c r="L4573" s="62" t="s">
        <v>3</v>
      </c>
      <c r="M4573" s="62">
        <v>4.965</v>
      </c>
      <c r="N4573" s="62">
        <v>0</v>
      </c>
    </row>
    <row r="4574" spans="9:14">
      <c r="I4574" s="62">
        <v>2014</v>
      </c>
      <c r="J4574" s="62">
        <v>10</v>
      </c>
      <c r="K4574" s="62" t="s">
        <v>24</v>
      </c>
      <c r="L4574" s="62" t="s">
        <v>3</v>
      </c>
      <c r="M4574" s="62">
        <v>0.18</v>
      </c>
      <c r="N4574" s="62">
        <v>0</v>
      </c>
    </row>
    <row r="4575" spans="9:14">
      <c r="I4575" s="62">
        <v>2014</v>
      </c>
      <c r="J4575" s="62">
        <v>12</v>
      </c>
      <c r="K4575" s="62" t="s">
        <v>24</v>
      </c>
      <c r="L4575" s="62" t="s">
        <v>3</v>
      </c>
      <c r="M4575" s="62">
        <v>0.225</v>
      </c>
      <c r="N4575" s="62">
        <v>0</v>
      </c>
    </row>
    <row r="4576" spans="9:14">
      <c r="I4576" s="62">
        <v>2015</v>
      </c>
      <c r="J4576" s="62">
        <v>1</v>
      </c>
      <c r="K4576" s="62" t="s">
        <v>24</v>
      </c>
      <c r="L4576" s="62" t="s">
        <v>3</v>
      </c>
      <c r="M4576" s="62">
        <v>6.741</v>
      </c>
      <c r="N4576" s="62">
        <v>0</v>
      </c>
    </row>
    <row r="4577" spans="9:14">
      <c r="I4577" s="62">
        <v>2015</v>
      </c>
      <c r="J4577" s="62">
        <v>3</v>
      </c>
      <c r="K4577" s="62" t="s">
        <v>24</v>
      </c>
      <c r="L4577" s="62" t="s">
        <v>3</v>
      </c>
      <c r="M4577" s="62">
        <v>0.33</v>
      </c>
      <c r="N4577" s="62">
        <v>0</v>
      </c>
    </row>
    <row r="4578" spans="9:14">
      <c r="I4578" s="62">
        <v>2015</v>
      </c>
      <c r="J4578" s="62">
        <v>4</v>
      </c>
      <c r="K4578" s="62" t="s">
        <v>24</v>
      </c>
      <c r="L4578" s="62" t="s">
        <v>3</v>
      </c>
      <c r="M4578" s="62">
        <v>0.175</v>
      </c>
      <c r="N4578" s="62">
        <v>0</v>
      </c>
    </row>
    <row r="4579" spans="9:14">
      <c r="I4579" s="62">
        <v>2015</v>
      </c>
      <c r="J4579" s="62">
        <v>7</v>
      </c>
      <c r="K4579" s="62" t="s">
        <v>24</v>
      </c>
      <c r="L4579" s="62" t="s">
        <v>3</v>
      </c>
      <c r="M4579" s="62">
        <v>0.96</v>
      </c>
      <c r="N4579" s="62">
        <v>0</v>
      </c>
    </row>
    <row r="4580" spans="9:14">
      <c r="I4580" s="62">
        <v>2015</v>
      </c>
      <c r="J4580" s="62">
        <v>11</v>
      </c>
      <c r="K4580" s="62" t="s">
        <v>24</v>
      </c>
      <c r="L4580" s="62" t="s">
        <v>3</v>
      </c>
      <c r="M4580" s="62">
        <v>1.265</v>
      </c>
      <c r="N4580" s="62">
        <v>0</v>
      </c>
    </row>
    <row r="4581" spans="9:14">
      <c r="I4581" s="62">
        <v>2015</v>
      </c>
      <c r="J4581" s="62">
        <v>12</v>
      </c>
      <c r="K4581" s="62" t="s">
        <v>24</v>
      </c>
      <c r="L4581" s="62" t="s">
        <v>3</v>
      </c>
      <c r="M4581" s="62">
        <v>3.355</v>
      </c>
      <c r="N4581" s="62">
        <v>0</v>
      </c>
    </row>
    <row r="4582" spans="9:14">
      <c r="I4582" s="62">
        <v>2016</v>
      </c>
      <c r="J4582" s="62">
        <v>1</v>
      </c>
      <c r="K4582" s="62" t="s">
        <v>24</v>
      </c>
      <c r="L4582" s="62" t="s">
        <v>3</v>
      </c>
      <c r="M4582" s="62">
        <v>5.04</v>
      </c>
      <c r="N4582" s="62">
        <v>0</v>
      </c>
    </row>
    <row r="4583" spans="9:14">
      <c r="I4583" s="62">
        <v>2016</v>
      </c>
      <c r="J4583" s="62">
        <v>2</v>
      </c>
      <c r="K4583" s="62" t="s">
        <v>24</v>
      </c>
      <c r="L4583" s="62" t="s">
        <v>3</v>
      </c>
      <c r="M4583" s="62">
        <v>4.032</v>
      </c>
      <c r="N4583" s="62">
        <v>0</v>
      </c>
    </row>
    <row r="4584" spans="9:14">
      <c r="I4584" s="62">
        <v>2016</v>
      </c>
      <c r="J4584" s="62">
        <v>3</v>
      </c>
      <c r="K4584" s="62" t="s">
        <v>24</v>
      </c>
      <c r="L4584" s="62" t="s">
        <v>3</v>
      </c>
      <c r="M4584" s="62">
        <v>0.096</v>
      </c>
      <c r="N4584" s="62">
        <v>0</v>
      </c>
    </row>
    <row r="4585" spans="9:14">
      <c r="I4585" s="62">
        <v>2016</v>
      </c>
      <c r="J4585" s="62">
        <v>5</v>
      </c>
      <c r="K4585" s="62" t="s">
        <v>24</v>
      </c>
      <c r="L4585" s="62" t="s">
        <v>3</v>
      </c>
      <c r="M4585" s="62">
        <v>0.175</v>
      </c>
      <c r="N4585" s="62">
        <v>0</v>
      </c>
    </row>
    <row r="4586" spans="9:14">
      <c r="I4586" s="62">
        <v>2016</v>
      </c>
      <c r="J4586" s="62">
        <v>7</v>
      </c>
      <c r="K4586" s="62" t="s">
        <v>24</v>
      </c>
      <c r="L4586" s="62" t="s">
        <v>3</v>
      </c>
      <c r="M4586" s="62">
        <v>0.35</v>
      </c>
      <c r="N4586" s="62">
        <v>0</v>
      </c>
    </row>
    <row r="4587" spans="9:14">
      <c r="I4587" s="62">
        <v>2016</v>
      </c>
      <c r="J4587" s="62">
        <v>8</v>
      </c>
      <c r="K4587" s="62" t="s">
        <v>24</v>
      </c>
      <c r="L4587" s="62" t="s">
        <v>3</v>
      </c>
      <c r="M4587" s="62">
        <v>0.855</v>
      </c>
      <c r="N4587" s="62">
        <v>0</v>
      </c>
    </row>
    <row r="4588" spans="9:14">
      <c r="I4588" s="62">
        <v>2016</v>
      </c>
      <c r="J4588" s="62">
        <v>12</v>
      </c>
      <c r="K4588" s="62" t="s">
        <v>24</v>
      </c>
      <c r="L4588" s="62" t="s">
        <v>3</v>
      </c>
      <c r="M4588" s="62">
        <v>0.715</v>
      </c>
      <c r="N4588" s="62">
        <v>0</v>
      </c>
    </row>
    <row r="4589" spans="9:14">
      <c r="I4589" s="62">
        <v>2017</v>
      </c>
      <c r="J4589" s="62">
        <v>1</v>
      </c>
      <c r="K4589" s="62" t="s">
        <v>24</v>
      </c>
      <c r="L4589" s="62" t="s">
        <v>3</v>
      </c>
      <c r="M4589" s="62">
        <v>5.5</v>
      </c>
      <c r="N4589" s="62">
        <v>0</v>
      </c>
    </row>
    <row r="4590" spans="9:14">
      <c r="I4590" s="62">
        <v>2017</v>
      </c>
      <c r="J4590" s="62">
        <v>2</v>
      </c>
      <c r="K4590" s="62" t="s">
        <v>24</v>
      </c>
      <c r="L4590" s="62" t="s">
        <v>3</v>
      </c>
      <c r="M4590" s="62">
        <v>4.125</v>
      </c>
      <c r="N4590" s="62">
        <v>0</v>
      </c>
    </row>
    <row r="4591" spans="9:14">
      <c r="I4591" s="62">
        <v>2017</v>
      </c>
      <c r="J4591" s="62">
        <v>5</v>
      </c>
      <c r="K4591" s="62" t="s">
        <v>24</v>
      </c>
      <c r="L4591" s="62" t="s">
        <v>3</v>
      </c>
      <c r="M4591" s="62">
        <v>0.988</v>
      </c>
      <c r="N4591" s="62">
        <v>0</v>
      </c>
    </row>
    <row r="4592" spans="9:14">
      <c r="I4592" s="62">
        <v>2017</v>
      </c>
      <c r="J4592" s="62">
        <v>7</v>
      </c>
      <c r="K4592" s="62" t="s">
        <v>24</v>
      </c>
      <c r="L4592" s="62" t="s">
        <v>3</v>
      </c>
      <c r="M4592" s="62">
        <v>7.3125</v>
      </c>
      <c r="N4592" s="62">
        <v>0</v>
      </c>
    </row>
    <row r="4593" spans="9:14">
      <c r="I4593" s="62">
        <v>2017</v>
      </c>
      <c r="J4593" s="62">
        <v>8</v>
      </c>
      <c r="K4593" s="62" t="s">
        <v>24</v>
      </c>
      <c r="L4593" s="62" t="s">
        <v>3</v>
      </c>
      <c r="M4593" s="62">
        <v>7.131</v>
      </c>
      <c r="N4593" s="62">
        <v>0</v>
      </c>
    </row>
    <row r="4594" spans="9:14">
      <c r="I4594" s="62">
        <v>2017</v>
      </c>
      <c r="J4594" s="62">
        <v>9</v>
      </c>
      <c r="K4594" s="62" t="s">
        <v>24</v>
      </c>
      <c r="L4594" s="62" t="s">
        <v>3</v>
      </c>
      <c r="M4594" s="62">
        <v>77.90000000000001</v>
      </c>
      <c r="N4594" s="62">
        <v>0</v>
      </c>
    </row>
    <row r="4595" spans="9:14">
      <c r="I4595" s="62">
        <v>2017</v>
      </c>
      <c r="J4595" s="62">
        <v>10</v>
      </c>
      <c r="K4595" s="62" t="s">
        <v>24</v>
      </c>
      <c r="L4595" s="62" t="s">
        <v>3</v>
      </c>
      <c r="M4595" s="62">
        <v>12.937</v>
      </c>
      <c r="N4595" s="62">
        <v>0</v>
      </c>
    </row>
    <row r="4596" spans="9:14">
      <c r="I4596" s="62">
        <v>2018</v>
      </c>
      <c r="J4596" s="62">
        <v>3</v>
      </c>
      <c r="K4596" s="62" t="s">
        <v>24</v>
      </c>
      <c r="L4596" s="62" t="s">
        <v>3</v>
      </c>
      <c r="M4596" s="62">
        <v>0.36</v>
      </c>
      <c r="N4596" s="62">
        <v>0</v>
      </c>
    </row>
    <row r="4597" spans="9:14">
      <c r="I4597" s="62">
        <v>2018</v>
      </c>
      <c r="J4597" s="62">
        <v>4</v>
      </c>
      <c r="K4597" s="62" t="s">
        <v>24</v>
      </c>
      <c r="L4597" s="62" t="s">
        <v>3</v>
      </c>
      <c r="M4597" s="62">
        <v>1.65</v>
      </c>
      <c r="N4597" s="62">
        <v>0</v>
      </c>
    </row>
    <row r="4598" spans="9:14">
      <c r="I4598" s="62">
        <v>2018</v>
      </c>
      <c r="J4598" s="62">
        <v>5</v>
      </c>
      <c r="K4598" s="62" t="s">
        <v>24</v>
      </c>
      <c r="L4598" s="62" t="s">
        <v>3</v>
      </c>
      <c r="M4598" s="62">
        <v>5.975</v>
      </c>
      <c r="N4598" s="62">
        <v>0</v>
      </c>
    </row>
    <row r="4599" spans="9:14">
      <c r="I4599" s="62">
        <v>2018</v>
      </c>
      <c r="J4599" s="62">
        <v>6</v>
      </c>
      <c r="K4599" s="62" t="s">
        <v>24</v>
      </c>
      <c r="L4599" s="62" t="s">
        <v>3</v>
      </c>
      <c r="M4599" s="62">
        <v>4.945</v>
      </c>
      <c r="N4599" s="62">
        <v>0</v>
      </c>
    </row>
    <row r="4600" spans="9:14">
      <c r="I4600" s="62">
        <v>2018</v>
      </c>
      <c r="J4600" s="62">
        <v>7</v>
      </c>
      <c r="K4600" s="62" t="s">
        <v>24</v>
      </c>
      <c r="L4600" s="62" t="s">
        <v>3</v>
      </c>
      <c r="M4600" s="62">
        <v>3.71</v>
      </c>
      <c r="N4600" s="62">
        <v>0</v>
      </c>
    </row>
    <row r="4601" spans="9:14">
      <c r="I4601" s="62">
        <v>2018</v>
      </c>
      <c r="J4601" s="62">
        <v>8</v>
      </c>
      <c r="K4601" s="62" t="s">
        <v>24</v>
      </c>
      <c r="L4601" s="62" t="s">
        <v>3</v>
      </c>
      <c r="M4601" s="62">
        <v>3.5</v>
      </c>
      <c r="N4601" s="62">
        <v>0</v>
      </c>
    </row>
    <row r="4602" spans="9:14">
      <c r="I4602" s="62">
        <v>2018</v>
      </c>
      <c r="J4602" s="62">
        <v>9</v>
      </c>
      <c r="K4602" s="62" t="s">
        <v>24</v>
      </c>
      <c r="L4602" s="62" t="s">
        <v>3</v>
      </c>
      <c r="M4602" s="62">
        <v>5.145</v>
      </c>
      <c r="N4602" s="62">
        <v>0</v>
      </c>
    </row>
    <row r="4603" spans="9:14">
      <c r="I4603" s="62">
        <v>2018</v>
      </c>
      <c r="J4603" s="62">
        <v>10</v>
      </c>
      <c r="K4603" s="62" t="s">
        <v>24</v>
      </c>
      <c r="L4603" s="62" t="s">
        <v>3</v>
      </c>
      <c r="M4603" s="62">
        <v>11.185</v>
      </c>
      <c r="N4603" s="62">
        <v>0</v>
      </c>
    </row>
    <row r="4604" spans="9:14">
      <c r="I4604" s="62">
        <v>2018</v>
      </c>
      <c r="J4604" s="62">
        <v>11</v>
      </c>
      <c r="K4604" s="62" t="s">
        <v>24</v>
      </c>
      <c r="L4604" s="62" t="s">
        <v>3</v>
      </c>
      <c r="M4604" s="62">
        <v>2</v>
      </c>
      <c r="N4604" s="62">
        <v>0</v>
      </c>
    </row>
    <row r="4605" spans="9:14">
      <c r="I4605" s="62">
        <v>2018</v>
      </c>
      <c r="J4605" s="62">
        <v>12</v>
      </c>
      <c r="K4605" s="62" t="s">
        <v>24</v>
      </c>
      <c r="L4605" s="62" t="s">
        <v>3</v>
      </c>
      <c r="M4605" s="62">
        <v>3.545</v>
      </c>
      <c r="N4605" s="62">
        <v>0</v>
      </c>
    </row>
    <row r="4606" spans="9:14">
      <c r="I4606" s="62">
        <v>2019</v>
      </c>
      <c r="J4606" s="62">
        <v>1</v>
      </c>
      <c r="K4606" s="62" t="s">
        <v>24</v>
      </c>
      <c r="L4606" s="62" t="s">
        <v>3</v>
      </c>
      <c r="M4606" s="62">
        <v>2.12</v>
      </c>
      <c r="N4606" s="62">
        <v>0</v>
      </c>
    </row>
    <row r="4607" spans="9:14">
      <c r="I4607" s="62">
        <v>2019</v>
      </c>
      <c r="J4607" s="62">
        <v>2</v>
      </c>
      <c r="K4607" s="62" t="s">
        <v>24</v>
      </c>
      <c r="L4607" s="62" t="s">
        <v>3</v>
      </c>
      <c r="M4607" s="62">
        <v>5.124</v>
      </c>
      <c r="N4607" s="62">
        <v>0</v>
      </c>
    </row>
    <row r="4608" spans="9:14">
      <c r="I4608" s="62">
        <v>2019</v>
      </c>
      <c r="J4608" s="62">
        <v>3</v>
      </c>
      <c r="K4608" s="62" t="s">
        <v>24</v>
      </c>
      <c r="L4608" s="62" t="s">
        <v>3</v>
      </c>
      <c r="M4608" s="62">
        <v>15.4075</v>
      </c>
      <c r="N4608" s="62">
        <v>0</v>
      </c>
    </row>
    <row r="4609" spans="9:14">
      <c r="I4609" s="62">
        <v>2019</v>
      </c>
      <c r="J4609" s="62">
        <v>4</v>
      </c>
      <c r="K4609" s="62" t="s">
        <v>24</v>
      </c>
      <c r="L4609" s="62" t="s">
        <v>3</v>
      </c>
      <c r="M4609" s="62">
        <v>8.109999999999999</v>
      </c>
      <c r="N4609" s="62">
        <v>0</v>
      </c>
    </row>
    <row r="4610" spans="9:14">
      <c r="I4610" s="62">
        <v>2019</v>
      </c>
      <c r="J4610" s="62">
        <v>5</v>
      </c>
      <c r="K4610" s="62" t="s">
        <v>24</v>
      </c>
      <c r="L4610" s="62" t="s">
        <v>3</v>
      </c>
      <c r="M4610" s="62">
        <v>6.172000000000001</v>
      </c>
      <c r="N4610" s="62">
        <v>0</v>
      </c>
    </row>
    <row r="4611" spans="9:14">
      <c r="I4611" s="62">
        <v>2019</v>
      </c>
      <c r="J4611" s="62">
        <v>6</v>
      </c>
      <c r="K4611" s="62" t="s">
        <v>24</v>
      </c>
      <c r="L4611" s="62" t="s">
        <v>3</v>
      </c>
      <c r="M4611" s="62">
        <v>8.045</v>
      </c>
      <c r="N4611" s="62">
        <v>0</v>
      </c>
    </row>
    <row r="4612" spans="9:14">
      <c r="I4612" s="62">
        <v>2019</v>
      </c>
      <c r="J4612" s="62">
        <v>7</v>
      </c>
      <c r="K4612" s="62" t="s">
        <v>24</v>
      </c>
      <c r="L4612" s="62" t="s">
        <v>3</v>
      </c>
      <c r="M4612" s="62">
        <v>2</v>
      </c>
      <c r="N4612" s="62">
        <v>0</v>
      </c>
    </row>
    <row r="4613" spans="9:14">
      <c r="I4613" s="62">
        <v>2019</v>
      </c>
      <c r="J4613" s="62">
        <v>8</v>
      </c>
      <c r="K4613" s="62" t="s">
        <v>24</v>
      </c>
      <c r="L4613" s="62" t="s">
        <v>3</v>
      </c>
      <c r="M4613" s="62">
        <v>2.165</v>
      </c>
      <c r="N4613" s="62">
        <v>0</v>
      </c>
    </row>
    <row r="4614" spans="9:14">
      <c r="I4614" s="62">
        <v>2019</v>
      </c>
      <c r="J4614" s="62">
        <v>9</v>
      </c>
      <c r="K4614" s="62" t="s">
        <v>24</v>
      </c>
      <c r="L4614" s="62" t="s">
        <v>3</v>
      </c>
      <c r="M4614" s="62">
        <v>5.222</v>
      </c>
      <c r="N4614" s="62">
        <v>0</v>
      </c>
    </row>
    <row r="4615" spans="9:14">
      <c r="I4615" s="62">
        <v>2019</v>
      </c>
      <c r="J4615" s="62">
        <v>10</v>
      </c>
      <c r="K4615" s="62" t="s">
        <v>24</v>
      </c>
      <c r="L4615" s="62" t="s">
        <v>3</v>
      </c>
      <c r="M4615" s="62">
        <v>2</v>
      </c>
      <c r="N4615" s="62">
        <v>0</v>
      </c>
    </row>
    <row r="4616" spans="9:14">
      <c r="I4616" s="62">
        <v>2019</v>
      </c>
      <c r="J4616" s="62">
        <v>11</v>
      </c>
      <c r="K4616" s="62" t="s">
        <v>24</v>
      </c>
      <c r="L4616" s="62" t="s">
        <v>3</v>
      </c>
      <c r="M4616" s="62">
        <v>2.245</v>
      </c>
      <c r="N4616" s="62">
        <v>0</v>
      </c>
    </row>
    <row r="4617" spans="9:14">
      <c r="I4617" s="62">
        <v>2019</v>
      </c>
      <c r="J4617" s="62">
        <v>12</v>
      </c>
      <c r="K4617" s="62" t="s">
        <v>24</v>
      </c>
      <c r="L4617" s="62" t="s">
        <v>3</v>
      </c>
      <c r="M4617" s="62">
        <v>2</v>
      </c>
      <c r="N4617" s="62">
        <v>0</v>
      </c>
    </row>
    <row r="4618" spans="9:14">
      <c r="I4618" s="62">
        <v>2020</v>
      </c>
      <c r="J4618" s="62">
        <v>1</v>
      </c>
      <c r="K4618" s="62" t="s">
        <v>24</v>
      </c>
      <c r="L4618" s="62" t="s">
        <v>3</v>
      </c>
      <c r="M4618" s="62">
        <v>2</v>
      </c>
      <c r="N4618" s="62">
        <v>0</v>
      </c>
    </row>
    <row r="4619" spans="9:14">
      <c r="I4619" s="62">
        <v>2020</v>
      </c>
      <c r="J4619" s="62">
        <v>2</v>
      </c>
      <c r="K4619" s="62" t="s">
        <v>24</v>
      </c>
      <c r="L4619" s="62" t="s">
        <v>3</v>
      </c>
      <c r="M4619" s="62">
        <v>2</v>
      </c>
      <c r="N4619" s="62">
        <v>0</v>
      </c>
    </row>
    <row r="4620" spans="9:14">
      <c r="I4620" s="62">
        <v>2020</v>
      </c>
      <c r="J4620" s="62">
        <v>3</v>
      </c>
      <c r="K4620" s="62" t="s">
        <v>24</v>
      </c>
      <c r="L4620" s="62" t="s">
        <v>3</v>
      </c>
      <c r="M4620" s="62">
        <v>15.9316</v>
      </c>
      <c r="N4620" s="62">
        <v>0</v>
      </c>
    </row>
    <row r="4621" spans="9:14">
      <c r="I4621" s="62">
        <v>2020</v>
      </c>
      <c r="J4621" s="62">
        <v>4</v>
      </c>
      <c r="K4621" s="62" t="s">
        <v>24</v>
      </c>
      <c r="L4621" s="62" t="s">
        <v>3</v>
      </c>
      <c r="M4621" s="62">
        <v>101.3419</v>
      </c>
      <c r="N4621" s="62">
        <v>0</v>
      </c>
    </row>
    <row r="4622" spans="9:14">
      <c r="I4622" s="62">
        <v>2020</v>
      </c>
      <c r="J4622" s="62">
        <v>5</v>
      </c>
      <c r="K4622" s="62" t="s">
        <v>24</v>
      </c>
      <c r="L4622" s="62" t="s">
        <v>3</v>
      </c>
      <c r="M4622" s="62">
        <v>106.7039</v>
      </c>
      <c r="N4622" s="62">
        <v>0</v>
      </c>
    </row>
    <row r="4623" spans="9:14">
      <c r="I4623" s="62">
        <v>2020</v>
      </c>
      <c r="J4623" s="62">
        <v>6</v>
      </c>
      <c r="K4623" s="62" t="s">
        <v>24</v>
      </c>
      <c r="L4623" s="62" t="s">
        <v>3</v>
      </c>
      <c r="M4623" s="62">
        <v>104.4978</v>
      </c>
      <c r="N4623" s="62">
        <v>0</v>
      </c>
    </row>
    <row r="4624" spans="9:14">
      <c r="I4624" s="62">
        <v>2020</v>
      </c>
      <c r="J4624" s="62">
        <v>7</v>
      </c>
      <c r="K4624" s="62" t="s">
        <v>24</v>
      </c>
      <c r="L4624" s="62" t="s">
        <v>3</v>
      </c>
      <c r="M4624" s="62">
        <v>102.47</v>
      </c>
      <c r="N4624" s="62">
        <v>0</v>
      </c>
    </row>
    <row r="4625" spans="9:14">
      <c r="I4625" s="62">
        <v>2020</v>
      </c>
      <c r="J4625" s="62">
        <v>8</v>
      </c>
      <c r="K4625" s="62" t="s">
        <v>24</v>
      </c>
      <c r="L4625" s="62" t="s">
        <v>3</v>
      </c>
      <c r="M4625" s="62">
        <v>122.3538</v>
      </c>
      <c r="N4625" s="62">
        <v>0</v>
      </c>
    </row>
    <row r="4626" spans="9:14">
      <c r="I4626" s="62">
        <v>2020</v>
      </c>
      <c r="J4626" s="62">
        <v>9</v>
      </c>
      <c r="K4626" s="62" t="s">
        <v>24</v>
      </c>
      <c r="L4626" s="62" t="s">
        <v>3</v>
      </c>
      <c r="M4626" s="62">
        <v>134.339</v>
      </c>
      <c r="N4626" s="62">
        <v>0</v>
      </c>
    </row>
    <row r="4627" spans="9:14">
      <c r="I4627" s="62">
        <v>2020</v>
      </c>
      <c r="J4627" s="62">
        <v>10</v>
      </c>
      <c r="K4627" s="62" t="s">
        <v>24</v>
      </c>
      <c r="L4627" s="62" t="s">
        <v>3</v>
      </c>
      <c r="M4627" s="62">
        <v>120.6966</v>
      </c>
      <c r="N4627" s="62">
        <v>0</v>
      </c>
    </row>
    <row r="4628" spans="9:14">
      <c r="I4628" s="62">
        <v>2020</v>
      </c>
      <c r="J4628" s="62">
        <v>11</v>
      </c>
      <c r="K4628" s="62" t="s">
        <v>24</v>
      </c>
      <c r="L4628" s="62" t="s">
        <v>3</v>
      </c>
      <c r="M4628" s="62">
        <v>99.95</v>
      </c>
      <c r="N4628" s="62">
        <v>0</v>
      </c>
    </row>
    <row r="4629" spans="9:14">
      <c r="I4629" s="62">
        <v>2020</v>
      </c>
      <c r="J4629" s="62">
        <v>12</v>
      </c>
      <c r="K4629" s="62" t="s">
        <v>24</v>
      </c>
      <c r="L4629" s="62" t="s">
        <v>3</v>
      </c>
      <c r="M4629" s="62">
        <v>95.91</v>
      </c>
      <c r="N4629" s="62">
        <v>0</v>
      </c>
    </row>
    <row r="4630" spans="9:14">
      <c r="I4630" s="62">
        <v>2021</v>
      </c>
      <c r="J4630" s="62">
        <v>1</v>
      </c>
      <c r="K4630" s="62" t="s">
        <v>24</v>
      </c>
      <c r="L4630" s="62" t="s">
        <v>3</v>
      </c>
      <c r="M4630" s="62">
        <v>90.425</v>
      </c>
      <c r="N4630" s="62">
        <v>0</v>
      </c>
    </row>
    <row r="4631" spans="9:14">
      <c r="I4631" s="62">
        <v>2021</v>
      </c>
      <c r="J4631" s="62">
        <v>2</v>
      </c>
      <c r="K4631" s="62" t="s">
        <v>24</v>
      </c>
      <c r="L4631" s="62" t="s">
        <v>3</v>
      </c>
      <c r="M4631" s="62">
        <v>118.55</v>
      </c>
      <c r="N4631" s="62">
        <v>0</v>
      </c>
    </row>
    <row r="4632" spans="9:14">
      <c r="I4632" s="62">
        <v>2021</v>
      </c>
      <c r="J4632" s="62">
        <v>3</v>
      </c>
      <c r="K4632" s="62" t="s">
        <v>24</v>
      </c>
      <c r="L4632" s="62" t="s">
        <v>3</v>
      </c>
      <c r="M4632" s="62">
        <v>74.5959</v>
      </c>
      <c r="N4632" s="62">
        <v>0</v>
      </c>
    </row>
    <row r="4633" spans="9:14">
      <c r="I4633" s="62">
        <v>2021</v>
      </c>
      <c r="J4633" s="62">
        <v>4</v>
      </c>
      <c r="K4633" s="62" t="s">
        <v>24</v>
      </c>
      <c r="L4633" s="62" t="s">
        <v>3</v>
      </c>
      <c r="M4633" s="62">
        <v>50.7748</v>
      </c>
      <c r="N4633" s="62">
        <v>0</v>
      </c>
    </row>
    <row r="4634" spans="9:14">
      <c r="I4634" s="62">
        <v>2021</v>
      </c>
      <c r="J4634" s="62">
        <v>5</v>
      </c>
      <c r="K4634" s="62" t="s">
        <v>24</v>
      </c>
      <c r="L4634" s="62" t="s">
        <v>3</v>
      </c>
      <c r="M4634" s="62">
        <v>15.9465</v>
      </c>
      <c r="N4634" s="62">
        <v>0</v>
      </c>
    </row>
    <row r="4635" spans="9:14">
      <c r="I4635" s="62">
        <v>2021</v>
      </c>
      <c r="J4635" s="62">
        <v>6</v>
      </c>
      <c r="K4635" s="62" t="s">
        <v>24</v>
      </c>
      <c r="L4635" s="62" t="s">
        <v>3</v>
      </c>
      <c r="M4635" s="62">
        <v>8.745899999999999</v>
      </c>
      <c r="N4635" s="62">
        <v>0</v>
      </c>
    </row>
    <row r="4636" spans="9:14">
      <c r="I4636" s="62">
        <v>2021</v>
      </c>
      <c r="J4636" s="62">
        <v>7</v>
      </c>
      <c r="K4636" s="62" t="s">
        <v>24</v>
      </c>
      <c r="L4636" s="62" t="s">
        <v>3</v>
      </c>
      <c r="M4636" s="62">
        <v>9.766999999999999</v>
      </c>
      <c r="N4636" s="62">
        <v>0</v>
      </c>
    </row>
    <row r="4637" spans="9:14">
      <c r="I4637" s="62">
        <v>2021</v>
      </c>
      <c r="J4637" s="62">
        <v>8</v>
      </c>
      <c r="K4637" s="62" t="s">
        <v>24</v>
      </c>
      <c r="L4637" s="62" t="s">
        <v>3</v>
      </c>
      <c r="M4637" s="62">
        <v>11.415</v>
      </c>
      <c r="N4637" s="62">
        <v>0</v>
      </c>
    </row>
    <row r="4638" spans="9:14">
      <c r="I4638" s="62">
        <v>2021</v>
      </c>
      <c r="J4638" s="62">
        <v>9</v>
      </c>
      <c r="K4638" s="62" t="s">
        <v>24</v>
      </c>
      <c r="L4638" s="62" t="s">
        <v>3</v>
      </c>
      <c r="M4638" s="62">
        <v>33.23</v>
      </c>
      <c r="N4638" s="62">
        <v>0</v>
      </c>
    </row>
    <row r="4639" spans="9:14">
      <c r="I4639" s="62">
        <v>2021</v>
      </c>
      <c r="J4639" s="62">
        <v>10</v>
      </c>
      <c r="K4639" s="62" t="s">
        <v>24</v>
      </c>
      <c r="L4639" s="62" t="s">
        <v>3</v>
      </c>
      <c r="M4639" s="62">
        <v>2</v>
      </c>
      <c r="N4639" s="62">
        <v>0</v>
      </c>
    </row>
    <row r="4640" spans="9:14">
      <c r="I4640" s="62">
        <v>2021</v>
      </c>
      <c r="J4640" s="62">
        <v>11</v>
      </c>
      <c r="K4640" s="62" t="s">
        <v>24</v>
      </c>
      <c r="L4640" s="62" t="s">
        <v>3</v>
      </c>
      <c r="M4640" s="62">
        <v>2</v>
      </c>
      <c r="N4640" s="62">
        <v>0</v>
      </c>
    </row>
    <row r="4641" spans="9:14">
      <c r="I4641" s="62">
        <v>2021</v>
      </c>
      <c r="J4641" s="62">
        <v>12</v>
      </c>
      <c r="K4641" s="62" t="s">
        <v>24</v>
      </c>
      <c r="L4641" s="62" t="s">
        <v>3</v>
      </c>
      <c r="M4641" s="62">
        <v>2</v>
      </c>
      <c r="N4641" s="62">
        <v>0</v>
      </c>
    </row>
    <row r="4642" spans="9:14">
      <c r="I4642" s="62">
        <v>2022</v>
      </c>
      <c r="J4642" s="62">
        <v>1</v>
      </c>
      <c r="K4642" s="62" t="s">
        <v>24</v>
      </c>
      <c r="L4642" s="62" t="s">
        <v>3</v>
      </c>
      <c r="M4642" s="62">
        <v>2</v>
      </c>
      <c r="N4642" s="62">
        <v>0</v>
      </c>
    </row>
    <row r="4643" spans="9:14">
      <c r="I4643" s="62">
        <v>2022</v>
      </c>
      <c r="J4643" s="62">
        <v>2</v>
      </c>
      <c r="K4643" s="62" t="s">
        <v>24</v>
      </c>
      <c r="L4643" s="62" t="s">
        <v>3</v>
      </c>
      <c r="M4643" s="62">
        <v>2</v>
      </c>
      <c r="N4643" s="62">
        <v>0</v>
      </c>
    </row>
    <row r="4644" spans="9:14">
      <c r="I4644" s="62">
        <v>2022</v>
      </c>
      <c r="J4644" s="62">
        <v>3</v>
      </c>
      <c r="K4644" s="62" t="s">
        <v>24</v>
      </c>
      <c r="L4644" s="62" t="s">
        <v>3</v>
      </c>
      <c r="M4644" s="62">
        <v>2</v>
      </c>
      <c r="N4644" s="62">
        <v>0</v>
      </c>
    </row>
    <row r="4645" spans="9:14">
      <c r="I4645" s="62">
        <v>2022</v>
      </c>
      <c r="J4645" s="62">
        <v>4</v>
      </c>
      <c r="K4645" s="62" t="s">
        <v>24</v>
      </c>
      <c r="L4645" s="62" t="s">
        <v>3</v>
      </c>
      <c r="M4645" s="62">
        <v>3.224</v>
      </c>
      <c r="N4645" s="62">
        <v>0</v>
      </c>
    </row>
    <row r="4646" spans="9:14">
      <c r="I4646" s="62">
        <v>2022</v>
      </c>
      <c r="J4646" s="62">
        <v>5</v>
      </c>
      <c r="K4646" s="62" t="s">
        <v>24</v>
      </c>
      <c r="L4646" s="62" t="s">
        <v>3</v>
      </c>
      <c r="M4646" s="62">
        <v>2.4845</v>
      </c>
      <c r="N4646" s="62">
        <v>0</v>
      </c>
    </row>
    <row r="4647" spans="9:14">
      <c r="I4647" s="62">
        <v>2022</v>
      </c>
      <c r="J4647" s="62">
        <v>6</v>
      </c>
      <c r="K4647" s="62" t="s">
        <v>24</v>
      </c>
      <c r="L4647" s="62" t="s">
        <v>3</v>
      </c>
      <c r="M4647" s="62">
        <v>2.5</v>
      </c>
      <c r="N4647" s="62">
        <v>0</v>
      </c>
    </row>
    <row r="4648" spans="9:14">
      <c r="I4648" s="62">
        <v>2022</v>
      </c>
      <c r="J4648" s="62">
        <v>7</v>
      </c>
      <c r="K4648" s="62" t="s">
        <v>24</v>
      </c>
      <c r="L4648" s="62" t="s">
        <v>3</v>
      </c>
      <c r="M4648" s="62">
        <v>9.23</v>
      </c>
      <c r="N4648" s="62">
        <v>0</v>
      </c>
    </row>
    <row r="4649" spans="9:14">
      <c r="I4649" s="62">
        <v>2022</v>
      </c>
      <c r="J4649" s="62">
        <v>8</v>
      </c>
      <c r="K4649" s="62" t="s">
        <v>24</v>
      </c>
      <c r="L4649" s="62" t="s">
        <v>3</v>
      </c>
      <c r="M4649" s="62">
        <v>11.814</v>
      </c>
      <c r="N4649" s="62">
        <v>0</v>
      </c>
    </row>
    <row r="4650" spans="9:14">
      <c r="I4650" s="62">
        <v>2022</v>
      </c>
      <c r="J4650" s="62">
        <v>9</v>
      </c>
      <c r="K4650" s="62" t="s">
        <v>24</v>
      </c>
      <c r="L4650" s="62" t="s">
        <v>3</v>
      </c>
      <c r="M4650" s="62">
        <v>3.953</v>
      </c>
      <c r="N4650" s="62">
        <v>0</v>
      </c>
    </row>
    <row r="4651" spans="9:14">
      <c r="I4651" s="62">
        <v>2022</v>
      </c>
      <c r="J4651" s="62">
        <v>10</v>
      </c>
      <c r="K4651" s="62" t="s">
        <v>24</v>
      </c>
      <c r="L4651" s="62" t="s">
        <v>3</v>
      </c>
      <c r="M4651" s="62">
        <v>2.384</v>
      </c>
      <c r="N4651" s="62">
        <v>0</v>
      </c>
    </row>
    <row r="4652" spans="9:14">
      <c r="I4652" s="62">
        <v>2022</v>
      </c>
      <c r="J4652" s="62">
        <v>11</v>
      </c>
      <c r="K4652" s="62" t="s">
        <v>24</v>
      </c>
      <c r="L4652" s="62" t="s">
        <v>3</v>
      </c>
      <c r="M4652" s="62">
        <v>2.8</v>
      </c>
      <c r="N4652" s="62">
        <v>0</v>
      </c>
    </row>
    <row r="4653" spans="9:14">
      <c r="I4653" s="62">
        <v>2022</v>
      </c>
      <c r="J4653" s="62">
        <v>12</v>
      </c>
      <c r="K4653" s="62" t="s">
        <v>24</v>
      </c>
      <c r="L4653" s="62" t="s">
        <v>3</v>
      </c>
      <c r="M4653" s="62">
        <v>15.2878</v>
      </c>
      <c r="N4653" s="62">
        <v>0</v>
      </c>
    </row>
    <row r="4654" spans="9:14">
      <c r="I4654" s="62">
        <v>2023</v>
      </c>
      <c r="J4654" s="62">
        <v>1</v>
      </c>
      <c r="K4654" s="62" t="s">
        <v>24</v>
      </c>
      <c r="L4654" s="62" t="s">
        <v>3</v>
      </c>
      <c r="M4654" s="62">
        <v>17.2786</v>
      </c>
      <c r="N4654" s="62">
        <v>0</v>
      </c>
    </row>
    <row r="4655" spans="9:14">
      <c r="I4655" s="62">
        <v>2023</v>
      </c>
      <c r="J4655" s="62">
        <v>2</v>
      </c>
      <c r="K4655" s="62" t="s">
        <v>24</v>
      </c>
      <c r="L4655" s="62" t="s">
        <v>3</v>
      </c>
      <c r="M4655" s="62">
        <v>20</v>
      </c>
      <c r="N4655" s="62">
        <v>0</v>
      </c>
    </row>
    <row r="4656" spans="9:14">
      <c r="I4656" s="62">
        <v>2023</v>
      </c>
      <c r="J4656" s="62">
        <v>3</v>
      </c>
      <c r="K4656" s="62" t="s">
        <v>24</v>
      </c>
      <c r="L4656" s="62" t="s">
        <v>3</v>
      </c>
      <c r="M4656" s="62">
        <v>21.92</v>
      </c>
      <c r="N4656" s="62">
        <v>0</v>
      </c>
    </row>
    <row r="4657" spans="9:14">
      <c r="I4657" s="62">
        <v>2023</v>
      </c>
      <c r="J4657" s="62">
        <v>4</v>
      </c>
      <c r="K4657" s="62" t="s">
        <v>24</v>
      </c>
      <c r="L4657" s="62" t="s">
        <v>3</v>
      </c>
      <c r="M4657" s="62">
        <v>4.93</v>
      </c>
      <c r="N4657" s="62">
        <v>0</v>
      </c>
    </row>
    <row r="4658" spans="9:14">
      <c r="I4658" s="62">
        <v>2023</v>
      </c>
      <c r="J4658" s="62">
        <v>5</v>
      </c>
      <c r="K4658" s="62" t="s">
        <v>24</v>
      </c>
      <c r="L4658" s="62" t="s">
        <v>3</v>
      </c>
      <c r="M4658" s="62">
        <v>2</v>
      </c>
      <c r="N4658" s="62">
        <v>0</v>
      </c>
    </row>
    <row r="4659" spans="9:14">
      <c r="I4659" s="62">
        <v>2023</v>
      </c>
      <c r="J4659" s="62">
        <v>6</v>
      </c>
      <c r="K4659" s="62" t="s">
        <v>24</v>
      </c>
      <c r="L4659" s="62" t="s">
        <v>3</v>
      </c>
      <c r="M4659" s="62">
        <v>5.282</v>
      </c>
      <c r="N4659" s="62">
        <v>0</v>
      </c>
    </row>
    <row r="4660" spans="9:14">
      <c r="I4660" s="62">
        <v>2023</v>
      </c>
      <c r="J4660" s="62">
        <v>7</v>
      </c>
      <c r="K4660" s="62" t="s">
        <v>24</v>
      </c>
      <c r="L4660" s="62" t="s">
        <v>3</v>
      </c>
      <c r="M4660" s="62">
        <v>3.1556</v>
      </c>
      <c r="N4660" s="62">
        <v>0</v>
      </c>
    </row>
    <row r="4661" spans="9:14">
      <c r="I4661" s="62">
        <v>2023</v>
      </c>
      <c r="J4661" s="62">
        <v>8</v>
      </c>
      <c r="K4661" s="62" t="s">
        <v>24</v>
      </c>
      <c r="L4661" s="62" t="s">
        <v>3</v>
      </c>
      <c r="M4661" s="62">
        <v>2.835</v>
      </c>
      <c r="N4661" s="62">
        <v>0</v>
      </c>
    </row>
    <row r="4662" spans="9:14">
      <c r="I4662" s="62">
        <v>2023</v>
      </c>
      <c r="J4662" s="62">
        <v>9</v>
      </c>
      <c r="K4662" s="62" t="s">
        <v>24</v>
      </c>
      <c r="L4662" s="62" t="s">
        <v>3</v>
      </c>
      <c r="M4662" s="62">
        <v>2.175</v>
      </c>
      <c r="N4662" s="62">
        <v>0</v>
      </c>
    </row>
    <row r="4663" spans="9:14">
      <c r="I4663" s="62">
        <v>2023</v>
      </c>
      <c r="J4663" s="62">
        <v>10</v>
      </c>
      <c r="K4663" s="62" t="s">
        <v>24</v>
      </c>
      <c r="L4663" s="62" t="s">
        <v>3</v>
      </c>
      <c r="M4663" s="62">
        <v>3.289</v>
      </c>
      <c r="N4663" s="62">
        <v>0</v>
      </c>
    </row>
    <row r="4664" spans="9:14">
      <c r="I4664" s="62">
        <v>2023</v>
      </c>
      <c r="J4664" s="62">
        <v>11</v>
      </c>
      <c r="K4664" s="62" t="s">
        <v>24</v>
      </c>
      <c r="L4664" s="62" t="s">
        <v>3</v>
      </c>
      <c r="M4664" s="62">
        <v>0.86</v>
      </c>
      <c r="N4664" s="62">
        <v>0</v>
      </c>
    </row>
    <row r="4665" spans="9:14">
      <c r="I4665" s="62">
        <v>2024</v>
      </c>
      <c r="J4665" s="62">
        <v>1</v>
      </c>
      <c r="K4665" s="62" t="s">
        <v>24</v>
      </c>
      <c r="L4665" s="62" t="s">
        <v>3</v>
      </c>
      <c r="M4665" s="62">
        <v>9.945</v>
      </c>
      <c r="N4665" s="62">
        <v>0</v>
      </c>
    </row>
    <row r="4666" spans="9:14">
      <c r="I4666" s="62">
        <v>2024</v>
      </c>
      <c r="J4666" s="62">
        <v>2</v>
      </c>
      <c r="K4666" s="62" t="s">
        <v>24</v>
      </c>
      <c r="L4666" s="62" t="s">
        <v>3</v>
      </c>
      <c r="M4666" s="62">
        <v>34.38</v>
      </c>
      <c r="N4666" s="62">
        <v>0</v>
      </c>
    </row>
    <row r="4667" spans="9:14">
      <c r="I4667" s="62">
        <v>2024</v>
      </c>
      <c r="J4667" s="62">
        <v>3</v>
      </c>
      <c r="K4667" s="62" t="s">
        <v>24</v>
      </c>
      <c r="L4667" s="62" t="s">
        <v>3</v>
      </c>
      <c r="M4667" s="62">
        <v>11.761</v>
      </c>
      <c r="N4667" s="62">
        <v>0</v>
      </c>
    </row>
    <row r="4668" spans="9:14">
      <c r="I4668" s="62">
        <v>2024</v>
      </c>
      <c r="J4668" s="62">
        <v>4</v>
      </c>
      <c r="K4668" s="62" t="s">
        <v>24</v>
      </c>
      <c r="L4668" s="62" t="s">
        <v>3</v>
      </c>
      <c r="M4668" s="62">
        <v>1.5144</v>
      </c>
      <c r="N4668" s="62">
        <v>0</v>
      </c>
    </row>
    <row r="4669" spans="9:14">
      <c r="I4669" s="62">
        <v>2024</v>
      </c>
      <c r="J4669" s="62">
        <v>5</v>
      </c>
      <c r="K4669" s="62" t="s">
        <v>24</v>
      </c>
      <c r="L4669" s="62" t="s">
        <v>3</v>
      </c>
      <c r="M4669" s="62">
        <v>3.255</v>
      </c>
      <c r="N4669" s="62">
        <v>0</v>
      </c>
    </row>
    <row r="4670" spans="9:14">
      <c r="I4670" s="62">
        <v>2024</v>
      </c>
      <c r="J4670" s="62">
        <v>7</v>
      </c>
      <c r="K4670" s="62" t="s">
        <v>24</v>
      </c>
      <c r="L4670" s="62" t="s">
        <v>3</v>
      </c>
      <c r="M4670" s="62">
        <v>3.22</v>
      </c>
      <c r="N4670" s="62">
        <v>0</v>
      </c>
    </row>
    <row r="4671" spans="9:14">
      <c r="I4671" s="62">
        <v>2024</v>
      </c>
      <c r="J4671" s="62">
        <v>8</v>
      </c>
      <c r="K4671" s="62" t="s">
        <v>24</v>
      </c>
      <c r="L4671" s="62" t="s">
        <v>3</v>
      </c>
      <c r="M4671" s="62">
        <v>3.462</v>
      </c>
      <c r="N4671" s="62">
        <v>0</v>
      </c>
    </row>
    <row r="4672" spans="9:14">
      <c r="I4672" s="62">
        <v>2024</v>
      </c>
      <c r="J4672" s="62">
        <v>11</v>
      </c>
      <c r="K4672" s="62" t="s">
        <v>24</v>
      </c>
      <c r="L4672" s="62" t="s">
        <v>3</v>
      </c>
      <c r="M4672" s="62">
        <v>1.75</v>
      </c>
      <c r="N4672" s="62">
        <v>0</v>
      </c>
    </row>
    <row r="4673" spans="9:14">
      <c r="I4673" s="62">
        <v>2025</v>
      </c>
      <c r="J4673" s="62">
        <v>1</v>
      </c>
      <c r="K4673" s="62" t="s">
        <v>24</v>
      </c>
      <c r="L4673" s="62" t="s">
        <v>3</v>
      </c>
      <c r="M4673" s="62">
        <v>1.5</v>
      </c>
      <c r="N4673" s="62">
        <v>0</v>
      </c>
    </row>
    <row r="4674" spans="9:14">
      <c r="I4674" s="62">
        <v>2025</v>
      </c>
      <c r="J4674" s="62">
        <v>2</v>
      </c>
      <c r="K4674" s="62" t="s">
        <v>24</v>
      </c>
      <c r="L4674" s="62" t="s">
        <v>3</v>
      </c>
      <c r="M4674" s="62">
        <v>1.5</v>
      </c>
      <c r="N4674" s="62">
        <v>0</v>
      </c>
    </row>
    <row r="4675" spans="9:14">
      <c r="I4675" s="62">
        <v>2025</v>
      </c>
      <c r="J4675" s="62">
        <v>3</v>
      </c>
      <c r="K4675" s="62" t="s">
        <v>24</v>
      </c>
      <c r="L4675" s="62" t="s">
        <v>3</v>
      </c>
      <c r="M4675" s="62">
        <v>1.5</v>
      </c>
      <c r="N4675" s="62">
        <v>0</v>
      </c>
    </row>
    <row r="4676" spans="9:14">
      <c r="I4676" s="62">
        <v>2025</v>
      </c>
      <c r="J4676" s="62">
        <v>4</v>
      </c>
      <c r="K4676" s="62" t="s">
        <v>24</v>
      </c>
      <c r="L4676" s="62" t="s">
        <v>3</v>
      </c>
      <c r="M4676" s="62">
        <v>1.5</v>
      </c>
      <c r="N4676" s="62">
        <v>0</v>
      </c>
    </row>
    <row r="4677" spans="9:14">
      <c r="I4677" s="62">
        <v>2025</v>
      </c>
      <c r="J4677" s="62">
        <v>5</v>
      </c>
      <c r="K4677" s="62" t="s">
        <v>24</v>
      </c>
      <c r="L4677" s="62" t="s">
        <v>3</v>
      </c>
      <c r="M4677" s="62">
        <v>2.2484</v>
      </c>
      <c r="N4677" s="62">
        <v>0</v>
      </c>
    </row>
    <row r="4678" spans="9:14">
      <c r="I4678" s="62">
        <v>2025</v>
      </c>
      <c r="J4678" s="62">
        <v>6</v>
      </c>
      <c r="K4678" s="62" t="s">
        <v>24</v>
      </c>
      <c r="L4678" s="62" t="s">
        <v>3</v>
      </c>
      <c r="M4678" s="62">
        <v>0.53</v>
      </c>
      <c r="N4678" s="62">
        <v>0</v>
      </c>
    </row>
    <row r="4679" spans="9:14">
      <c r="I4679" s="62">
        <v>2025</v>
      </c>
      <c r="J4679" s="62">
        <v>7</v>
      </c>
      <c r="K4679" s="62" t="s">
        <v>24</v>
      </c>
      <c r="L4679" s="62" t="s">
        <v>3</v>
      </c>
      <c r="M4679" s="62">
        <v>0.68</v>
      </c>
      <c r="N4679" s="62">
        <v>0</v>
      </c>
    </row>
    <row r="4680" spans="9:14">
      <c r="I4680" s="62">
        <v>2025</v>
      </c>
      <c r="J4680" s="62">
        <v>8</v>
      </c>
      <c r="K4680" s="62" t="s">
        <v>24</v>
      </c>
      <c r="L4680" s="62" t="s">
        <v>3</v>
      </c>
      <c r="M4680" s="62">
        <v>5.552</v>
      </c>
      <c r="N4680" s="62">
        <v>0</v>
      </c>
    </row>
    <row r="4681" spans="9:14">
      <c r="I4681" s="62">
        <v>2025</v>
      </c>
      <c r="J4681" s="62">
        <v>9</v>
      </c>
      <c r="K4681" s="62" t="s">
        <v>24</v>
      </c>
      <c r="L4681" s="62" t="s">
        <v>3</v>
      </c>
      <c r="M4681" s="62">
        <v>0.53</v>
      </c>
      <c r="N4681" s="62">
        <v>0</v>
      </c>
    </row>
    <row r="4682" spans="9:14">
      <c r="I4682" s="62">
        <v>2025</v>
      </c>
      <c r="J4682" s="62">
        <v>10</v>
      </c>
      <c r="K4682" s="62" t="s">
        <v>24</v>
      </c>
      <c r="L4682" s="62" t="s">
        <v>3</v>
      </c>
      <c r="M4682" s="62">
        <v>1.367</v>
      </c>
      <c r="N4682" s="62">
        <v>0</v>
      </c>
    </row>
    <row r="4683" spans="9:14">
      <c r="I4683" s="62">
        <v>2025</v>
      </c>
      <c r="J4683" s="62">
        <v>11</v>
      </c>
      <c r="K4683" s="62" t="s">
        <v>24</v>
      </c>
      <c r="L4683" s="62" t="s">
        <v>3</v>
      </c>
      <c r="M4683" s="62">
        <v>0.53</v>
      </c>
      <c r="N4683" s="62">
        <v>0</v>
      </c>
    </row>
    <row r="4684" spans="9:14">
      <c r="I4684" s="62">
        <v>2025</v>
      </c>
      <c r="J4684" s="62">
        <v>12</v>
      </c>
      <c r="K4684" s="62" t="s">
        <v>24</v>
      </c>
      <c r="L4684" s="62" t="s">
        <v>3</v>
      </c>
      <c r="M4684" s="62">
        <v>0.53</v>
      </c>
      <c r="N4684" s="62">
        <v>0</v>
      </c>
    </row>
    <row r="4685" spans="9:14">
      <c r="I4685" s="62">
        <v>2026</v>
      </c>
      <c r="J4685" s="62">
        <v>1</v>
      </c>
      <c r="K4685" s="62" t="s">
        <v>24</v>
      </c>
      <c r="L4685" s="62" t="s">
        <v>3</v>
      </c>
      <c r="M4685" s="62">
        <v>4.75</v>
      </c>
      <c r="N4685" s="62">
        <v>0</v>
      </c>
    </row>
    <row r="4686" spans="9:14">
      <c r="I4686" s="62">
        <v>2026</v>
      </c>
      <c r="J4686" s="62">
        <v>2</v>
      </c>
      <c r="K4686" s="62" t="s">
        <v>24</v>
      </c>
      <c r="L4686" s="62" t="s">
        <v>3</v>
      </c>
      <c r="M4686" s="62">
        <v>5.48</v>
      </c>
      <c r="N4686" s="62">
        <v>0</v>
      </c>
    </row>
    <row r="4687" spans="9:14">
      <c r="I4687" s="62">
        <v>2026</v>
      </c>
      <c r="J4687" s="62">
        <v>4</v>
      </c>
      <c r="K4687" s="62" t="s">
        <v>24</v>
      </c>
      <c r="L4687" s="62" t="s">
        <v>3</v>
      </c>
      <c r="M4687" s="62">
        <v>0.837</v>
      </c>
      <c r="N4687" s="62">
        <v>0</v>
      </c>
    </row>
    <row r="4688" spans="9:14">
      <c r="I4688" s="62">
        <v>2026</v>
      </c>
      <c r="J4688" s="62">
        <v>5</v>
      </c>
      <c r="K4688" s="62" t="s">
        <v>24</v>
      </c>
      <c r="L4688" s="62" t="s">
        <v>3</v>
      </c>
      <c r="M4688" s="62">
        <v>2.5</v>
      </c>
      <c r="N4688" s="62">
        <v>0</v>
      </c>
    </row>
    <row r="4689" spans="9:14">
      <c r="I4689" s="62">
        <v>2026</v>
      </c>
      <c r="J4689" s="62">
        <v>6</v>
      </c>
      <c r="K4689" s="62" t="s">
        <v>24</v>
      </c>
      <c r="L4689" s="62" t="s">
        <v>3</v>
      </c>
      <c r="M4689" s="62">
        <v>2.7</v>
      </c>
      <c r="N4689" s="62">
        <v>0</v>
      </c>
    </row>
    <row r="4690" spans="9:14">
      <c r="I4690" s="62">
        <v>2019</v>
      </c>
      <c r="J4690" s="62">
        <v>7</v>
      </c>
      <c r="K4690" s="62" t="s">
        <v>25</v>
      </c>
      <c r="L4690" s="62" t="s">
        <v>1</v>
      </c>
      <c r="M4690" s="62">
        <v>2.755</v>
      </c>
      <c r="N4690" s="62">
        <v>0</v>
      </c>
    </row>
    <row r="4691" spans="9:14">
      <c r="I4691" s="62">
        <v>2019</v>
      </c>
      <c r="J4691" s="62">
        <v>9</v>
      </c>
      <c r="K4691" s="62" t="s">
        <v>25</v>
      </c>
      <c r="L4691" s="62" t="s">
        <v>1</v>
      </c>
      <c r="M4691" s="62">
        <v>3.1</v>
      </c>
      <c r="N4691" s="62">
        <v>0</v>
      </c>
    </row>
    <row r="4692" spans="9:14">
      <c r="I4692" s="62">
        <v>2019</v>
      </c>
      <c r="J4692" s="62">
        <v>10</v>
      </c>
      <c r="K4692" s="62" t="s">
        <v>25</v>
      </c>
      <c r="L4692" s="62" t="s">
        <v>1</v>
      </c>
      <c r="M4692" s="62">
        <v>0.5600000000000001</v>
      </c>
      <c r="N4692" s="62">
        <v>0</v>
      </c>
    </row>
    <row r="4693" spans="9:14">
      <c r="I4693" s="62">
        <v>2020</v>
      </c>
      <c r="J4693" s="62">
        <v>1</v>
      </c>
      <c r="K4693" s="62" t="s">
        <v>25</v>
      </c>
      <c r="L4693" s="62" t="s">
        <v>1</v>
      </c>
      <c r="M4693" s="62">
        <v>3.12</v>
      </c>
      <c r="N4693" s="62">
        <v>0</v>
      </c>
    </row>
    <row r="4694" spans="9:14">
      <c r="I4694" s="62">
        <v>2020</v>
      </c>
      <c r="J4694" s="62">
        <v>2</v>
      </c>
      <c r="K4694" s="62" t="s">
        <v>25</v>
      </c>
      <c r="L4694" s="62" t="s">
        <v>1</v>
      </c>
      <c r="M4694" s="62">
        <v>6</v>
      </c>
      <c r="N4694" s="62">
        <v>0</v>
      </c>
    </row>
    <row r="4695" spans="9:14">
      <c r="I4695" s="62">
        <v>2020</v>
      </c>
      <c r="J4695" s="62">
        <v>3</v>
      </c>
      <c r="K4695" s="62" t="s">
        <v>25</v>
      </c>
      <c r="L4695" s="62" t="s">
        <v>1</v>
      </c>
      <c r="M4695" s="62">
        <v>10.8379</v>
      </c>
      <c r="N4695" s="62">
        <v>0</v>
      </c>
    </row>
    <row r="4696" spans="9:14">
      <c r="I4696" s="62">
        <v>2020</v>
      </c>
      <c r="J4696" s="62">
        <v>4</v>
      </c>
      <c r="K4696" s="62" t="s">
        <v>25</v>
      </c>
      <c r="L4696" s="62" t="s">
        <v>1</v>
      </c>
      <c r="M4696" s="62">
        <v>61.8745</v>
      </c>
      <c r="N4696" s="62">
        <v>0</v>
      </c>
    </row>
    <row r="4697" spans="9:14">
      <c r="I4697" s="62">
        <v>2020</v>
      </c>
      <c r="J4697" s="62">
        <v>5</v>
      </c>
      <c r="K4697" s="62" t="s">
        <v>25</v>
      </c>
      <c r="L4697" s="62" t="s">
        <v>1</v>
      </c>
      <c r="M4697" s="62">
        <v>57.0638</v>
      </c>
      <c r="N4697" s="62">
        <v>0</v>
      </c>
    </row>
    <row r="4698" spans="9:14">
      <c r="I4698" s="62">
        <v>2020</v>
      </c>
      <c r="J4698" s="62">
        <v>6</v>
      </c>
      <c r="K4698" s="62" t="s">
        <v>25</v>
      </c>
      <c r="L4698" s="62" t="s">
        <v>1</v>
      </c>
      <c r="M4698" s="62">
        <v>49.85</v>
      </c>
      <c r="N4698" s="62">
        <v>0</v>
      </c>
    </row>
    <row r="4699" spans="9:14">
      <c r="I4699" s="62">
        <v>2020</v>
      </c>
      <c r="J4699" s="62">
        <v>7</v>
      </c>
      <c r="K4699" s="62" t="s">
        <v>25</v>
      </c>
      <c r="L4699" s="62" t="s">
        <v>1</v>
      </c>
      <c r="M4699" s="62">
        <v>52.6038</v>
      </c>
      <c r="N4699" s="62">
        <v>0</v>
      </c>
    </row>
    <row r="4700" spans="9:14">
      <c r="I4700" s="62">
        <v>2020</v>
      </c>
      <c r="J4700" s="62">
        <v>8</v>
      </c>
      <c r="K4700" s="62" t="s">
        <v>25</v>
      </c>
      <c r="L4700" s="62" t="s">
        <v>1</v>
      </c>
      <c r="M4700" s="62">
        <v>57.1315</v>
      </c>
      <c r="N4700" s="62">
        <v>0</v>
      </c>
    </row>
    <row r="4701" spans="9:14">
      <c r="I4701" s="62">
        <v>2020</v>
      </c>
      <c r="J4701" s="62">
        <v>9</v>
      </c>
      <c r="K4701" s="62" t="s">
        <v>25</v>
      </c>
      <c r="L4701" s="62" t="s">
        <v>1</v>
      </c>
      <c r="M4701" s="62">
        <v>77.461</v>
      </c>
      <c r="N4701" s="62">
        <v>0</v>
      </c>
    </row>
    <row r="4702" spans="9:14">
      <c r="I4702" s="62">
        <v>2020</v>
      </c>
      <c r="J4702" s="62">
        <v>10</v>
      </c>
      <c r="K4702" s="62" t="s">
        <v>25</v>
      </c>
      <c r="L4702" s="62" t="s">
        <v>1</v>
      </c>
      <c r="M4702" s="62">
        <v>102.1074</v>
      </c>
      <c r="N4702" s="62">
        <v>0</v>
      </c>
    </row>
    <row r="4703" spans="9:14">
      <c r="I4703" s="62">
        <v>2020</v>
      </c>
      <c r="J4703" s="62">
        <v>11</v>
      </c>
      <c r="K4703" s="62" t="s">
        <v>25</v>
      </c>
      <c r="L4703" s="62" t="s">
        <v>1</v>
      </c>
      <c r="M4703" s="62">
        <v>105.9975</v>
      </c>
      <c r="N4703" s="62">
        <v>0</v>
      </c>
    </row>
    <row r="4704" spans="9:14">
      <c r="I4704" s="62">
        <v>2020</v>
      </c>
      <c r="J4704" s="62">
        <v>12</v>
      </c>
      <c r="K4704" s="62" t="s">
        <v>25</v>
      </c>
      <c r="L4704" s="62" t="s">
        <v>1</v>
      </c>
      <c r="M4704" s="62">
        <v>103.65</v>
      </c>
      <c r="N4704" s="62">
        <v>0</v>
      </c>
    </row>
    <row r="4705" spans="9:14">
      <c r="I4705" s="62">
        <v>2021</v>
      </c>
      <c r="J4705" s="62">
        <v>1</v>
      </c>
      <c r="K4705" s="62" t="s">
        <v>25</v>
      </c>
      <c r="L4705" s="62" t="s">
        <v>1</v>
      </c>
      <c r="M4705" s="62">
        <v>82.074</v>
      </c>
      <c r="N4705" s="62">
        <v>0</v>
      </c>
    </row>
    <row r="4706" spans="9:14">
      <c r="I4706" s="62">
        <v>2021</v>
      </c>
      <c r="J4706" s="62">
        <v>2</v>
      </c>
      <c r="K4706" s="62" t="s">
        <v>25</v>
      </c>
      <c r="L4706" s="62" t="s">
        <v>1</v>
      </c>
      <c r="M4706" s="62">
        <v>70.625</v>
      </c>
      <c r="N4706" s="62">
        <v>0</v>
      </c>
    </row>
    <row r="4707" spans="9:14">
      <c r="I4707" s="62">
        <v>2021</v>
      </c>
      <c r="J4707" s="62">
        <v>3</v>
      </c>
      <c r="K4707" s="62" t="s">
        <v>25</v>
      </c>
      <c r="L4707" s="62" t="s">
        <v>1</v>
      </c>
      <c r="M4707" s="62">
        <v>67.81440000000001</v>
      </c>
      <c r="N4707" s="62">
        <v>0</v>
      </c>
    </row>
    <row r="4708" spans="9:14">
      <c r="I4708" s="62">
        <v>2021</v>
      </c>
      <c r="J4708" s="62">
        <v>4</v>
      </c>
      <c r="K4708" s="62" t="s">
        <v>25</v>
      </c>
      <c r="L4708" s="62" t="s">
        <v>1</v>
      </c>
      <c r="M4708" s="62">
        <v>40.015</v>
      </c>
      <c r="N4708" s="62">
        <v>0</v>
      </c>
    </row>
    <row r="4709" spans="9:14">
      <c r="I4709" s="62">
        <v>2021</v>
      </c>
      <c r="J4709" s="62">
        <v>5</v>
      </c>
      <c r="K4709" s="62" t="s">
        <v>25</v>
      </c>
      <c r="L4709" s="62" t="s">
        <v>1</v>
      </c>
      <c r="M4709" s="62">
        <v>10.0641</v>
      </c>
      <c r="N4709" s="62">
        <v>0</v>
      </c>
    </row>
    <row r="4710" spans="9:14">
      <c r="I4710" s="62">
        <v>2021</v>
      </c>
      <c r="J4710" s="62">
        <v>6</v>
      </c>
      <c r="K4710" s="62" t="s">
        <v>25</v>
      </c>
      <c r="L4710" s="62" t="s">
        <v>1</v>
      </c>
      <c r="M4710" s="62">
        <v>6.52</v>
      </c>
      <c r="N4710" s="62">
        <v>0</v>
      </c>
    </row>
    <row r="4711" spans="9:14">
      <c r="I4711" s="62">
        <v>2021</v>
      </c>
      <c r="J4711" s="62">
        <v>8</v>
      </c>
      <c r="K4711" s="62" t="s">
        <v>25</v>
      </c>
      <c r="L4711" s="62" t="s">
        <v>1</v>
      </c>
      <c r="M4711" s="62">
        <v>8.9933</v>
      </c>
      <c r="N4711" s="62">
        <v>0</v>
      </c>
    </row>
    <row r="4712" spans="9:14">
      <c r="I4712" s="62">
        <v>2021</v>
      </c>
      <c r="J4712" s="62">
        <v>9</v>
      </c>
      <c r="K4712" s="62" t="s">
        <v>25</v>
      </c>
      <c r="L4712" s="62" t="s">
        <v>1</v>
      </c>
      <c r="M4712" s="62">
        <v>51.2</v>
      </c>
      <c r="N4712" s="62">
        <v>0</v>
      </c>
    </row>
    <row r="4713" spans="9:14">
      <c r="I4713" s="62">
        <v>2021</v>
      </c>
      <c r="J4713" s="62">
        <v>10</v>
      </c>
      <c r="K4713" s="62" t="s">
        <v>25</v>
      </c>
      <c r="L4713" s="62" t="s">
        <v>1</v>
      </c>
      <c r="M4713" s="62">
        <v>38.924</v>
      </c>
      <c r="N4713" s="62">
        <v>0</v>
      </c>
    </row>
    <row r="4714" spans="9:14">
      <c r="I4714" s="62">
        <v>2021</v>
      </c>
      <c r="J4714" s="62">
        <v>11</v>
      </c>
      <c r="K4714" s="62" t="s">
        <v>25</v>
      </c>
      <c r="L4714" s="62" t="s">
        <v>1</v>
      </c>
      <c r="M4714" s="62">
        <v>10.26</v>
      </c>
      <c r="N4714" s="62">
        <v>0</v>
      </c>
    </row>
    <row r="4715" spans="9:14">
      <c r="I4715" s="62">
        <v>2022</v>
      </c>
      <c r="J4715" s="62">
        <v>2</v>
      </c>
      <c r="K4715" s="62" t="s">
        <v>25</v>
      </c>
      <c r="L4715" s="62" t="s">
        <v>1</v>
      </c>
      <c r="M4715" s="62">
        <v>0.899</v>
      </c>
      <c r="N4715" s="62">
        <v>0</v>
      </c>
    </row>
    <row r="4716" spans="9:14">
      <c r="I4716" s="62">
        <v>2022</v>
      </c>
      <c r="J4716" s="62">
        <v>3</v>
      </c>
      <c r="K4716" s="62" t="s">
        <v>25</v>
      </c>
      <c r="L4716" s="62" t="s">
        <v>1</v>
      </c>
      <c r="M4716" s="62">
        <v>3.915</v>
      </c>
      <c r="N4716" s="62">
        <v>0</v>
      </c>
    </row>
    <row r="4717" spans="9:14">
      <c r="I4717" s="62">
        <v>2022</v>
      </c>
      <c r="J4717" s="62">
        <v>4</v>
      </c>
      <c r="K4717" s="62" t="s">
        <v>25</v>
      </c>
      <c r="L4717" s="62" t="s">
        <v>1</v>
      </c>
      <c r="M4717" s="62">
        <v>12.525</v>
      </c>
      <c r="N4717" s="62">
        <v>0</v>
      </c>
    </row>
    <row r="4718" spans="9:14">
      <c r="I4718" s="62">
        <v>2022</v>
      </c>
      <c r="J4718" s="62">
        <v>5</v>
      </c>
      <c r="K4718" s="62" t="s">
        <v>25</v>
      </c>
      <c r="L4718" s="62" t="s">
        <v>1</v>
      </c>
      <c r="M4718" s="62">
        <v>7.6</v>
      </c>
      <c r="N4718" s="62">
        <v>0</v>
      </c>
    </row>
    <row r="4719" spans="9:14">
      <c r="I4719" s="62">
        <v>2022</v>
      </c>
      <c r="J4719" s="62">
        <v>6</v>
      </c>
      <c r="K4719" s="62" t="s">
        <v>25</v>
      </c>
      <c r="L4719" s="62" t="s">
        <v>1</v>
      </c>
      <c r="M4719" s="62">
        <v>5.62</v>
      </c>
      <c r="N4719" s="62">
        <v>0</v>
      </c>
    </row>
    <row r="4720" spans="9:14">
      <c r="I4720" s="62">
        <v>2022</v>
      </c>
      <c r="J4720" s="62">
        <v>7</v>
      </c>
      <c r="K4720" s="62" t="s">
        <v>25</v>
      </c>
      <c r="L4720" s="62" t="s">
        <v>1</v>
      </c>
      <c r="M4720" s="62">
        <v>1.3</v>
      </c>
      <c r="N4720" s="62">
        <v>0</v>
      </c>
    </row>
    <row r="4721" spans="9:14">
      <c r="I4721" s="62">
        <v>2022</v>
      </c>
      <c r="J4721" s="62">
        <v>8</v>
      </c>
      <c r="K4721" s="62" t="s">
        <v>25</v>
      </c>
      <c r="L4721" s="62" t="s">
        <v>1</v>
      </c>
      <c r="M4721" s="62">
        <v>26</v>
      </c>
      <c r="N4721" s="62">
        <v>0</v>
      </c>
    </row>
    <row r="4722" spans="9:14">
      <c r="I4722" s="62">
        <v>2022</v>
      </c>
      <c r="J4722" s="62">
        <v>9</v>
      </c>
      <c r="K4722" s="62" t="s">
        <v>25</v>
      </c>
      <c r="L4722" s="62" t="s">
        <v>1</v>
      </c>
      <c r="M4722" s="62">
        <v>7.8</v>
      </c>
      <c r="N4722" s="62">
        <v>0</v>
      </c>
    </row>
    <row r="4723" spans="9:14">
      <c r="I4723" s="62">
        <v>2022</v>
      </c>
      <c r="J4723" s="62">
        <v>10</v>
      </c>
      <c r="K4723" s="62" t="s">
        <v>25</v>
      </c>
      <c r="L4723" s="62" t="s">
        <v>1</v>
      </c>
      <c r="M4723" s="62">
        <v>9.279999999999999</v>
      </c>
      <c r="N4723" s="62">
        <v>0</v>
      </c>
    </row>
    <row r="4724" spans="9:14">
      <c r="I4724" s="62">
        <v>2023</v>
      </c>
      <c r="J4724" s="62">
        <v>1</v>
      </c>
      <c r="K4724" s="62" t="s">
        <v>25</v>
      </c>
      <c r="L4724" s="62" t="s">
        <v>1</v>
      </c>
      <c r="M4724" s="62">
        <v>0.058</v>
      </c>
      <c r="N4724" s="62">
        <v>0</v>
      </c>
    </row>
    <row r="4725" spans="9:14">
      <c r="I4725" s="62">
        <v>2023</v>
      </c>
      <c r="J4725" s="62">
        <v>2</v>
      </c>
      <c r="K4725" s="62" t="s">
        <v>25</v>
      </c>
      <c r="L4725" s="62" t="s">
        <v>1</v>
      </c>
      <c r="M4725" s="62">
        <v>0.2</v>
      </c>
      <c r="N4725" s="62">
        <v>0</v>
      </c>
    </row>
    <row r="4726" spans="9:14">
      <c r="I4726" s="62">
        <v>2023</v>
      </c>
      <c r="J4726" s="62">
        <v>3</v>
      </c>
      <c r="K4726" s="62" t="s">
        <v>25</v>
      </c>
      <c r="L4726" s="62" t="s">
        <v>1</v>
      </c>
      <c r="M4726" s="62">
        <v>1.16</v>
      </c>
      <c r="N4726" s="62">
        <v>0</v>
      </c>
    </row>
    <row r="4727" spans="9:14">
      <c r="I4727" s="62">
        <v>2023</v>
      </c>
      <c r="J4727" s="62">
        <v>4</v>
      </c>
      <c r="K4727" s="62" t="s">
        <v>25</v>
      </c>
      <c r="L4727" s="62" t="s">
        <v>1</v>
      </c>
      <c r="M4727" s="62">
        <v>0.54</v>
      </c>
      <c r="N4727" s="62">
        <v>0</v>
      </c>
    </row>
    <row r="4728" spans="9:14">
      <c r="I4728" s="62">
        <v>2023</v>
      </c>
      <c r="J4728" s="62">
        <v>9</v>
      </c>
      <c r="K4728" s="62" t="s">
        <v>25</v>
      </c>
      <c r="L4728" s="62" t="s">
        <v>1</v>
      </c>
      <c r="M4728" s="62">
        <v>7.42</v>
      </c>
      <c r="N4728" s="62">
        <v>0</v>
      </c>
    </row>
    <row r="4729" spans="9:14">
      <c r="I4729" s="62">
        <v>2023</v>
      </c>
      <c r="J4729" s="62">
        <v>10</v>
      </c>
      <c r="K4729" s="62" t="s">
        <v>25</v>
      </c>
      <c r="L4729" s="62" t="s">
        <v>1</v>
      </c>
      <c r="M4729" s="62">
        <v>14</v>
      </c>
      <c r="N4729" s="62">
        <v>0</v>
      </c>
    </row>
    <row r="4730" spans="9:14">
      <c r="I4730" s="62">
        <v>2023</v>
      </c>
      <c r="J4730" s="62">
        <v>11</v>
      </c>
      <c r="K4730" s="62" t="s">
        <v>25</v>
      </c>
      <c r="L4730" s="62" t="s">
        <v>1</v>
      </c>
      <c r="M4730" s="62">
        <v>6.28</v>
      </c>
      <c r="N4730" s="62">
        <v>0</v>
      </c>
    </row>
    <row r="4731" spans="9:14">
      <c r="I4731" s="62">
        <v>2024</v>
      </c>
      <c r="J4731" s="62">
        <v>1</v>
      </c>
      <c r="K4731" s="62" t="s">
        <v>25</v>
      </c>
      <c r="L4731" s="62" t="s">
        <v>1</v>
      </c>
      <c r="M4731" s="62">
        <v>1.4</v>
      </c>
      <c r="N4731" s="62">
        <v>0</v>
      </c>
    </row>
    <row r="4732" spans="9:14">
      <c r="I4732" s="62">
        <v>2024</v>
      </c>
      <c r="J4732" s="62">
        <v>3</v>
      </c>
      <c r="K4732" s="62" t="s">
        <v>25</v>
      </c>
      <c r="L4732" s="62" t="s">
        <v>1</v>
      </c>
      <c r="M4732" s="62">
        <v>9.118</v>
      </c>
      <c r="N4732" s="62">
        <v>0</v>
      </c>
    </row>
    <row r="4733" spans="9:14">
      <c r="I4733" s="62">
        <v>2024</v>
      </c>
      <c r="J4733" s="62">
        <v>4</v>
      </c>
      <c r="K4733" s="62" t="s">
        <v>25</v>
      </c>
      <c r="L4733" s="62" t="s">
        <v>1</v>
      </c>
      <c r="M4733" s="62">
        <v>1.6</v>
      </c>
      <c r="N4733" s="62">
        <v>0</v>
      </c>
    </row>
    <row r="4734" spans="9:14">
      <c r="I4734" s="62">
        <v>2024</v>
      </c>
      <c r="J4734" s="62">
        <v>7</v>
      </c>
      <c r="K4734" s="62" t="s">
        <v>25</v>
      </c>
      <c r="L4734" s="62" t="s">
        <v>1</v>
      </c>
      <c r="M4734" s="62">
        <v>3.04</v>
      </c>
      <c r="N4734" s="62">
        <v>0</v>
      </c>
    </row>
    <row r="4735" spans="9:14">
      <c r="I4735" s="62">
        <v>2024</v>
      </c>
      <c r="J4735" s="62">
        <v>9</v>
      </c>
      <c r="K4735" s="62" t="s">
        <v>25</v>
      </c>
      <c r="L4735" s="62" t="s">
        <v>1</v>
      </c>
      <c r="M4735" s="62">
        <v>1.605</v>
      </c>
      <c r="N4735" s="62">
        <v>0</v>
      </c>
    </row>
    <row r="4736" spans="9:14">
      <c r="I4736" s="62">
        <v>2024</v>
      </c>
      <c r="J4736" s="62">
        <v>10</v>
      </c>
      <c r="K4736" s="62" t="s">
        <v>25</v>
      </c>
      <c r="L4736" s="62" t="s">
        <v>1</v>
      </c>
      <c r="M4736" s="62">
        <v>9.4</v>
      </c>
      <c r="N4736" s="62">
        <v>0</v>
      </c>
    </row>
    <row r="4737" spans="9:14">
      <c r="I4737" s="62">
        <v>2024</v>
      </c>
      <c r="J4737" s="62">
        <v>11</v>
      </c>
      <c r="K4737" s="62" t="s">
        <v>25</v>
      </c>
      <c r="L4737" s="62" t="s">
        <v>1</v>
      </c>
      <c r="M4737" s="62">
        <v>6.595000000000001</v>
      </c>
      <c r="N4737" s="62">
        <v>0</v>
      </c>
    </row>
    <row r="4738" spans="9:14">
      <c r="I4738" s="62">
        <v>2025</v>
      </c>
      <c r="J4738" s="62">
        <v>1</v>
      </c>
      <c r="K4738" s="62" t="s">
        <v>25</v>
      </c>
      <c r="L4738" s="62" t="s">
        <v>1</v>
      </c>
      <c r="M4738" s="62">
        <v>6.09</v>
      </c>
      <c r="N4738" s="62">
        <v>0</v>
      </c>
    </row>
    <row r="4739" spans="9:14">
      <c r="I4739" s="62">
        <v>2025</v>
      </c>
      <c r="J4739" s="62">
        <v>2</v>
      </c>
      <c r="K4739" s="62" t="s">
        <v>25</v>
      </c>
      <c r="L4739" s="62" t="s">
        <v>1</v>
      </c>
      <c r="M4739" s="62">
        <v>6.64</v>
      </c>
      <c r="N4739" s="62">
        <v>0</v>
      </c>
    </row>
    <row r="4740" spans="9:14">
      <c r="I4740" s="62">
        <v>2025</v>
      </c>
      <c r="J4740" s="62">
        <v>3</v>
      </c>
      <c r="K4740" s="62" t="s">
        <v>25</v>
      </c>
      <c r="L4740" s="62" t="s">
        <v>1</v>
      </c>
      <c r="M4740" s="62">
        <v>20.55</v>
      </c>
      <c r="N4740" s="62">
        <v>0</v>
      </c>
    </row>
    <row r="4741" spans="9:14">
      <c r="I4741" s="62">
        <v>2025</v>
      </c>
      <c r="J4741" s="62">
        <v>4</v>
      </c>
      <c r="K4741" s="62" t="s">
        <v>25</v>
      </c>
      <c r="L4741" s="62" t="s">
        <v>1</v>
      </c>
      <c r="M4741" s="62">
        <v>42</v>
      </c>
      <c r="N4741" s="62">
        <v>0</v>
      </c>
    </row>
    <row r="4742" spans="9:14">
      <c r="I4742" s="62">
        <v>2025</v>
      </c>
      <c r="J4742" s="62">
        <v>5</v>
      </c>
      <c r="K4742" s="62" t="s">
        <v>25</v>
      </c>
      <c r="L4742" s="62" t="s">
        <v>1</v>
      </c>
      <c r="M4742" s="62">
        <v>10.5</v>
      </c>
      <c r="N4742" s="62">
        <v>0</v>
      </c>
    </row>
    <row r="4743" spans="9:14">
      <c r="I4743" s="62">
        <v>2025</v>
      </c>
      <c r="J4743" s="62">
        <v>6</v>
      </c>
      <c r="K4743" s="62" t="s">
        <v>25</v>
      </c>
      <c r="L4743" s="62" t="s">
        <v>1</v>
      </c>
      <c r="M4743" s="62">
        <v>7.91</v>
      </c>
      <c r="N4743" s="62">
        <v>0</v>
      </c>
    </row>
    <row r="4744" spans="9:14">
      <c r="I4744" s="62">
        <v>2025</v>
      </c>
      <c r="J4744" s="62">
        <v>7</v>
      </c>
      <c r="K4744" s="62" t="s">
        <v>25</v>
      </c>
      <c r="L4744" s="62" t="s">
        <v>1</v>
      </c>
      <c r="M4744" s="62">
        <v>0.42</v>
      </c>
      <c r="N4744" s="62">
        <v>0</v>
      </c>
    </row>
    <row r="4745" spans="9:14">
      <c r="I4745" s="62">
        <v>2025</v>
      </c>
      <c r="J4745" s="62">
        <v>9</v>
      </c>
      <c r="K4745" s="62" t="s">
        <v>25</v>
      </c>
      <c r="L4745" s="62" t="s">
        <v>1</v>
      </c>
      <c r="M4745" s="62">
        <v>12.615</v>
      </c>
      <c r="N4745" s="62">
        <v>0</v>
      </c>
    </row>
    <row r="4746" spans="9:14">
      <c r="I4746" s="62">
        <v>2025</v>
      </c>
      <c r="J4746" s="62">
        <v>10</v>
      </c>
      <c r="K4746" s="62" t="s">
        <v>25</v>
      </c>
      <c r="L4746" s="62" t="s">
        <v>1</v>
      </c>
      <c r="M4746" s="62">
        <v>8.844999999999999</v>
      </c>
      <c r="N4746" s="62">
        <v>0</v>
      </c>
    </row>
    <row r="4747" spans="9:14">
      <c r="I4747" s="62">
        <v>2025</v>
      </c>
      <c r="J4747" s="62">
        <v>12</v>
      </c>
      <c r="K4747" s="62" t="s">
        <v>25</v>
      </c>
      <c r="L4747" s="62" t="s">
        <v>1</v>
      </c>
      <c r="M4747" s="62">
        <v>0.96</v>
      </c>
      <c r="N4747" s="62">
        <v>0</v>
      </c>
    </row>
    <row r="4748" spans="9:14">
      <c r="I4748" s="62">
        <v>2026</v>
      </c>
      <c r="J4748" s="62">
        <v>1</v>
      </c>
      <c r="K4748" s="62" t="s">
        <v>25</v>
      </c>
      <c r="L4748" s="62" t="s">
        <v>1</v>
      </c>
      <c r="M4748" s="62">
        <v>1.376</v>
      </c>
      <c r="N4748" s="62">
        <v>0</v>
      </c>
    </row>
    <row r="4749" spans="9:14">
      <c r="I4749" s="62">
        <v>2026</v>
      </c>
      <c r="J4749" s="62">
        <v>2</v>
      </c>
      <c r="K4749" s="62" t="s">
        <v>25</v>
      </c>
      <c r="L4749" s="62" t="s">
        <v>1</v>
      </c>
      <c r="M4749" s="62">
        <v>7.095</v>
      </c>
      <c r="N4749" s="62">
        <v>0</v>
      </c>
    </row>
    <row r="4750" spans="9:14">
      <c r="I4750" s="62">
        <v>2026</v>
      </c>
      <c r="J4750" s="62">
        <v>3</v>
      </c>
      <c r="K4750" s="62" t="s">
        <v>25</v>
      </c>
      <c r="L4750" s="62" t="s">
        <v>1</v>
      </c>
      <c r="M4750" s="62">
        <v>34.815</v>
      </c>
      <c r="N4750" s="62">
        <v>0</v>
      </c>
    </row>
    <row r="4751" spans="9:14">
      <c r="I4751" s="62">
        <v>2026</v>
      </c>
      <c r="J4751" s="62">
        <v>4</v>
      </c>
      <c r="K4751" s="62" t="s">
        <v>25</v>
      </c>
      <c r="L4751" s="62" t="s">
        <v>1</v>
      </c>
      <c r="M4751" s="62">
        <v>88.16</v>
      </c>
      <c r="N4751" s="62">
        <v>0</v>
      </c>
    </row>
    <row r="4752" spans="9:14">
      <c r="I4752" s="62">
        <v>2026</v>
      </c>
      <c r="J4752" s="62">
        <v>5</v>
      </c>
      <c r="K4752" s="62" t="s">
        <v>25</v>
      </c>
      <c r="L4752" s="62" t="s">
        <v>1</v>
      </c>
      <c r="M4752" s="62">
        <v>27.65</v>
      </c>
      <c r="N4752" s="62">
        <v>0</v>
      </c>
    </row>
    <row r="4753" spans="9:14">
      <c r="I4753" s="62">
        <v>2026</v>
      </c>
      <c r="J4753" s="62">
        <v>6</v>
      </c>
      <c r="K4753" s="62" t="s">
        <v>25</v>
      </c>
      <c r="L4753" s="62" t="s">
        <v>1</v>
      </c>
      <c r="M4753" s="62">
        <v>6.899999999999999</v>
      </c>
      <c r="N4753" s="62">
        <v>0</v>
      </c>
    </row>
    <row r="4754" spans="9:14">
      <c r="I4754" s="62">
        <v>2026</v>
      </c>
      <c r="J4754" s="62">
        <v>9</v>
      </c>
      <c r="K4754" s="62" t="s">
        <v>25</v>
      </c>
      <c r="L4754" s="62" t="s">
        <v>1</v>
      </c>
      <c r="M4754" s="62">
        <v>10.251</v>
      </c>
      <c r="N4754" s="62">
        <v>0</v>
      </c>
    </row>
    <row r="4755" spans="9:14">
      <c r="I4755" s="62">
        <v>2026</v>
      </c>
      <c r="J4755" s="62">
        <v>10</v>
      </c>
      <c r="K4755" s="62" t="s">
        <v>25</v>
      </c>
      <c r="L4755" s="62" t="s">
        <v>1</v>
      </c>
      <c r="M4755" s="62">
        <v>1.8224</v>
      </c>
      <c r="N4755" s="62">
        <v>0</v>
      </c>
    </row>
    <row r="4756" spans="9:14">
      <c r="I4756" s="62">
        <v>2027</v>
      </c>
      <c r="J4756" s="62">
        <v>1</v>
      </c>
      <c r="K4756" s="62" t="s">
        <v>25</v>
      </c>
      <c r="L4756" s="62" t="s">
        <v>1</v>
      </c>
      <c r="M4756" s="62">
        <v>8.699999999999999</v>
      </c>
      <c r="N4756" s="62">
        <v>0</v>
      </c>
    </row>
    <row r="4757" spans="9:14">
      <c r="I4757" s="62">
        <v>2027</v>
      </c>
      <c r="J4757" s="62">
        <v>2</v>
      </c>
      <c r="K4757" s="62" t="s">
        <v>25</v>
      </c>
      <c r="L4757" s="62" t="s">
        <v>1</v>
      </c>
      <c r="M4757" s="62">
        <v>13.43</v>
      </c>
      <c r="N4757" s="62">
        <v>0</v>
      </c>
    </row>
    <row r="4758" spans="9:14">
      <c r="I4758" s="62">
        <v>2027</v>
      </c>
      <c r="J4758" s="62">
        <v>3</v>
      </c>
      <c r="K4758" s="62" t="s">
        <v>25</v>
      </c>
      <c r="L4758" s="62" t="s">
        <v>1</v>
      </c>
      <c r="M4758" s="62">
        <v>8.534800000000001</v>
      </c>
      <c r="N4758" s="62">
        <v>0</v>
      </c>
    </row>
    <row r="4759" spans="9:14">
      <c r="I4759" s="62">
        <v>2027</v>
      </c>
      <c r="J4759" s="62">
        <v>4</v>
      </c>
      <c r="K4759" s="62" t="s">
        <v>25</v>
      </c>
      <c r="L4759" s="62" t="s">
        <v>1</v>
      </c>
      <c r="M4759" s="62">
        <v>1.4622</v>
      </c>
      <c r="N4759" s="62">
        <v>0</v>
      </c>
    </row>
    <row r="4760" spans="9:14">
      <c r="I4760" s="62">
        <v>2027</v>
      </c>
      <c r="J4760" s="62">
        <v>10</v>
      </c>
      <c r="K4760" s="62" t="s">
        <v>25</v>
      </c>
      <c r="L4760" s="62" t="s">
        <v>1</v>
      </c>
      <c r="M4760" s="62">
        <v>3.612</v>
      </c>
      <c r="N4760" s="62">
        <v>0</v>
      </c>
    </row>
    <row r="4761" spans="9:14">
      <c r="I4761" s="62">
        <v>2027</v>
      </c>
      <c r="J4761" s="62">
        <v>11</v>
      </c>
      <c r="K4761" s="62" t="s">
        <v>25</v>
      </c>
      <c r="L4761" s="62" t="s">
        <v>1</v>
      </c>
      <c r="M4761" s="62">
        <v>6.278</v>
      </c>
      <c r="N4761" s="62">
        <v>0</v>
      </c>
    </row>
    <row r="4762" spans="9:14">
      <c r="I4762" s="62">
        <v>2019</v>
      </c>
      <c r="J4762" s="62">
        <v>9</v>
      </c>
      <c r="K4762" s="62" t="s">
        <v>25</v>
      </c>
      <c r="L4762" s="62" t="s">
        <v>2</v>
      </c>
      <c r="M4762" s="62">
        <v>2.45</v>
      </c>
      <c r="N4762" s="62">
        <v>0</v>
      </c>
    </row>
    <row r="4763" spans="9:14">
      <c r="I4763" s="62">
        <v>2019</v>
      </c>
      <c r="J4763" s="62">
        <v>10</v>
      </c>
      <c r="K4763" s="62" t="s">
        <v>25</v>
      </c>
      <c r="L4763" s="62" t="s">
        <v>2</v>
      </c>
      <c r="M4763" s="62">
        <v>0.5600000000000001</v>
      </c>
      <c r="N4763" s="62">
        <v>0</v>
      </c>
    </row>
    <row r="4764" spans="9:14">
      <c r="I4764" s="62">
        <v>2020</v>
      </c>
      <c r="J4764" s="62">
        <v>1</v>
      </c>
      <c r="K4764" s="62" t="s">
        <v>25</v>
      </c>
      <c r="L4764" s="62" t="s">
        <v>2</v>
      </c>
      <c r="M4764" s="62">
        <v>3.12</v>
      </c>
      <c r="N4764" s="62">
        <v>0</v>
      </c>
    </row>
    <row r="4765" spans="9:14">
      <c r="I4765" s="62">
        <v>2020</v>
      </c>
      <c r="J4765" s="62">
        <v>2</v>
      </c>
      <c r="K4765" s="62" t="s">
        <v>25</v>
      </c>
      <c r="L4765" s="62" t="s">
        <v>2</v>
      </c>
      <c r="M4765" s="62">
        <v>6</v>
      </c>
      <c r="N4765" s="62">
        <v>0</v>
      </c>
    </row>
    <row r="4766" spans="9:14">
      <c r="I4766" s="62">
        <v>2020</v>
      </c>
      <c r="J4766" s="62">
        <v>3</v>
      </c>
      <c r="K4766" s="62" t="s">
        <v>25</v>
      </c>
      <c r="L4766" s="62" t="s">
        <v>2</v>
      </c>
      <c r="M4766" s="62">
        <v>4.34</v>
      </c>
      <c r="N4766" s="62">
        <v>0</v>
      </c>
    </row>
    <row r="4767" spans="9:14">
      <c r="I4767" s="62">
        <v>2020</v>
      </c>
      <c r="J4767" s="62">
        <v>4</v>
      </c>
      <c r="K4767" s="62" t="s">
        <v>25</v>
      </c>
      <c r="L4767" s="62" t="s">
        <v>2</v>
      </c>
      <c r="M4767" s="62">
        <v>5.8</v>
      </c>
      <c r="N4767" s="62">
        <v>0</v>
      </c>
    </row>
    <row r="4768" spans="9:14">
      <c r="I4768" s="62">
        <v>2020</v>
      </c>
      <c r="J4768" s="62">
        <v>5</v>
      </c>
      <c r="K4768" s="62" t="s">
        <v>25</v>
      </c>
      <c r="L4768" s="62" t="s">
        <v>2</v>
      </c>
      <c r="M4768" s="62">
        <v>4.7</v>
      </c>
      <c r="N4768" s="62">
        <v>0</v>
      </c>
    </row>
    <row r="4769" spans="9:14">
      <c r="I4769" s="62">
        <v>2020</v>
      </c>
      <c r="J4769" s="62">
        <v>8</v>
      </c>
      <c r="K4769" s="62" t="s">
        <v>25</v>
      </c>
      <c r="L4769" s="62" t="s">
        <v>2</v>
      </c>
      <c r="M4769" s="62">
        <v>5.974</v>
      </c>
      <c r="N4769" s="62">
        <v>0</v>
      </c>
    </row>
    <row r="4770" spans="9:14">
      <c r="I4770" s="62">
        <v>2020</v>
      </c>
      <c r="J4770" s="62">
        <v>9</v>
      </c>
      <c r="K4770" s="62" t="s">
        <v>25</v>
      </c>
      <c r="L4770" s="62" t="s">
        <v>2</v>
      </c>
      <c r="M4770" s="62">
        <v>25.81</v>
      </c>
      <c r="N4770" s="62">
        <v>0</v>
      </c>
    </row>
    <row r="4771" spans="9:14">
      <c r="I4771" s="62">
        <v>2020</v>
      </c>
      <c r="J4771" s="62">
        <v>10</v>
      </c>
      <c r="K4771" s="62" t="s">
        <v>25</v>
      </c>
      <c r="L4771" s="62" t="s">
        <v>2</v>
      </c>
      <c r="M4771" s="62">
        <v>46.5</v>
      </c>
      <c r="N4771" s="62">
        <v>0</v>
      </c>
    </row>
    <row r="4772" spans="9:14">
      <c r="I4772" s="62">
        <v>2020</v>
      </c>
      <c r="J4772" s="62">
        <v>11</v>
      </c>
      <c r="K4772" s="62" t="s">
        <v>25</v>
      </c>
      <c r="L4772" s="62" t="s">
        <v>2</v>
      </c>
      <c r="M4772" s="62">
        <v>46.5</v>
      </c>
      <c r="N4772" s="62">
        <v>0</v>
      </c>
    </row>
    <row r="4773" spans="9:14">
      <c r="I4773" s="62">
        <v>2020</v>
      </c>
      <c r="J4773" s="62">
        <v>12</v>
      </c>
      <c r="K4773" s="62" t="s">
        <v>25</v>
      </c>
      <c r="L4773" s="62" t="s">
        <v>2</v>
      </c>
      <c r="M4773" s="62">
        <v>46.5</v>
      </c>
      <c r="N4773" s="62">
        <v>0</v>
      </c>
    </row>
    <row r="4774" spans="9:14">
      <c r="I4774" s="62">
        <v>2021</v>
      </c>
      <c r="J4774" s="62">
        <v>1</v>
      </c>
      <c r="K4774" s="62" t="s">
        <v>25</v>
      </c>
      <c r="L4774" s="62" t="s">
        <v>2</v>
      </c>
      <c r="M4774" s="62">
        <v>19.53</v>
      </c>
      <c r="N4774" s="62">
        <v>0</v>
      </c>
    </row>
    <row r="4775" spans="9:14">
      <c r="I4775" s="62">
        <v>2021</v>
      </c>
      <c r="J4775" s="62">
        <v>2</v>
      </c>
      <c r="K4775" s="62" t="s">
        <v>25</v>
      </c>
      <c r="L4775" s="62" t="s">
        <v>2</v>
      </c>
      <c r="M4775" s="62">
        <v>4.59</v>
      </c>
      <c r="N4775" s="62">
        <v>0</v>
      </c>
    </row>
    <row r="4776" spans="9:14">
      <c r="I4776" s="62">
        <v>2021</v>
      </c>
      <c r="J4776" s="62">
        <v>3</v>
      </c>
      <c r="K4776" s="62" t="s">
        <v>25</v>
      </c>
      <c r="L4776" s="62" t="s">
        <v>2</v>
      </c>
      <c r="M4776" s="62">
        <v>9.94</v>
      </c>
      <c r="N4776" s="62">
        <v>0</v>
      </c>
    </row>
    <row r="4777" spans="9:14">
      <c r="I4777" s="62">
        <v>2021</v>
      </c>
      <c r="J4777" s="62">
        <v>4</v>
      </c>
      <c r="K4777" s="62" t="s">
        <v>25</v>
      </c>
      <c r="L4777" s="62" t="s">
        <v>2</v>
      </c>
      <c r="M4777" s="62">
        <v>14.1</v>
      </c>
      <c r="N4777" s="62">
        <v>0</v>
      </c>
    </row>
    <row r="4778" spans="9:14">
      <c r="I4778" s="62">
        <v>2021</v>
      </c>
      <c r="J4778" s="62">
        <v>5</v>
      </c>
      <c r="K4778" s="62" t="s">
        <v>25</v>
      </c>
      <c r="L4778" s="62" t="s">
        <v>2</v>
      </c>
      <c r="M4778" s="62">
        <v>1.44</v>
      </c>
      <c r="N4778" s="62">
        <v>0</v>
      </c>
    </row>
    <row r="4779" spans="9:14">
      <c r="I4779" s="62">
        <v>2021</v>
      </c>
      <c r="J4779" s="62">
        <v>10</v>
      </c>
      <c r="K4779" s="62" t="s">
        <v>25</v>
      </c>
      <c r="L4779" s="62" t="s">
        <v>2</v>
      </c>
      <c r="M4779" s="62">
        <v>0.924</v>
      </c>
      <c r="N4779" s="62">
        <v>0</v>
      </c>
    </row>
    <row r="4780" spans="9:14">
      <c r="I4780" s="62">
        <v>2022</v>
      </c>
      <c r="J4780" s="62">
        <v>8</v>
      </c>
      <c r="K4780" s="62" t="s">
        <v>25</v>
      </c>
      <c r="L4780" s="62" t="s">
        <v>2</v>
      </c>
      <c r="M4780" s="62">
        <v>26</v>
      </c>
      <c r="N4780" s="62">
        <v>0</v>
      </c>
    </row>
    <row r="4781" spans="9:14">
      <c r="I4781" s="62">
        <v>2022</v>
      </c>
      <c r="J4781" s="62">
        <v>9</v>
      </c>
      <c r="K4781" s="62" t="s">
        <v>25</v>
      </c>
      <c r="L4781" s="62" t="s">
        <v>2</v>
      </c>
      <c r="M4781" s="62">
        <v>7.8</v>
      </c>
      <c r="N4781" s="62">
        <v>0</v>
      </c>
    </row>
    <row r="4782" spans="9:14">
      <c r="I4782" s="62">
        <v>2023</v>
      </c>
      <c r="J4782" s="62">
        <v>9</v>
      </c>
      <c r="K4782" s="62" t="s">
        <v>25</v>
      </c>
      <c r="L4782" s="62" t="s">
        <v>2</v>
      </c>
      <c r="M4782" s="62">
        <v>7.42</v>
      </c>
      <c r="N4782" s="62">
        <v>0</v>
      </c>
    </row>
    <row r="4783" spans="9:14">
      <c r="I4783" s="62">
        <v>2023</v>
      </c>
      <c r="J4783" s="62">
        <v>10</v>
      </c>
      <c r="K4783" s="62" t="s">
        <v>25</v>
      </c>
      <c r="L4783" s="62" t="s">
        <v>2</v>
      </c>
      <c r="M4783" s="62">
        <v>14</v>
      </c>
      <c r="N4783" s="62">
        <v>0</v>
      </c>
    </row>
    <row r="4784" spans="9:14">
      <c r="I4784" s="62">
        <v>2023</v>
      </c>
      <c r="J4784" s="62">
        <v>11</v>
      </c>
      <c r="K4784" s="62" t="s">
        <v>25</v>
      </c>
      <c r="L4784" s="62" t="s">
        <v>2</v>
      </c>
      <c r="M4784" s="62">
        <v>4.2</v>
      </c>
      <c r="N4784" s="62">
        <v>0</v>
      </c>
    </row>
    <row r="4785" spans="9:14">
      <c r="I4785" s="62">
        <v>2024</v>
      </c>
      <c r="J4785" s="62">
        <v>9</v>
      </c>
      <c r="K4785" s="62" t="s">
        <v>25</v>
      </c>
      <c r="L4785" s="62" t="s">
        <v>2</v>
      </c>
      <c r="M4785" s="62">
        <v>1.105</v>
      </c>
      <c r="N4785" s="62">
        <v>0</v>
      </c>
    </row>
    <row r="4786" spans="9:14">
      <c r="I4786" s="62">
        <v>2024</v>
      </c>
      <c r="J4786" s="62">
        <v>10</v>
      </c>
      <c r="K4786" s="62" t="s">
        <v>25</v>
      </c>
      <c r="L4786" s="62" t="s">
        <v>2</v>
      </c>
      <c r="M4786" s="62">
        <v>9.4</v>
      </c>
      <c r="N4786" s="62">
        <v>0</v>
      </c>
    </row>
    <row r="4787" spans="9:14">
      <c r="I4787" s="62">
        <v>2024</v>
      </c>
      <c r="J4787" s="62">
        <v>11</v>
      </c>
      <c r="K4787" s="62" t="s">
        <v>25</v>
      </c>
      <c r="L4787" s="62" t="s">
        <v>2</v>
      </c>
      <c r="M4787" s="62">
        <v>6.595000000000001</v>
      </c>
      <c r="N4787" s="62">
        <v>0</v>
      </c>
    </row>
    <row r="4788" spans="9:14">
      <c r="I4788" s="62">
        <v>2025</v>
      </c>
      <c r="J4788" s="62">
        <v>1</v>
      </c>
      <c r="K4788" s="62" t="s">
        <v>25</v>
      </c>
      <c r="L4788" s="62" t="s">
        <v>2</v>
      </c>
      <c r="M4788" s="62">
        <v>2.1</v>
      </c>
      <c r="N4788" s="62">
        <v>0</v>
      </c>
    </row>
    <row r="4789" spans="9:14">
      <c r="I4789" s="62">
        <v>2025</v>
      </c>
      <c r="J4789" s="62">
        <v>2</v>
      </c>
      <c r="K4789" s="62" t="s">
        <v>25</v>
      </c>
      <c r="L4789" s="62" t="s">
        <v>2</v>
      </c>
      <c r="M4789" s="62">
        <v>6.64</v>
      </c>
      <c r="N4789" s="62">
        <v>0</v>
      </c>
    </row>
    <row r="4790" spans="9:14">
      <c r="I4790" s="62">
        <v>2025</v>
      </c>
      <c r="J4790" s="62">
        <v>3</v>
      </c>
      <c r="K4790" s="62" t="s">
        <v>25</v>
      </c>
      <c r="L4790" s="62" t="s">
        <v>2</v>
      </c>
      <c r="M4790" s="62">
        <v>1.41</v>
      </c>
      <c r="N4790" s="62">
        <v>0</v>
      </c>
    </row>
    <row r="4791" spans="9:14">
      <c r="I4791" s="62">
        <v>2025</v>
      </c>
      <c r="J4791" s="62">
        <v>4</v>
      </c>
      <c r="K4791" s="62" t="s">
        <v>25</v>
      </c>
      <c r="L4791" s="62" t="s">
        <v>2</v>
      </c>
      <c r="M4791" s="62">
        <v>9</v>
      </c>
      <c r="N4791" s="62">
        <v>0</v>
      </c>
    </row>
    <row r="4792" spans="9:14">
      <c r="I4792" s="62">
        <v>2025</v>
      </c>
      <c r="J4792" s="62">
        <v>5</v>
      </c>
      <c r="K4792" s="62" t="s">
        <v>25</v>
      </c>
      <c r="L4792" s="62" t="s">
        <v>2</v>
      </c>
      <c r="M4792" s="62">
        <v>9</v>
      </c>
      <c r="N4792" s="62">
        <v>0</v>
      </c>
    </row>
    <row r="4793" spans="9:14">
      <c r="I4793" s="62">
        <v>2025</v>
      </c>
      <c r="J4793" s="62">
        <v>6</v>
      </c>
      <c r="K4793" s="62" t="s">
        <v>25</v>
      </c>
      <c r="L4793" s="62" t="s">
        <v>2</v>
      </c>
      <c r="M4793" s="62">
        <v>6.93</v>
      </c>
      <c r="N4793" s="62">
        <v>0</v>
      </c>
    </row>
    <row r="4794" spans="9:14">
      <c r="I4794" s="62">
        <v>2025</v>
      </c>
      <c r="J4794" s="62">
        <v>9</v>
      </c>
      <c r="K4794" s="62" t="s">
        <v>25</v>
      </c>
      <c r="L4794" s="62" t="s">
        <v>2</v>
      </c>
      <c r="M4794" s="62">
        <v>12.615</v>
      </c>
      <c r="N4794" s="62">
        <v>0</v>
      </c>
    </row>
    <row r="4795" spans="9:14">
      <c r="I4795" s="62">
        <v>2025</v>
      </c>
      <c r="J4795" s="62">
        <v>10</v>
      </c>
      <c r="K4795" s="62" t="s">
        <v>25</v>
      </c>
      <c r="L4795" s="62" t="s">
        <v>2</v>
      </c>
      <c r="M4795" s="62">
        <v>8.844999999999999</v>
      </c>
      <c r="N4795" s="62">
        <v>0</v>
      </c>
    </row>
    <row r="4796" spans="9:14">
      <c r="I4796" s="62">
        <v>2026</v>
      </c>
      <c r="J4796" s="62">
        <v>2</v>
      </c>
      <c r="K4796" s="62" t="s">
        <v>25</v>
      </c>
      <c r="L4796" s="62" t="s">
        <v>2</v>
      </c>
      <c r="M4796" s="62">
        <v>5.555</v>
      </c>
      <c r="N4796" s="62">
        <v>0</v>
      </c>
    </row>
    <row r="4797" spans="9:14">
      <c r="I4797" s="62">
        <v>2026</v>
      </c>
      <c r="J4797" s="62">
        <v>3</v>
      </c>
      <c r="K4797" s="62" t="s">
        <v>25</v>
      </c>
      <c r="L4797" s="62" t="s">
        <v>2</v>
      </c>
      <c r="M4797" s="62">
        <v>13.535</v>
      </c>
      <c r="N4797" s="62">
        <v>0</v>
      </c>
    </row>
    <row r="4798" spans="9:14">
      <c r="I4798" s="62">
        <v>2026</v>
      </c>
      <c r="J4798" s="62">
        <v>4</v>
      </c>
      <c r="K4798" s="62" t="s">
        <v>25</v>
      </c>
      <c r="L4798" s="62" t="s">
        <v>2</v>
      </c>
      <c r="M4798" s="62">
        <v>16</v>
      </c>
      <c r="N4798" s="62">
        <v>0</v>
      </c>
    </row>
    <row r="4799" spans="9:14">
      <c r="I4799" s="62">
        <v>2026</v>
      </c>
      <c r="J4799" s="62">
        <v>5</v>
      </c>
      <c r="K4799" s="62" t="s">
        <v>25</v>
      </c>
      <c r="L4799" s="62" t="s">
        <v>2</v>
      </c>
      <c r="M4799" s="62">
        <v>17.2</v>
      </c>
      <c r="N4799" s="62">
        <v>0</v>
      </c>
    </row>
    <row r="4800" spans="9:14">
      <c r="I4800" s="62">
        <v>2026</v>
      </c>
      <c r="J4800" s="62">
        <v>6</v>
      </c>
      <c r="K4800" s="62" t="s">
        <v>25</v>
      </c>
      <c r="L4800" s="62" t="s">
        <v>2</v>
      </c>
      <c r="M4800" s="62">
        <v>1.3</v>
      </c>
      <c r="N4800" s="62">
        <v>0</v>
      </c>
    </row>
    <row r="4801" spans="9:14">
      <c r="I4801" s="62">
        <v>2026</v>
      </c>
      <c r="J4801" s="62">
        <v>9</v>
      </c>
      <c r="K4801" s="62" t="s">
        <v>25</v>
      </c>
      <c r="L4801" s="62" t="s">
        <v>2</v>
      </c>
      <c r="M4801" s="62">
        <v>10.251</v>
      </c>
      <c r="N4801" s="62">
        <v>0</v>
      </c>
    </row>
    <row r="4802" spans="9:14">
      <c r="I4802" s="62">
        <v>2026</v>
      </c>
      <c r="J4802" s="62">
        <v>10</v>
      </c>
      <c r="K4802" s="62" t="s">
        <v>25</v>
      </c>
      <c r="L4802" s="62" t="s">
        <v>2</v>
      </c>
      <c r="M4802" s="62">
        <v>1.8224</v>
      </c>
      <c r="N4802" s="62">
        <v>0</v>
      </c>
    </row>
    <row r="4803" spans="9:14">
      <c r="I4803" s="62">
        <v>2027</v>
      </c>
      <c r="J4803" s="62">
        <v>1</v>
      </c>
      <c r="K4803" s="62" t="s">
        <v>25</v>
      </c>
      <c r="L4803" s="62" t="s">
        <v>2</v>
      </c>
      <c r="M4803" s="62">
        <v>8.699999999999999</v>
      </c>
      <c r="N4803" s="62">
        <v>0</v>
      </c>
    </row>
    <row r="4804" spans="9:14">
      <c r="I4804" s="62">
        <v>2027</v>
      </c>
      <c r="J4804" s="62">
        <v>2</v>
      </c>
      <c r="K4804" s="62" t="s">
        <v>25</v>
      </c>
      <c r="L4804" s="62" t="s">
        <v>2</v>
      </c>
      <c r="M4804" s="62">
        <v>13.43</v>
      </c>
      <c r="N4804" s="62">
        <v>0</v>
      </c>
    </row>
    <row r="4805" spans="9:14">
      <c r="I4805" s="62">
        <v>2027</v>
      </c>
      <c r="J4805" s="62">
        <v>3</v>
      </c>
      <c r="K4805" s="62" t="s">
        <v>25</v>
      </c>
      <c r="L4805" s="62" t="s">
        <v>2</v>
      </c>
      <c r="M4805" s="62">
        <v>8.534800000000001</v>
      </c>
      <c r="N4805" s="62">
        <v>0</v>
      </c>
    </row>
    <row r="4806" spans="9:14">
      <c r="I4806" s="62">
        <v>2027</v>
      </c>
      <c r="J4806" s="62">
        <v>4</v>
      </c>
      <c r="K4806" s="62" t="s">
        <v>25</v>
      </c>
      <c r="L4806" s="62" t="s">
        <v>2</v>
      </c>
      <c r="M4806" s="62">
        <v>1.4622</v>
      </c>
      <c r="N4806" s="62">
        <v>0</v>
      </c>
    </row>
    <row r="4807" spans="9:14">
      <c r="I4807" s="62">
        <v>2027</v>
      </c>
      <c r="J4807" s="62">
        <v>10</v>
      </c>
      <c r="K4807" s="62" t="s">
        <v>25</v>
      </c>
      <c r="L4807" s="62" t="s">
        <v>2</v>
      </c>
      <c r="M4807" s="62">
        <v>3.612</v>
      </c>
      <c r="N4807" s="62">
        <v>0</v>
      </c>
    </row>
    <row r="4808" spans="9:14">
      <c r="I4808" s="62">
        <v>2027</v>
      </c>
      <c r="J4808" s="62">
        <v>11</v>
      </c>
      <c r="K4808" s="62" t="s">
        <v>25</v>
      </c>
      <c r="L4808" s="62" t="s">
        <v>2</v>
      </c>
      <c r="M4808" s="62">
        <v>6.278</v>
      </c>
      <c r="N4808" s="62">
        <v>0</v>
      </c>
    </row>
    <row r="4809" spans="9:14">
      <c r="I4809" s="62">
        <v>2019</v>
      </c>
      <c r="J4809" s="62">
        <v>7</v>
      </c>
      <c r="K4809" s="62" t="s">
        <v>25</v>
      </c>
      <c r="L4809" s="62" t="s">
        <v>3</v>
      </c>
      <c r="M4809" s="62">
        <v>2.755</v>
      </c>
      <c r="N4809" s="62">
        <v>0</v>
      </c>
    </row>
    <row r="4810" spans="9:14">
      <c r="I4810" s="62">
        <v>2019</v>
      </c>
      <c r="J4810" s="62">
        <v>9</v>
      </c>
      <c r="K4810" s="62" t="s">
        <v>25</v>
      </c>
      <c r="L4810" s="62" t="s">
        <v>3</v>
      </c>
      <c r="M4810" s="62">
        <v>0.65</v>
      </c>
      <c r="N4810" s="62">
        <v>0</v>
      </c>
    </row>
    <row r="4811" spans="9:14">
      <c r="I4811" s="62">
        <v>2020</v>
      </c>
      <c r="J4811" s="62">
        <v>3</v>
      </c>
      <c r="K4811" s="62" t="s">
        <v>25</v>
      </c>
      <c r="L4811" s="62" t="s">
        <v>3</v>
      </c>
      <c r="M4811" s="62">
        <v>6.4979</v>
      </c>
      <c r="N4811" s="62">
        <v>0</v>
      </c>
    </row>
    <row r="4812" spans="9:14">
      <c r="I4812" s="62">
        <v>2020</v>
      </c>
      <c r="J4812" s="62">
        <v>4</v>
      </c>
      <c r="K4812" s="62" t="s">
        <v>25</v>
      </c>
      <c r="L4812" s="62" t="s">
        <v>3</v>
      </c>
      <c r="M4812" s="62">
        <v>56.0745</v>
      </c>
      <c r="N4812" s="62">
        <v>0</v>
      </c>
    </row>
    <row r="4813" spans="9:14">
      <c r="I4813" s="62">
        <v>2020</v>
      </c>
      <c r="J4813" s="62">
        <v>5</v>
      </c>
      <c r="K4813" s="62" t="s">
        <v>25</v>
      </c>
      <c r="L4813" s="62" t="s">
        <v>3</v>
      </c>
      <c r="M4813" s="62">
        <v>52.3638</v>
      </c>
      <c r="N4813" s="62">
        <v>0</v>
      </c>
    </row>
    <row r="4814" spans="9:14">
      <c r="I4814" s="62">
        <v>2020</v>
      </c>
      <c r="J4814" s="62">
        <v>6</v>
      </c>
      <c r="K4814" s="62" t="s">
        <v>25</v>
      </c>
      <c r="L4814" s="62" t="s">
        <v>3</v>
      </c>
      <c r="M4814" s="62">
        <v>49.85</v>
      </c>
      <c r="N4814" s="62">
        <v>0</v>
      </c>
    </row>
    <row r="4815" spans="9:14">
      <c r="I4815" s="62">
        <v>2020</v>
      </c>
      <c r="J4815" s="62">
        <v>7</v>
      </c>
      <c r="K4815" s="62" t="s">
        <v>25</v>
      </c>
      <c r="L4815" s="62" t="s">
        <v>3</v>
      </c>
      <c r="M4815" s="62">
        <v>52.6038</v>
      </c>
      <c r="N4815" s="62">
        <v>0</v>
      </c>
    </row>
    <row r="4816" spans="9:14">
      <c r="I4816" s="62">
        <v>2020</v>
      </c>
      <c r="J4816" s="62">
        <v>8</v>
      </c>
      <c r="K4816" s="62" t="s">
        <v>25</v>
      </c>
      <c r="L4816" s="62" t="s">
        <v>3</v>
      </c>
      <c r="M4816" s="62">
        <v>51.1575</v>
      </c>
      <c r="N4816" s="62">
        <v>0</v>
      </c>
    </row>
    <row r="4817" spans="9:14">
      <c r="I4817" s="62">
        <v>2020</v>
      </c>
      <c r="J4817" s="62">
        <v>9</v>
      </c>
      <c r="K4817" s="62" t="s">
        <v>25</v>
      </c>
      <c r="L4817" s="62" t="s">
        <v>3</v>
      </c>
      <c r="M4817" s="62">
        <v>51.651</v>
      </c>
      <c r="N4817" s="62">
        <v>0</v>
      </c>
    </row>
    <row r="4818" spans="9:14">
      <c r="I4818" s="62">
        <v>2020</v>
      </c>
      <c r="J4818" s="62">
        <v>10</v>
      </c>
      <c r="K4818" s="62" t="s">
        <v>25</v>
      </c>
      <c r="L4818" s="62" t="s">
        <v>3</v>
      </c>
      <c r="M4818" s="62">
        <v>55.6074</v>
      </c>
      <c r="N4818" s="62">
        <v>0</v>
      </c>
    </row>
    <row r="4819" spans="9:14">
      <c r="I4819" s="62">
        <v>2020</v>
      </c>
      <c r="J4819" s="62">
        <v>11</v>
      </c>
      <c r="K4819" s="62" t="s">
        <v>25</v>
      </c>
      <c r="L4819" s="62" t="s">
        <v>3</v>
      </c>
      <c r="M4819" s="62">
        <v>59.4975</v>
      </c>
      <c r="N4819" s="62">
        <v>0</v>
      </c>
    </row>
    <row r="4820" spans="9:14">
      <c r="I4820" s="62">
        <v>2020</v>
      </c>
      <c r="J4820" s="62">
        <v>12</v>
      </c>
      <c r="K4820" s="62" t="s">
        <v>25</v>
      </c>
      <c r="L4820" s="62" t="s">
        <v>3</v>
      </c>
      <c r="M4820" s="62">
        <v>57.15</v>
      </c>
      <c r="N4820" s="62">
        <v>0</v>
      </c>
    </row>
    <row r="4821" spans="9:14">
      <c r="I4821" s="62">
        <v>2021</v>
      </c>
      <c r="J4821" s="62">
        <v>1</v>
      </c>
      <c r="K4821" s="62" t="s">
        <v>25</v>
      </c>
      <c r="L4821" s="62" t="s">
        <v>3</v>
      </c>
      <c r="M4821" s="62">
        <v>62.544</v>
      </c>
      <c r="N4821" s="62">
        <v>0</v>
      </c>
    </row>
    <row r="4822" spans="9:14">
      <c r="I4822" s="62">
        <v>2021</v>
      </c>
      <c r="J4822" s="62">
        <v>2</v>
      </c>
      <c r="K4822" s="62" t="s">
        <v>25</v>
      </c>
      <c r="L4822" s="62" t="s">
        <v>3</v>
      </c>
      <c r="M4822" s="62">
        <v>66.035</v>
      </c>
      <c r="N4822" s="62">
        <v>0</v>
      </c>
    </row>
    <row r="4823" spans="9:14">
      <c r="I4823" s="62">
        <v>2021</v>
      </c>
      <c r="J4823" s="62">
        <v>3</v>
      </c>
      <c r="K4823" s="62" t="s">
        <v>25</v>
      </c>
      <c r="L4823" s="62" t="s">
        <v>3</v>
      </c>
      <c r="M4823" s="62">
        <v>57.8744</v>
      </c>
      <c r="N4823" s="62">
        <v>0</v>
      </c>
    </row>
    <row r="4824" spans="9:14">
      <c r="I4824" s="62">
        <v>2021</v>
      </c>
      <c r="J4824" s="62">
        <v>4</v>
      </c>
      <c r="K4824" s="62" t="s">
        <v>25</v>
      </c>
      <c r="L4824" s="62" t="s">
        <v>3</v>
      </c>
      <c r="M4824" s="62">
        <v>25.915</v>
      </c>
      <c r="N4824" s="62">
        <v>0</v>
      </c>
    </row>
    <row r="4825" spans="9:14">
      <c r="I4825" s="62">
        <v>2021</v>
      </c>
      <c r="J4825" s="62">
        <v>5</v>
      </c>
      <c r="K4825" s="62" t="s">
        <v>25</v>
      </c>
      <c r="L4825" s="62" t="s">
        <v>3</v>
      </c>
      <c r="M4825" s="62">
        <v>8.6241</v>
      </c>
      <c r="N4825" s="62">
        <v>0</v>
      </c>
    </row>
    <row r="4826" spans="9:14">
      <c r="I4826" s="62">
        <v>2021</v>
      </c>
      <c r="J4826" s="62">
        <v>6</v>
      </c>
      <c r="K4826" s="62" t="s">
        <v>25</v>
      </c>
      <c r="L4826" s="62" t="s">
        <v>3</v>
      </c>
      <c r="M4826" s="62">
        <v>6.52</v>
      </c>
      <c r="N4826" s="62">
        <v>0</v>
      </c>
    </row>
    <row r="4827" spans="9:14">
      <c r="I4827" s="62">
        <v>2021</v>
      </c>
      <c r="J4827" s="62">
        <v>8</v>
      </c>
      <c r="K4827" s="62" t="s">
        <v>25</v>
      </c>
      <c r="L4827" s="62" t="s">
        <v>3</v>
      </c>
      <c r="M4827" s="62">
        <v>8.9933</v>
      </c>
      <c r="N4827" s="62">
        <v>0</v>
      </c>
    </row>
    <row r="4828" spans="9:14">
      <c r="I4828" s="62">
        <v>2021</v>
      </c>
      <c r="J4828" s="62">
        <v>9</v>
      </c>
      <c r="K4828" s="62" t="s">
        <v>25</v>
      </c>
      <c r="L4828" s="62" t="s">
        <v>3</v>
      </c>
      <c r="M4828" s="62">
        <v>51.2</v>
      </c>
      <c r="N4828" s="62">
        <v>0</v>
      </c>
    </row>
    <row r="4829" spans="9:14">
      <c r="I4829" s="62">
        <v>2021</v>
      </c>
      <c r="J4829" s="62">
        <v>10</v>
      </c>
      <c r="K4829" s="62" t="s">
        <v>25</v>
      </c>
      <c r="L4829" s="62" t="s">
        <v>3</v>
      </c>
      <c r="M4829" s="62">
        <v>38</v>
      </c>
      <c r="N4829" s="62">
        <v>0</v>
      </c>
    </row>
    <row r="4830" spans="9:14">
      <c r="I4830" s="62">
        <v>2021</v>
      </c>
      <c r="J4830" s="62">
        <v>11</v>
      </c>
      <c r="K4830" s="62" t="s">
        <v>25</v>
      </c>
      <c r="L4830" s="62" t="s">
        <v>3</v>
      </c>
      <c r="M4830" s="62">
        <v>10.26</v>
      </c>
      <c r="N4830" s="62">
        <v>0</v>
      </c>
    </row>
    <row r="4831" spans="9:14">
      <c r="I4831" s="62">
        <v>2022</v>
      </c>
      <c r="J4831" s="62">
        <v>2</v>
      </c>
      <c r="K4831" s="62" t="s">
        <v>25</v>
      </c>
      <c r="L4831" s="62" t="s">
        <v>3</v>
      </c>
      <c r="M4831" s="62">
        <v>0.899</v>
      </c>
      <c r="N4831" s="62">
        <v>0</v>
      </c>
    </row>
    <row r="4832" spans="9:14">
      <c r="I4832" s="62">
        <v>2022</v>
      </c>
      <c r="J4832" s="62">
        <v>3</v>
      </c>
      <c r="K4832" s="62" t="s">
        <v>25</v>
      </c>
      <c r="L4832" s="62" t="s">
        <v>3</v>
      </c>
      <c r="M4832" s="62">
        <v>3.915</v>
      </c>
      <c r="N4832" s="62">
        <v>0</v>
      </c>
    </row>
    <row r="4833" spans="9:14">
      <c r="I4833" s="62">
        <v>2022</v>
      </c>
      <c r="J4833" s="62">
        <v>4</v>
      </c>
      <c r="K4833" s="62" t="s">
        <v>25</v>
      </c>
      <c r="L4833" s="62" t="s">
        <v>3</v>
      </c>
      <c r="M4833" s="62">
        <v>12.525</v>
      </c>
      <c r="N4833" s="62">
        <v>0</v>
      </c>
    </row>
    <row r="4834" spans="9:14">
      <c r="I4834" s="62">
        <v>2022</v>
      </c>
      <c r="J4834" s="62">
        <v>5</v>
      </c>
      <c r="K4834" s="62" t="s">
        <v>25</v>
      </c>
      <c r="L4834" s="62" t="s">
        <v>3</v>
      </c>
      <c r="M4834" s="62">
        <v>7.6</v>
      </c>
      <c r="N4834" s="62">
        <v>0</v>
      </c>
    </row>
    <row r="4835" spans="9:14">
      <c r="I4835" s="62">
        <v>2022</v>
      </c>
      <c r="J4835" s="62">
        <v>6</v>
      </c>
      <c r="K4835" s="62" t="s">
        <v>25</v>
      </c>
      <c r="L4835" s="62" t="s">
        <v>3</v>
      </c>
      <c r="M4835" s="62">
        <v>5.62</v>
      </c>
      <c r="N4835" s="62">
        <v>0</v>
      </c>
    </row>
    <row r="4836" spans="9:14">
      <c r="I4836" s="62">
        <v>2022</v>
      </c>
      <c r="J4836" s="62">
        <v>7</v>
      </c>
      <c r="K4836" s="62" t="s">
        <v>25</v>
      </c>
      <c r="L4836" s="62" t="s">
        <v>3</v>
      </c>
      <c r="M4836" s="62">
        <v>1.3</v>
      </c>
      <c r="N4836" s="62">
        <v>0</v>
      </c>
    </row>
    <row r="4837" spans="9:14">
      <c r="I4837" s="62">
        <v>2022</v>
      </c>
      <c r="J4837" s="62">
        <v>10</v>
      </c>
      <c r="K4837" s="62" t="s">
        <v>25</v>
      </c>
      <c r="L4837" s="62" t="s">
        <v>3</v>
      </c>
      <c r="M4837" s="62">
        <v>9.279999999999999</v>
      </c>
      <c r="N4837" s="62">
        <v>0</v>
      </c>
    </row>
    <row r="4838" spans="9:14">
      <c r="I4838" s="62">
        <v>2023</v>
      </c>
      <c r="J4838" s="62">
        <v>1</v>
      </c>
      <c r="K4838" s="62" t="s">
        <v>25</v>
      </c>
      <c r="L4838" s="62" t="s">
        <v>3</v>
      </c>
      <c r="M4838" s="62">
        <v>0.058</v>
      </c>
      <c r="N4838" s="62">
        <v>0</v>
      </c>
    </row>
    <row r="4839" spans="9:14">
      <c r="I4839" s="62">
        <v>2023</v>
      </c>
      <c r="J4839" s="62">
        <v>2</v>
      </c>
      <c r="K4839" s="62" t="s">
        <v>25</v>
      </c>
      <c r="L4839" s="62" t="s">
        <v>3</v>
      </c>
      <c r="M4839" s="62">
        <v>0.2</v>
      </c>
      <c r="N4839" s="62">
        <v>0</v>
      </c>
    </row>
    <row r="4840" spans="9:14">
      <c r="I4840" s="62">
        <v>2023</v>
      </c>
      <c r="J4840" s="62">
        <v>3</v>
      </c>
      <c r="K4840" s="62" t="s">
        <v>25</v>
      </c>
      <c r="L4840" s="62" t="s">
        <v>3</v>
      </c>
      <c r="M4840" s="62">
        <v>1.16</v>
      </c>
      <c r="N4840" s="62">
        <v>0</v>
      </c>
    </row>
    <row r="4841" spans="9:14">
      <c r="I4841" s="62">
        <v>2023</v>
      </c>
      <c r="J4841" s="62">
        <v>4</v>
      </c>
      <c r="K4841" s="62" t="s">
        <v>25</v>
      </c>
      <c r="L4841" s="62" t="s">
        <v>3</v>
      </c>
      <c r="M4841" s="62">
        <v>0.54</v>
      </c>
      <c r="N4841" s="62">
        <v>0</v>
      </c>
    </row>
    <row r="4842" spans="9:14">
      <c r="I4842" s="62">
        <v>2023</v>
      </c>
      <c r="J4842" s="62">
        <v>11</v>
      </c>
      <c r="K4842" s="62" t="s">
        <v>25</v>
      </c>
      <c r="L4842" s="62" t="s">
        <v>3</v>
      </c>
      <c r="M4842" s="62">
        <v>2.08</v>
      </c>
      <c r="N4842" s="62">
        <v>0</v>
      </c>
    </row>
    <row r="4843" spans="9:14">
      <c r="I4843" s="62">
        <v>2024</v>
      </c>
      <c r="J4843" s="62">
        <v>1</v>
      </c>
      <c r="K4843" s="62" t="s">
        <v>25</v>
      </c>
      <c r="L4843" s="62" t="s">
        <v>3</v>
      </c>
      <c r="M4843" s="62">
        <v>1.4</v>
      </c>
      <c r="N4843" s="62">
        <v>0</v>
      </c>
    </row>
    <row r="4844" spans="9:14">
      <c r="I4844" s="62">
        <v>2024</v>
      </c>
      <c r="J4844" s="62">
        <v>3</v>
      </c>
      <c r="K4844" s="62" t="s">
        <v>25</v>
      </c>
      <c r="L4844" s="62" t="s">
        <v>3</v>
      </c>
      <c r="M4844" s="62">
        <v>9.118</v>
      </c>
      <c r="N4844" s="62">
        <v>0</v>
      </c>
    </row>
    <row r="4845" spans="9:14">
      <c r="I4845" s="62">
        <v>2024</v>
      </c>
      <c r="J4845" s="62">
        <v>4</v>
      </c>
      <c r="K4845" s="62" t="s">
        <v>25</v>
      </c>
      <c r="L4845" s="62" t="s">
        <v>3</v>
      </c>
      <c r="M4845" s="62">
        <v>1.6</v>
      </c>
      <c r="N4845" s="62">
        <v>0</v>
      </c>
    </row>
    <row r="4846" spans="9:14">
      <c r="I4846" s="62">
        <v>2024</v>
      </c>
      <c r="J4846" s="62">
        <v>7</v>
      </c>
      <c r="K4846" s="62" t="s">
        <v>25</v>
      </c>
      <c r="L4846" s="62" t="s">
        <v>3</v>
      </c>
      <c r="M4846" s="62">
        <v>3.04</v>
      </c>
      <c r="N4846" s="62">
        <v>0</v>
      </c>
    </row>
    <row r="4847" spans="9:14">
      <c r="I4847" s="62">
        <v>2024</v>
      </c>
      <c r="J4847" s="62">
        <v>9</v>
      </c>
      <c r="K4847" s="62" t="s">
        <v>25</v>
      </c>
      <c r="L4847" s="62" t="s">
        <v>3</v>
      </c>
      <c r="M4847" s="62">
        <v>0.5</v>
      </c>
      <c r="N4847" s="62">
        <v>0</v>
      </c>
    </row>
    <row r="4848" spans="9:14">
      <c r="I4848" s="62">
        <v>2025</v>
      </c>
      <c r="J4848" s="62">
        <v>1</v>
      </c>
      <c r="K4848" s="62" t="s">
        <v>25</v>
      </c>
      <c r="L4848" s="62" t="s">
        <v>3</v>
      </c>
      <c r="M4848" s="62">
        <v>3.99</v>
      </c>
      <c r="N4848" s="62">
        <v>0</v>
      </c>
    </row>
    <row r="4849" spans="9:14">
      <c r="I4849" s="62">
        <v>2025</v>
      </c>
      <c r="J4849" s="62">
        <v>3</v>
      </c>
      <c r="K4849" s="62" t="s">
        <v>25</v>
      </c>
      <c r="L4849" s="62" t="s">
        <v>3</v>
      </c>
      <c r="M4849" s="62">
        <v>19.14</v>
      </c>
      <c r="N4849" s="62">
        <v>0</v>
      </c>
    </row>
    <row r="4850" spans="9:14">
      <c r="I4850" s="62">
        <v>2025</v>
      </c>
      <c r="J4850" s="62">
        <v>4</v>
      </c>
      <c r="K4850" s="62" t="s">
        <v>25</v>
      </c>
      <c r="L4850" s="62" t="s">
        <v>3</v>
      </c>
      <c r="M4850" s="62">
        <v>33</v>
      </c>
      <c r="N4850" s="62">
        <v>0</v>
      </c>
    </row>
    <row r="4851" spans="9:14">
      <c r="I4851" s="62">
        <v>2025</v>
      </c>
      <c r="J4851" s="62">
        <v>5</v>
      </c>
      <c r="K4851" s="62" t="s">
        <v>25</v>
      </c>
      <c r="L4851" s="62" t="s">
        <v>3</v>
      </c>
      <c r="M4851" s="62">
        <v>1.5</v>
      </c>
      <c r="N4851" s="62">
        <v>0</v>
      </c>
    </row>
    <row r="4852" spans="9:14">
      <c r="I4852" s="62">
        <v>2025</v>
      </c>
      <c r="J4852" s="62">
        <v>6</v>
      </c>
      <c r="K4852" s="62" t="s">
        <v>25</v>
      </c>
      <c r="L4852" s="62" t="s">
        <v>3</v>
      </c>
      <c r="M4852" s="62">
        <v>0.98</v>
      </c>
      <c r="N4852" s="62">
        <v>0</v>
      </c>
    </row>
    <row r="4853" spans="9:14">
      <c r="I4853" s="62">
        <v>2025</v>
      </c>
      <c r="J4853" s="62">
        <v>7</v>
      </c>
      <c r="K4853" s="62" t="s">
        <v>25</v>
      </c>
      <c r="L4853" s="62" t="s">
        <v>3</v>
      </c>
      <c r="M4853" s="62">
        <v>0.42</v>
      </c>
      <c r="N4853" s="62">
        <v>0</v>
      </c>
    </row>
    <row r="4854" spans="9:14">
      <c r="I4854" s="62">
        <v>2025</v>
      </c>
      <c r="J4854" s="62">
        <v>12</v>
      </c>
      <c r="K4854" s="62" t="s">
        <v>25</v>
      </c>
      <c r="L4854" s="62" t="s">
        <v>3</v>
      </c>
      <c r="M4854" s="62">
        <v>0.96</v>
      </c>
      <c r="N4854" s="62">
        <v>0</v>
      </c>
    </row>
    <row r="4855" spans="9:14">
      <c r="I4855" s="62">
        <v>2026</v>
      </c>
      <c r="J4855" s="62">
        <v>1</v>
      </c>
      <c r="K4855" s="62" t="s">
        <v>25</v>
      </c>
      <c r="L4855" s="62" t="s">
        <v>3</v>
      </c>
      <c r="M4855" s="62">
        <v>1.376</v>
      </c>
      <c r="N4855" s="62">
        <v>0</v>
      </c>
    </row>
    <row r="4856" spans="9:14">
      <c r="I4856" s="62">
        <v>2026</v>
      </c>
      <c r="J4856" s="62">
        <v>2</v>
      </c>
      <c r="K4856" s="62" t="s">
        <v>25</v>
      </c>
      <c r="L4856" s="62" t="s">
        <v>3</v>
      </c>
      <c r="M4856" s="62">
        <v>1.54</v>
      </c>
      <c r="N4856" s="62">
        <v>0</v>
      </c>
    </row>
    <row r="4857" spans="9:14">
      <c r="I4857" s="62">
        <v>2026</v>
      </c>
      <c r="J4857" s="62">
        <v>3</v>
      </c>
      <c r="K4857" s="62" t="s">
        <v>25</v>
      </c>
      <c r="L4857" s="62" t="s">
        <v>3</v>
      </c>
      <c r="M4857" s="62">
        <v>21.28</v>
      </c>
      <c r="N4857" s="62">
        <v>0</v>
      </c>
    </row>
    <row r="4858" spans="9:14">
      <c r="I4858" s="62">
        <v>2026</v>
      </c>
      <c r="J4858" s="62">
        <v>4</v>
      </c>
      <c r="K4858" s="62" t="s">
        <v>25</v>
      </c>
      <c r="L4858" s="62" t="s">
        <v>3</v>
      </c>
      <c r="M4858" s="62">
        <v>72.16</v>
      </c>
      <c r="N4858" s="62">
        <v>0</v>
      </c>
    </row>
    <row r="4859" spans="9:14">
      <c r="I4859" s="62">
        <v>2026</v>
      </c>
      <c r="J4859" s="62">
        <v>5</v>
      </c>
      <c r="K4859" s="62" t="s">
        <v>25</v>
      </c>
      <c r="L4859" s="62" t="s">
        <v>3</v>
      </c>
      <c r="M4859" s="62">
        <v>10.45</v>
      </c>
      <c r="N4859" s="62">
        <v>0</v>
      </c>
    </row>
    <row r="4860" spans="9:14">
      <c r="I4860" s="62">
        <v>2026</v>
      </c>
      <c r="J4860" s="62">
        <v>6</v>
      </c>
      <c r="K4860" s="62" t="s">
        <v>25</v>
      </c>
      <c r="L4860" s="62" t="s">
        <v>3</v>
      </c>
      <c r="M4860" s="62">
        <v>5.6</v>
      </c>
      <c r="N4860" s="62">
        <v>0</v>
      </c>
    </row>
    <row r="4861" spans="9:14">
      <c r="I4861" s="62">
        <v>2014</v>
      </c>
      <c r="J4861" s="62">
        <v>7</v>
      </c>
      <c r="K4861" s="62" t="s">
        <v>26</v>
      </c>
      <c r="L4861" s="62" t="s">
        <v>1</v>
      </c>
      <c r="M4861" s="62">
        <v>18.9</v>
      </c>
      <c r="N4861" s="62">
        <v>0.945</v>
      </c>
    </row>
    <row r="4862" spans="9:14">
      <c r="I4862" s="62">
        <v>2014</v>
      </c>
      <c r="J4862" s="62">
        <v>8</v>
      </c>
      <c r="K4862" s="62" t="s">
        <v>26</v>
      </c>
      <c r="L4862" s="62" t="s">
        <v>1</v>
      </c>
      <c r="M4862" s="62">
        <v>5.85</v>
      </c>
      <c r="N4862" s="62">
        <v>0.2925</v>
      </c>
    </row>
    <row r="4863" spans="9:14">
      <c r="I4863" s="62">
        <v>2015</v>
      </c>
      <c r="J4863" s="62">
        <v>2</v>
      </c>
      <c r="K4863" s="62" t="s">
        <v>26</v>
      </c>
      <c r="L4863" s="62" t="s">
        <v>1</v>
      </c>
      <c r="M4863" s="62">
        <v>9.6</v>
      </c>
      <c r="N4863" s="62">
        <v>0.48</v>
      </c>
    </row>
    <row r="4864" spans="9:14">
      <c r="I4864" s="62">
        <v>2015</v>
      </c>
      <c r="J4864" s="62">
        <v>3</v>
      </c>
      <c r="K4864" s="62" t="s">
        <v>26</v>
      </c>
      <c r="L4864" s="62" t="s">
        <v>1</v>
      </c>
      <c r="M4864" s="62">
        <v>17.55</v>
      </c>
      <c r="N4864" s="62">
        <v>0.8775000000000001</v>
      </c>
    </row>
    <row r="4865" spans="9:14">
      <c r="I4865" s="62">
        <v>2015</v>
      </c>
      <c r="J4865" s="62">
        <v>4</v>
      </c>
      <c r="K4865" s="62" t="s">
        <v>26</v>
      </c>
      <c r="L4865" s="62" t="s">
        <v>1</v>
      </c>
      <c r="M4865" s="62">
        <v>45</v>
      </c>
      <c r="N4865" s="62">
        <v>2.25</v>
      </c>
    </row>
    <row r="4866" spans="9:14">
      <c r="I4866" s="62">
        <v>2015</v>
      </c>
      <c r="J4866" s="62">
        <v>5</v>
      </c>
      <c r="K4866" s="62" t="s">
        <v>26</v>
      </c>
      <c r="L4866" s="62" t="s">
        <v>1</v>
      </c>
      <c r="M4866" s="62">
        <v>4.5</v>
      </c>
      <c r="N4866" s="62">
        <v>0.225</v>
      </c>
    </row>
    <row r="4867" spans="9:14">
      <c r="I4867" s="62">
        <v>2015</v>
      </c>
      <c r="J4867" s="62">
        <v>7</v>
      </c>
      <c r="K4867" s="62" t="s">
        <v>26</v>
      </c>
      <c r="L4867" s="62" t="s">
        <v>1</v>
      </c>
      <c r="M4867" s="62">
        <v>17.55</v>
      </c>
      <c r="N4867" s="62">
        <v>0.8775000000000001</v>
      </c>
    </row>
    <row r="4868" spans="9:14">
      <c r="I4868" s="62">
        <v>2015</v>
      </c>
      <c r="J4868" s="62">
        <v>11</v>
      </c>
      <c r="K4868" s="62" t="s">
        <v>26</v>
      </c>
      <c r="L4868" s="62" t="s">
        <v>1</v>
      </c>
      <c r="M4868" s="62">
        <v>2.99</v>
      </c>
      <c r="N4868" s="62">
        <v>0.1495</v>
      </c>
    </row>
    <row r="4869" spans="9:14">
      <c r="I4869" s="62">
        <v>2016</v>
      </c>
      <c r="J4869" s="62">
        <v>1</v>
      </c>
      <c r="K4869" s="62" t="s">
        <v>26</v>
      </c>
      <c r="L4869" s="62" t="s">
        <v>1</v>
      </c>
      <c r="M4869" s="62">
        <v>17.71</v>
      </c>
      <c r="N4869" s="62">
        <v>0.8855000000000001</v>
      </c>
    </row>
    <row r="4870" spans="9:14">
      <c r="I4870" s="62">
        <v>2016</v>
      </c>
      <c r="J4870" s="62">
        <v>2</v>
      </c>
      <c r="K4870" s="62" t="s">
        <v>26</v>
      </c>
      <c r="L4870" s="62" t="s">
        <v>1</v>
      </c>
      <c r="M4870" s="62">
        <v>15.87</v>
      </c>
      <c r="N4870" s="62">
        <v>0.7935</v>
      </c>
    </row>
    <row r="4871" spans="9:14">
      <c r="I4871" s="62">
        <v>2016</v>
      </c>
      <c r="J4871" s="62">
        <v>8</v>
      </c>
      <c r="K4871" s="62" t="s">
        <v>26</v>
      </c>
      <c r="L4871" s="62" t="s">
        <v>1</v>
      </c>
      <c r="M4871" s="62">
        <v>30.6</v>
      </c>
      <c r="N4871" s="62">
        <v>1.53</v>
      </c>
    </row>
    <row r="4872" spans="9:14">
      <c r="I4872" s="62">
        <v>2016</v>
      </c>
      <c r="J4872" s="62">
        <v>9</v>
      </c>
      <c r="K4872" s="62" t="s">
        <v>26</v>
      </c>
      <c r="L4872" s="62" t="s">
        <v>1</v>
      </c>
      <c r="M4872" s="62">
        <v>45</v>
      </c>
      <c r="N4872" s="62">
        <v>2.25</v>
      </c>
    </row>
    <row r="4873" spans="9:14">
      <c r="I4873" s="62">
        <v>2016</v>
      </c>
      <c r="J4873" s="62">
        <v>10</v>
      </c>
      <c r="K4873" s="62" t="s">
        <v>26</v>
      </c>
      <c r="L4873" s="62" t="s">
        <v>1</v>
      </c>
      <c r="M4873" s="62">
        <v>45</v>
      </c>
      <c r="N4873" s="62">
        <v>2.25</v>
      </c>
    </row>
    <row r="4874" spans="9:14">
      <c r="I4874" s="62">
        <v>2016</v>
      </c>
      <c r="J4874" s="62">
        <v>11</v>
      </c>
      <c r="K4874" s="62" t="s">
        <v>26</v>
      </c>
      <c r="L4874" s="62" t="s">
        <v>1</v>
      </c>
      <c r="M4874" s="62">
        <v>52.8</v>
      </c>
      <c r="N4874" s="62">
        <v>2.64</v>
      </c>
    </row>
    <row r="4875" spans="9:14">
      <c r="I4875" s="62">
        <v>2016</v>
      </c>
      <c r="J4875" s="62">
        <v>12</v>
      </c>
      <c r="K4875" s="62" t="s">
        <v>26</v>
      </c>
      <c r="L4875" s="62" t="s">
        <v>1</v>
      </c>
      <c r="M4875" s="62">
        <v>47.99</v>
      </c>
      <c r="N4875" s="62">
        <v>2.3995</v>
      </c>
    </row>
    <row r="4876" spans="9:14">
      <c r="I4876" s="62">
        <v>2017</v>
      </c>
      <c r="J4876" s="62">
        <v>1</v>
      </c>
      <c r="K4876" s="62" t="s">
        <v>26</v>
      </c>
      <c r="L4876" s="62" t="s">
        <v>1</v>
      </c>
      <c r="M4876" s="62">
        <v>25.49</v>
      </c>
      <c r="N4876" s="62">
        <v>1.2745</v>
      </c>
    </row>
    <row r="4877" spans="9:14">
      <c r="I4877" s="62">
        <v>2017</v>
      </c>
      <c r="J4877" s="62">
        <v>2</v>
      </c>
      <c r="K4877" s="62" t="s">
        <v>26</v>
      </c>
      <c r="L4877" s="62" t="s">
        <v>1</v>
      </c>
      <c r="M4877" s="62">
        <v>22.5</v>
      </c>
      <c r="N4877" s="62">
        <v>1.125</v>
      </c>
    </row>
    <row r="4878" spans="9:14">
      <c r="I4878" s="62">
        <v>2017</v>
      </c>
      <c r="J4878" s="62">
        <v>3</v>
      </c>
      <c r="K4878" s="62" t="s">
        <v>26</v>
      </c>
      <c r="L4878" s="62" t="s">
        <v>1</v>
      </c>
      <c r="M4878" s="62">
        <v>0.675</v>
      </c>
      <c r="N4878" s="62">
        <v>0.03375</v>
      </c>
    </row>
    <row r="4879" spans="9:14">
      <c r="I4879" s="62">
        <v>2017</v>
      </c>
      <c r="J4879" s="62">
        <v>7</v>
      </c>
      <c r="K4879" s="62" t="s">
        <v>26</v>
      </c>
      <c r="L4879" s="62" t="s">
        <v>1</v>
      </c>
      <c r="M4879" s="62">
        <v>4.37</v>
      </c>
      <c r="N4879" s="62">
        <v>0.2185</v>
      </c>
    </row>
    <row r="4880" spans="9:14">
      <c r="I4880" s="62">
        <v>2017</v>
      </c>
      <c r="J4880" s="62">
        <v>8</v>
      </c>
      <c r="K4880" s="62" t="s">
        <v>26</v>
      </c>
      <c r="L4880" s="62" t="s">
        <v>1</v>
      </c>
      <c r="M4880" s="62">
        <v>3</v>
      </c>
      <c r="N4880" s="62">
        <v>0.15</v>
      </c>
    </row>
    <row r="4881" spans="9:14">
      <c r="I4881" s="62">
        <v>2017</v>
      </c>
      <c r="J4881" s="62">
        <v>9</v>
      </c>
      <c r="K4881" s="62" t="s">
        <v>26</v>
      </c>
      <c r="L4881" s="62" t="s">
        <v>1</v>
      </c>
      <c r="M4881" s="62">
        <v>12.825</v>
      </c>
      <c r="N4881" s="62">
        <v>0.6412500000000001</v>
      </c>
    </row>
    <row r="4882" spans="9:14">
      <c r="I4882" s="62">
        <v>2017</v>
      </c>
      <c r="J4882" s="62">
        <v>10</v>
      </c>
      <c r="K4882" s="62" t="s">
        <v>26</v>
      </c>
      <c r="L4882" s="62" t="s">
        <v>1</v>
      </c>
      <c r="M4882" s="62">
        <v>22.5</v>
      </c>
      <c r="N4882" s="62">
        <v>1.125</v>
      </c>
    </row>
    <row r="4883" spans="9:14">
      <c r="I4883" s="62">
        <v>2017</v>
      </c>
      <c r="J4883" s="62">
        <v>11</v>
      </c>
      <c r="K4883" s="62" t="s">
        <v>26</v>
      </c>
      <c r="L4883" s="62" t="s">
        <v>1</v>
      </c>
      <c r="M4883" s="62">
        <v>3.825</v>
      </c>
      <c r="N4883" s="62">
        <v>0.19125</v>
      </c>
    </row>
    <row r="4884" spans="9:14">
      <c r="I4884" s="62">
        <v>2018</v>
      </c>
      <c r="J4884" s="62">
        <v>3</v>
      </c>
      <c r="K4884" s="62" t="s">
        <v>26</v>
      </c>
      <c r="L4884" s="62" t="s">
        <v>1</v>
      </c>
      <c r="M4884" s="62">
        <v>2.7</v>
      </c>
      <c r="N4884" s="62">
        <v>0.135</v>
      </c>
    </row>
    <row r="4885" spans="9:14">
      <c r="I4885" s="62">
        <v>2018</v>
      </c>
      <c r="J4885" s="62">
        <v>12</v>
      </c>
      <c r="K4885" s="62" t="s">
        <v>26</v>
      </c>
      <c r="L4885" s="62" t="s">
        <v>1</v>
      </c>
      <c r="M4885" s="62">
        <v>1.35</v>
      </c>
      <c r="N4885" s="62">
        <v>0.0675</v>
      </c>
    </row>
    <row r="4886" spans="9:14">
      <c r="I4886" s="62">
        <v>2019</v>
      </c>
      <c r="J4886" s="62">
        <v>4</v>
      </c>
      <c r="K4886" s="62" t="s">
        <v>26</v>
      </c>
      <c r="L4886" s="62" t="s">
        <v>1</v>
      </c>
      <c r="M4886" s="62">
        <v>1.61</v>
      </c>
      <c r="N4886" s="62">
        <v>0.08050000000000002</v>
      </c>
    </row>
    <row r="4887" spans="9:14">
      <c r="I4887" s="62">
        <v>2019</v>
      </c>
      <c r="J4887" s="62">
        <v>8</v>
      </c>
      <c r="K4887" s="62" t="s">
        <v>26</v>
      </c>
      <c r="L4887" s="62" t="s">
        <v>1</v>
      </c>
      <c r="M4887" s="62">
        <v>9.6</v>
      </c>
      <c r="N4887" s="62">
        <v>0.48</v>
      </c>
    </row>
    <row r="4888" spans="9:14">
      <c r="I4888" s="62">
        <v>2019</v>
      </c>
      <c r="J4888" s="62">
        <v>12</v>
      </c>
      <c r="K4888" s="62" t="s">
        <v>26</v>
      </c>
      <c r="L4888" s="62" t="s">
        <v>1</v>
      </c>
      <c r="M4888" s="62">
        <v>27</v>
      </c>
      <c r="N4888" s="62">
        <v>1.35</v>
      </c>
    </row>
    <row r="4889" spans="9:14">
      <c r="I4889" s="62">
        <v>2020</v>
      </c>
      <c r="J4889" s="62">
        <v>3</v>
      </c>
      <c r="K4889" s="62" t="s">
        <v>26</v>
      </c>
      <c r="L4889" s="62" t="s">
        <v>1</v>
      </c>
      <c r="M4889" s="62">
        <v>3.9535</v>
      </c>
      <c r="N4889" s="62">
        <v>0.197675</v>
      </c>
    </row>
    <row r="4890" spans="9:14">
      <c r="I4890" s="62">
        <v>2020</v>
      </c>
      <c r="J4890" s="62">
        <v>4</v>
      </c>
      <c r="K4890" s="62" t="s">
        <v>26</v>
      </c>
      <c r="L4890" s="62" t="s">
        <v>1</v>
      </c>
      <c r="M4890" s="62">
        <v>36.85</v>
      </c>
      <c r="N4890" s="62">
        <v>1.8425</v>
      </c>
    </row>
    <row r="4891" spans="9:14">
      <c r="I4891" s="62">
        <v>2020</v>
      </c>
      <c r="J4891" s="62">
        <v>5</v>
      </c>
      <c r="K4891" s="62" t="s">
        <v>26</v>
      </c>
      <c r="L4891" s="62" t="s">
        <v>1</v>
      </c>
      <c r="M4891" s="62">
        <v>47.89</v>
      </c>
      <c r="N4891" s="62">
        <v>2.3945</v>
      </c>
    </row>
    <row r="4892" spans="9:14">
      <c r="I4892" s="62">
        <v>2020</v>
      </c>
      <c r="J4892" s="62">
        <v>6</v>
      </c>
      <c r="K4892" s="62" t="s">
        <v>26</v>
      </c>
      <c r="L4892" s="62" t="s">
        <v>1</v>
      </c>
      <c r="M4892" s="62">
        <v>84.84999999999999</v>
      </c>
      <c r="N4892" s="62">
        <v>4.2425</v>
      </c>
    </row>
    <row r="4893" spans="9:14">
      <c r="I4893" s="62">
        <v>2020</v>
      </c>
      <c r="J4893" s="62">
        <v>7</v>
      </c>
      <c r="K4893" s="62" t="s">
        <v>26</v>
      </c>
      <c r="L4893" s="62" t="s">
        <v>1</v>
      </c>
      <c r="M4893" s="62">
        <v>77.17</v>
      </c>
      <c r="N4893" s="62">
        <v>3.8585</v>
      </c>
    </row>
    <row r="4894" spans="9:14">
      <c r="I4894" s="62">
        <v>2020</v>
      </c>
      <c r="J4894" s="62">
        <v>8</v>
      </c>
      <c r="K4894" s="62" t="s">
        <v>26</v>
      </c>
      <c r="L4894" s="62" t="s">
        <v>1</v>
      </c>
      <c r="M4894" s="62">
        <v>36.85</v>
      </c>
      <c r="N4894" s="62">
        <v>1.8425</v>
      </c>
    </row>
    <row r="4895" spans="9:14">
      <c r="I4895" s="62">
        <v>2020</v>
      </c>
      <c r="J4895" s="62">
        <v>9</v>
      </c>
      <c r="K4895" s="62" t="s">
        <v>26</v>
      </c>
      <c r="L4895" s="62" t="s">
        <v>1</v>
      </c>
      <c r="M4895" s="62">
        <v>36.85</v>
      </c>
      <c r="N4895" s="62">
        <v>1.8425</v>
      </c>
    </row>
    <row r="4896" spans="9:14">
      <c r="I4896" s="62">
        <v>2020</v>
      </c>
      <c r="J4896" s="62">
        <v>10</v>
      </c>
      <c r="K4896" s="62" t="s">
        <v>26</v>
      </c>
      <c r="L4896" s="62" t="s">
        <v>1</v>
      </c>
      <c r="M4896" s="62">
        <v>41.972</v>
      </c>
      <c r="N4896" s="62">
        <v>2.0986</v>
      </c>
    </row>
    <row r="4897" spans="9:14">
      <c r="I4897" s="62">
        <v>2020</v>
      </c>
      <c r="J4897" s="62">
        <v>11</v>
      </c>
      <c r="K4897" s="62" t="s">
        <v>26</v>
      </c>
      <c r="L4897" s="62" t="s">
        <v>1</v>
      </c>
      <c r="M4897" s="62">
        <v>36.85</v>
      </c>
      <c r="N4897" s="62">
        <v>1.8425</v>
      </c>
    </row>
    <row r="4898" spans="9:14">
      <c r="I4898" s="62">
        <v>2020</v>
      </c>
      <c r="J4898" s="62">
        <v>12</v>
      </c>
      <c r="K4898" s="62" t="s">
        <v>26</v>
      </c>
      <c r="L4898" s="62" t="s">
        <v>1</v>
      </c>
      <c r="M4898" s="62">
        <v>23.6875</v>
      </c>
      <c r="N4898" s="62">
        <v>1.184375</v>
      </c>
    </row>
    <row r="4899" spans="9:14">
      <c r="I4899" s="62">
        <v>2021</v>
      </c>
      <c r="J4899" s="62">
        <v>1</v>
      </c>
      <c r="K4899" s="62" t="s">
        <v>26</v>
      </c>
      <c r="L4899" s="62" t="s">
        <v>1</v>
      </c>
      <c r="M4899" s="62">
        <v>16.6</v>
      </c>
      <c r="N4899" s="62">
        <v>0.8300000000000001</v>
      </c>
    </row>
    <row r="4900" spans="9:14">
      <c r="I4900" s="62">
        <v>2021</v>
      </c>
      <c r="J4900" s="62">
        <v>2</v>
      </c>
      <c r="K4900" s="62" t="s">
        <v>26</v>
      </c>
      <c r="L4900" s="62" t="s">
        <v>1</v>
      </c>
      <c r="M4900" s="62">
        <v>42.52</v>
      </c>
      <c r="N4900" s="62">
        <v>2.126</v>
      </c>
    </row>
    <row r="4901" spans="9:14">
      <c r="I4901" s="62">
        <v>2021</v>
      </c>
      <c r="J4901" s="62">
        <v>3</v>
      </c>
      <c r="K4901" s="62" t="s">
        <v>26</v>
      </c>
      <c r="L4901" s="62" t="s">
        <v>1</v>
      </c>
      <c r="M4901" s="62">
        <v>62.208</v>
      </c>
      <c r="N4901" s="62">
        <v>3.1104</v>
      </c>
    </row>
    <row r="4902" spans="9:14">
      <c r="I4902" s="62">
        <v>2021</v>
      </c>
      <c r="J4902" s="62">
        <v>4</v>
      </c>
      <c r="K4902" s="62" t="s">
        <v>26</v>
      </c>
      <c r="L4902" s="62" t="s">
        <v>1</v>
      </c>
      <c r="M4902" s="62">
        <v>1.8</v>
      </c>
      <c r="N4902" s="62">
        <v>0.09000000000000001</v>
      </c>
    </row>
    <row r="4903" spans="9:14">
      <c r="I4903" s="62">
        <v>2021</v>
      </c>
      <c r="J4903" s="62">
        <v>7</v>
      </c>
      <c r="K4903" s="62" t="s">
        <v>26</v>
      </c>
      <c r="L4903" s="62" t="s">
        <v>1</v>
      </c>
      <c r="M4903" s="62">
        <v>34.8</v>
      </c>
      <c r="N4903" s="62">
        <v>1.74</v>
      </c>
    </row>
    <row r="4904" spans="9:14">
      <c r="I4904" s="62">
        <v>2021</v>
      </c>
      <c r="J4904" s="62">
        <v>8</v>
      </c>
      <c r="K4904" s="62" t="s">
        <v>26</v>
      </c>
      <c r="L4904" s="62" t="s">
        <v>1</v>
      </c>
      <c r="M4904" s="62">
        <v>17.4</v>
      </c>
      <c r="N4904" s="62">
        <v>0.87</v>
      </c>
    </row>
    <row r="4905" spans="9:14">
      <c r="I4905" s="62">
        <v>2022</v>
      </c>
      <c r="J4905" s="62">
        <v>2</v>
      </c>
      <c r="K4905" s="62" t="s">
        <v>26</v>
      </c>
      <c r="L4905" s="62" t="s">
        <v>1</v>
      </c>
      <c r="M4905" s="62">
        <v>51.6</v>
      </c>
      <c r="N4905" s="62">
        <v>2.58</v>
      </c>
    </row>
    <row r="4906" spans="9:14">
      <c r="I4906" s="62">
        <v>2022</v>
      </c>
      <c r="J4906" s="62">
        <v>3</v>
      </c>
      <c r="K4906" s="62" t="s">
        <v>26</v>
      </c>
      <c r="L4906" s="62" t="s">
        <v>1</v>
      </c>
      <c r="M4906" s="62">
        <v>50.4</v>
      </c>
      <c r="N4906" s="62">
        <v>2.52</v>
      </c>
    </row>
    <row r="4907" spans="9:14">
      <c r="I4907" s="62">
        <v>2022</v>
      </c>
      <c r="J4907" s="62">
        <v>9</v>
      </c>
      <c r="K4907" s="62" t="s">
        <v>26</v>
      </c>
      <c r="L4907" s="62" t="s">
        <v>1</v>
      </c>
      <c r="M4907" s="62">
        <v>34.2</v>
      </c>
      <c r="N4907" s="62">
        <v>1.71</v>
      </c>
    </row>
    <row r="4908" spans="9:14">
      <c r="I4908" s="62">
        <v>2022</v>
      </c>
      <c r="J4908" s="62">
        <v>10</v>
      </c>
      <c r="K4908" s="62" t="s">
        <v>26</v>
      </c>
      <c r="L4908" s="62" t="s">
        <v>1</v>
      </c>
      <c r="M4908" s="62">
        <v>34.8</v>
      </c>
      <c r="N4908" s="62">
        <v>1.74</v>
      </c>
    </row>
    <row r="4909" spans="9:14">
      <c r="I4909" s="62">
        <v>2022</v>
      </c>
      <c r="J4909" s="62">
        <v>12</v>
      </c>
      <c r="K4909" s="62" t="s">
        <v>26</v>
      </c>
      <c r="L4909" s="62" t="s">
        <v>1</v>
      </c>
      <c r="M4909" s="62">
        <v>7.8</v>
      </c>
      <c r="N4909" s="62">
        <v>0.39</v>
      </c>
    </row>
    <row r="4910" spans="9:14">
      <c r="I4910" s="62">
        <v>2023</v>
      </c>
      <c r="J4910" s="62">
        <v>1</v>
      </c>
      <c r="K4910" s="62" t="s">
        <v>26</v>
      </c>
      <c r="L4910" s="62" t="s">
        <v>1</v>
      </c>
      <c r="M4910" s="62">
        <v>6.67</v>
      </c>
      <c r="N4910" s="62">
        <v>0.3335</v>
      </c>
    </row>
    <row r="4911" spans="9:14">
      <c r="I4911" s="62">
        <v>2023</v>
      </c>
      <c r="J4911" s="62">
        <v>2</v>
      </c>
      <c r="K4911" s="62" t="s">
        <v>26</v>
      </c>
      <c r="L4911" s="62" t="s">
        <v>1</v>
      </c>
      <c r="M4911" s="62">
        <v>23</v>
      </c>
      <c r="N4911" s="62">
        <v>1.15</v>
      </c>
    </row>
    <row r="4912" spans="9:14">
      <c r="I4912" s="62">
        <v>2023</v>
      </c>
      <c r="J4912" s="62">
        <v>3</v>
      </c>
      <c r="K4912" s="62" t="s">
        <v>26</v>
      </c>
      <c r="L4912" s="62" t="s">
        <v>1</v>
      </c>
      <c r="M4912" s="62">
        <v>23</v>
      </c>
      <c r="N4912" s="62">
        <v>1.15</v>
      </c>
    </row>
    <row r="4913" spans="9:14">
      <c r="I4913" s="62">
        <v>2023</v>
      </c>
      <c r="J4913" s="62">
        <v>4</v>
      </c>
      <c r="K4913" s="62" t="s">
        <v>26</v>
      </c>
      <c r="L4913" s="62" t="s">
        <v>1</v>
      </c>
      <c r="M4913" s="62">
        <v>6.21</v>
      </c>
      <c r="N4913" s="62">
        <v>0.3105</v>
      </c>
    </row>
    <row r="4914" spans="9:14">
      <c r="I4914" s="62">
        <v>2023</v>
      </c>
      <c r="J4914" s="62">
        <v>5</v>
      </c>
      <c r="K4914" s="62" t="s">
        <v>26</v>
      </c>
      <c r="L4914" s="62" t="s">
        <v>1</v>
      </c>
      <c r="M4914" s="62">
        <v>1.8</v>
      </c>
      <c r="N4914" s="62">
        <v>0.09000000000000001</v>
      </c>
    </row>
    <row r="4915" spans="9:14">
      <c r="I4915" s="62">
        <v>2023</v>
      </c>
      <c r="J4915" s="62">
        <v>12</v>
      </c>
      <c r="K4915" s="62" t="s">
        <v>26</v>
      </c>
      <c r="L4915" s="62" t="s">
        <v>1</v>
      </c>
      <c r="M4915" s="62">
        <v>12.65</v>
      </c>
      <c r="N4915" s="62">
        <v>0.6325000000000001</v>
      </c>
    </row>
    <row r="4916" spans="9:14">
      <c r="I4916" s="62">
        <v>2025</v>
      </c>
      <c r="J4916" s="62">
        <v>1</v>
      </c>
      <c r="K4916" s="62" t="s">
        <v>26</v>
      </c>
      <c r="L4916" s="62" t="s">
        <v>1</v>
      </c>
      <c r="M4916" s="62">
        <v>55.68</v>
      </c>
      <c r="N4916" s="62">
        <v>2.784</v>
      </c>
    </row>
    <row r="4917" spans="9:14">
      <c r="I4917" s="62">
        <v>2025</v>
      </c>
      <c r="J4917" s="62">
        <v>2</v>
      </c>
      <c r="K4917" s="62" t="s">
        <v>26</v>
      </c>
      <c r="L4917" s="62" t="s">
        <v>1</v>
      </c>
      <c r="M4917" s="62">
        <v>23.04</v>
      </c>
      <c r="N4917" s="62">
        <v>1.152</v>
      </c>
    </row>
    <row r="4918" spans="9:14">
      <c r="I4918" s="62">
        <v>2025</v>
      </c>
      <c r="J4918" s="62">
        <v>6</v>
      </c>
      <c r="K4918" s="62" t="s">
        <v>26</v>
      </c>
      <c r="L4918" s="62" t="s">
        <v>1</v>
      </c>
      <c r="M4918" s="62">
        <v>17.28</v>
      </c>
      <c r="N4918" s="62">
        <v>0.8640000000000001</v>
      </c>
    </row>
    <row r="4919" spans="9:14">
      <c r="I4919" s="62">
        <v>2025</v>
      </c>
      <c r="J4919" s="62">
        <v>7</v>
      </c>
      <c r="K4919" s="62" t="s">
        <v>26</v>
      </c>
      <c r="L4919" s="62" t="s">
        <v>1</v>
      </c>
      <c r="M4919" s="62">
        <v>16</v>
      </c>
      <c r="N4919" s="62">
        <v>0.8</v>
      </c>
    </row>
    <row r="4920" spans="9:14">
      <c r="I4920" s="62">
        <v>2025</v>
      </c>
      <c r="J4920" s="62">
        <v>8</v>
      </c>
      <c r="K4920" s="62" t="s">
        <v>26</v>
      </c>
      <c r="L4920" s="62" t="s">
        <v>1</v>
      </c>
      <c r="M4920" s="62">
        <v>16</v>
      </c>
      <c r="N4920" s="62">
        <v>0.8</v>
      </c>
    </row>
    <row r="4921" spans="9:14">
      <c r="I4921" s="62">
        <v>2025</v>
      </c>
      <c r="J4921" s="62">
        <v>9</v>
      </c>
      <c r="K4921" s="62" t="s">
        <v>26</v>
      </c>
      <c r="L4921" s="62" t="s">
        <v>1</v>
      </c>
      <c r="M4921" s="62">
        <v>16</v>
      </c>
      <c r="N4921" s="62">
        <v>0.8</v>
      </c>
    </row>
    <row r="4922" spans="9:14">
      <c r="I4922" s="62">
        <v>2025</v>
      </c>
      <c r="J4922" s="62">
        <v>10</v>
      </c>
      <c r="K4922" s="62" t="s">
        <v>26</v>
      </c>
      <c r="L4922" s="62" t="s">
        <v>1</v>
      </c>
      <c r="M4922" s="62">
        <v>16</v>
      </c>
      <c r="N4922" s="62">
        <v>0.8</v>
      </c>
    </row>
    <row r="4923" spans="9:14">
      <c r="I4923" s="62">
        <v>2025</v>
      </c>
      <c r="J4923" s="62">
        <v>11</v>
      </c>
      <c r="K4923" s="62" t="s">
        <v>26</v>
      </c>
      <c r="L4923" s="62" t="s">
        <v>1</v>
      </c>
      <c r="M4923" s="62">
        <v>11.2</v>
      </c>
      <c r="N4923" s="62">
        <v>0.5599999999999999</v>
      </c>
    </row>
    <row r="4924" spans="9:14">
      <c r="I4924" s="62">
        <v>2014</v>
      </c>
      <c r="J4924" s="62">
        <v>7</v>
      </c>
      <c r="K4924" s="62" t="s">
        <v>26</v>
      </c>
      <c r="L4924" s="62" t="s">
        <v>2</v>
      </c>
      <c r="M4924" s="62">
        <v>18.9</v>
      </c>
      <c r="N4924" s="62">
        <v>0.945</v>
      </c>
    </row>
    <row r="4925" spans="9:14">
      <c r="I4925" s="62">
        <v>2014</v>
      </c>
      <c r="J4925" s="62">
        <v>8</v>
      </c>
      <c r="K4925" s="62" t="s">
        <v>26</v>
      </c>
      <c r="L4925" s="62" t="s">
        <v>2</v>
      </c>
      <c r="M4925" s="62">
        <v>5.85</v>
      </c>
      <c r="N4925" s="62">
        <v>0.2925</v>
      </c>
    </row>
    <row r="4926" spans="9:14">
      <c r="I4926" s="62">
        <v>2015</v>
      </c>
      <c r="J4926" s="62">
        <v>3</v>
      </c>
      <c r="K4926" s="62" t="s">
        <v>26</v>
      </c>
      <c r="L4926" s="62" t="s">
        <v>2</v>
      </c>
      <c r="M4926" s="62">
        <v>17.55</v>
      </c>
      <c r="N4926" s="62">
        <v>0.8775000000000001</v>
      </c>
    </row>
    <row r="4927" spans="9:14">
      <c r="I4927" s="62">
        <v>2015</v>
      </c>
      <c r="J4927" s="62">
        <v>4</v>
      </c>
      <c r="K4927" s="62" t="s">
        <v>26</v>
      </c>
      <c r="L4927" s="62" t="s">
        <v>2</v>
      </c>
      <c r="M4927" s="62">
        <v>45</v>
      </c>
      <c r="N4927" s="62">
        <v>2.25</v>
      </c>
    </row>
    <row r="4928" spans="9:14">
      <c r="I4928" s="62">
        <v>2015</v>
      </c>
      <c r="J4928" s="62">
        <v>5</v>
      </c>
      <c r="K4928" s="62" t="s">
        <v>26</v>
      </c>
      <c r="L4928" s="62" t="s">
        <v>2</v>
      </c>
      <c r="M4928" s="62">
        <v>4.5</v>
      </c>
      <c r="N4928" s="62">
        <v>0.225</v>
      </c>
    </row>
    <row r="4929" spans="9:14">
      <c r="I4929" s="62">
        <v>2016</v>
      </c>
      <c r="J4929" s="62">
        <v>1</v>
      </c>
      <c r="K4929" s="62" t="s">
        <v>26</v>
      </c>
      <c r="L4929" s="62" t="s">
        <v>2</v>
      </c>
      <c r="M4929" s="62">
        <v>17.71</v>
      </c>
      <c r="N4929" s="62">
        <v>0.8855000000000001</v>
      </c>
    </row>
    <row r="4930" spans="9:14">
      <c r="I4930" s="62">
        <v>2016</v>
      </c>
      <c r="J4930" s="62">
        <v>2</v>
      </c>
      <c r="K4930" s="62" t="s">
        <v>26</v>
      </c>
      <c r="L4930" s="62" t="s">
        <v>2</v>
      </c>
      <c r="M4930" s="62">
        <v>15.87</v>
      </c>
      <c r="N4930" s="62">
        <v>0.7935</v>
      </c>
    </row>
    <row r="4931" spans="9:14">
      <c r="I4931" s="62">
        <v>2017</v>
      </c>
      <c r="J4931" s="62">
        <v>9</v>
      </c>
      <c r="K4931" s="62" t="s">
        <v>26</v>
      </c>
      <c r="L4931" s="62" t="s">
        <v>2</v>
      </c>
      <c r="M4931" s="62">
        <v>3.825</v>
      </c>
      <c r="N4931" s="62">
        <v>0.19125</v>
      </c>
    </row>
    <row r="4932" spans="9:14">
      <c r="I4932" s="62">
        <v>2017</v>
      </c>
      <c r="J4932" s="62">
        <v>10</v>
      </c>
      <c r="K4932" s="62" t="s">
        <v>26</v>
      </c>
      <c r="L4932" s="62" t="s">
        <v>2</v>
      </c>
      <c r="M4932" s="62">
        <v>22.5</v>
      </c>
      <c r="N4932" s="62">
        <v>1.125</v>
      </c>
    </row>
    <row r="4933" spans="9:14">
      <c r="I4933" s="62">
        <v>2017</v>
      </c>
      <c r="J4933" s="62">
        <v>11</v>
      </c>
      <c r="K4933" s="62" t="s">
        <v>26</v>
      </c>
      <c r="L4933" s="62" t="s">
        <v>2</v>
      </c>
      <c r="M4933" s="62">
        <v>3.825</v>
      </c>
      <c r="N4933" s="62">
        <v>0.19125</v>
      </c>
    </row>
    <row r="4934" spans="9:14">
      <c r="I4934" s="62">
        <v>2020</v>
      </c>
      <c r="J4934" s="62">
        <v>5</v>
      </c>
      <c r="K4934" s="62" t="s">
        <v>26</v>
      </c>
      <c r="L4934" s="62" t="s">
        <v>2</v>
      </c>
      <c r="M4934" s="62">
        <v>13.8</v>
      </c>
      <c r="N4934" s="62">
        <v>0.6900000000000001</v>
      </c>
    </row>
    <row r="4935" spans="9:14">
      <c r="I4935" s="62">
        <v>2020</v>
      </c>
      <c r="J4935" s="62">
        <v>6</v>
      </c>
      <c r="K4935" s="62" t="s">
        <v>26</v>
      </c>
      <c r="L4935" s="62" t="s">
        <v>2</v>
      </c>
      <c r="M4935" s="62">
        <v>60</v>
      </c>
      <c r="N4935" s="62">
        <v>3</v>
      </c>
    </row>
    <row r="4936" spans="9:14">
      <c r="I4936" s="62">
        <v>2020</v>
      </c>
      <c r="J4936" s="62">
        <v>7</v>
      </c>
      <c r="K4936" s="62" t="s">
        <v>26</v>
      </c>
      <c r="L4936" s="62" t="s">
        <v>2</v>
      </c>
      <c r="M4936" s="62">
        <v>50.4</v>
      </c>
      <c r="N4936" s="62">
        <v>2.52</v>
      </c>
    </row>
    <row r="4937" spans="9:14">
      <c r="I4937" s="62">
        <v>2021</v>
      </c>
      <c r="J4937" s="62">
        <v>2</v>
      </c>
      <c r="K4937" s="62" t="s">
        <v>26</v>
      </c>
      <c r="L4937" s="62" t="s">
        <v>2</v>
      </c>
      <c r="M4937" s="62">
        <v>32.4</v>
      </c>
      <c r="N4937" s="62">
        <v>1.62</v>
      </c>
    </row>
    <row r="4938" spans="9:14">
      <c r="I4938" s="62">
        <v>2021</v>
      </c>
      <c r="J4938" s="62">
        <v>3</v>
      </c>
      <c r="K4938" s="62" t="s">
        <v>26</v>
      </c>
      <c r="L4938" s="62" t="s">
        <v>2</v>
      </c>
      <c r="M4938" s="62">
        <v>60</v>
      </c>
      <c r="N4938" s="62">
        <v>3</v>
      </c>
    </row>
    <row r="4939" spans="9:14">
      <c r="I4939" s="62">
        <v>2021</v>
      </c>
      <c r="J4939" s="62">
        <v>4</v>
      </c>
      <c r="K4939" s="62" t="s">
        <v>26</v>
      </c>
      <c r="L4939" s="62" t="s">
        <v>2</v>
      </c>
      <c r="M4939" s="62">
        <v>1.8</v>
      </c>
      <c r="N4939" s="62">
        <v>0.09000000000000001</v>
      </c>
    </row>
    <row r="4940" spans="9:14">
      <c r="I4940" s="62">
        <v>2021</v>
      </c>
      <c r="J4940" s="62">
        <v>7</v>
      </c>
      <c r="K4940" s="62" t="s">
        <v>26</v>
      </c>
      <c r="L4940" s="62" t="s">
        <v>2</v>
      </c>
      <c r="M4940" s="62">
        <v>34.8</v>
      </c>
      <c r="N4940" s="62">
        <v>1.74</v>
      </c>
    </row>
    <row r="4941" spans="9:14">
      <c r="I4941" s="62">
        <v>2021</v>
      </c>
      <c r="J4941" s="62">
        <v>8</v>
      </c>
      <c r="K4941" s="62" t="s">
        <v>26</v>
      </c>
      <c r="L4941" s="62" t="s">
        <v>2</v>
      </c>
      <c r="M4941" s="62">
        <v>17.4</v>
      </c>
      <c r="N4941" s="62">
        <v>0.87</v>
      </c>
    </row>
    <row r="4942" spans="9:14">
      <c r="I4942" s="62">
        <v>2022</v>
      </c>
      <c r="J4942" s="62">
        <v>9</v>
      </c>
      <c r="K4942" s="62" t="s">
        <v>26</v>
      </c>
      <c r="L4942" s="62" t="s">
        <v>2</v>
      </c>
      <c r="M4942" s="62">
        <v>34.2</v>
      </c>
      <c r="N4942" s="62">
        <v>1.71</v>
      </c>
    </row>
    <row r="4943" spans="9:14">
      <c r="I4943" s="62">
        <v>2022</v>
      </c>
      <c r="J4943" s="62">
        <v>10</v>
      </c>
      <c r="K4943" s="62" t="s">
        <v>26</v>
      </c>
      <c r="L4943" s="62" t="s">
        <v>2</v>
      </c>
      <c r="M4943" s="62">
        <v>34.8</v>
      </c>
      <c r="N4943" s="62">
        <v>1.74</v>
      </c>
    </row>
    <row r="4944" spans="9:14">
      <c r="I4944" s="62">
        <v>2025</v>
      </c>
      <c r="J4944" s="62">
        <v>1</v>
      </c>
      <c r="K4944" s="62" t="s">
        <v>26</v>
      </c>
      <c r="L4944" s="62" t="s">
        <v>2</v>
      </c>
      <c r="M4944" s="62">
        <v>55.68</v>
      </c>
      <c r="N4944" s="62">
        <v>2.784</v>
      </c>
    </row>
    <row r="4945" spans="9:14">
      <c r="I4945" s="62">
        <v>2025</v>
      </c>
      <c r="J4945" s="62">
        <v>2</v>
      </c>
      <c r="K4945" s="62" t="s">
        <v>26</v>
      </c>
      <c r="L4945" s="62" t="s">
        <v>2</v>
      </c>
      <c r="M4945" s="62">
        <v>23.04</v>
      </c>
      <c r="N4945" s="62">
        <v>1.152</v>
      </c>
    </row>
    <row r="4946" spans="9:14">
      <c r="I4946" s="62">
        <v>2015</v>
      </c>
      <c r="J4946" s="62">
        <v>2</v>
      </c>
      <c r="K4946" s="62" t="s">
        <v>26</v>
      </c>
      <c r="L4946" s="62" t="s">
        <v>3</v>
      </c>
      <c r="M4946" s="62">
        <v>9.6</v>
      </c>
      <c r="N4946" s="62">
        <v>0.48</v>
      </c>
    </row>
    <row r="4947" spans="9:14">
      <c r="I4947" s="62">
        <v>2015</v>
      </c>
      <c r="J4947" s="62">
        <v>7</v>
      </c>
      <c r="K4947" s="62" t="s">
        <v>26</v>
      </c>
      <c r="L4947" s="62" t="s">
        <v>3</v>
      </c>
      <c r="M4947" s="62">
        <v>17.55</v>
      </c>
      <c r="N4947" s="62">
        <v>0.8775000000000001</v>
      </c>
    </row>
    <row r="4948" spans="9:14">
      <c r="I4948" s="62">
        <v>2015</v>
      </c>
      <c r="J4948" s="62">
        <v>11</v>
      </c>
      <c r="K4948" s="62" t="s">
        <v>26</v>
      </c>
      <c r="L4948" s="62" t="s">
        <v>3</v>
      </c>
      <c r="M4948" s="62">
        <v>2.99</v>
      </c>
      <c r="N4948" s="62">
        <v>0.1495</v>
      </c>
    </row>
    <row r="4949" spans="9:14">
      <c r="I4949" s="62">
        <v>2016</v>
      </c>
      <c r="J4949" s="62">
        <v>8</v>
      </c>
      <c r="K4949" s="62" t="s">
        <v>26</v>
      </c>
      <c r="L4949" s="62" t="s">
        <v>3</v>
      </c>
      <c r="M4949" s="62">
        <v>30.6</v>
      </c>
      <c r="N4949" s="62">
        <v>1.53</v>
      </c>
    </row>
    <row r="4950" spans="9:14">
      <c r="I4950" s="62">
        <v>2016</v>
      </c>
      <c r="J4950" s="62">
        <v>9</v>
      </c>
      <c r="K4950" s="62" t="s">
        <v>26</v>
      </c>
      <c r="L4950" s="62" t="s">
        <v>3</v>
      </c>
      <c r="M4950" s="62">
        <v>45</v>
      </c>
      <c r="N4950" s="62">
        <v>2.25</v>
      </c>
    </row>
    <row r="4951" spans="9:14">
      <c r="I4951" s="62">
        <v>2016</v>
      </c>
      <c r="J4951" s="62">
        <v>10</v>
      </c>
      <c r="K4951" s="62" t="s">
        <v>26</v>
      </c>
      <c r="L4951" s="62" t="s">
        <v>3</v>
      </c>
      <c r="M4951" s="62">
        <v>45</v>
      </c>
      <c r="N4951" s="62">
        <v>2.25</v>
      </c>
    </row>
    <row r="4952" spans="9:14">
      <c r="I4952" s="62">
        <v>2016</v>
      </c>
      <c r="J4952" s="62">
        <v>11</v>
      </c>
      <c r="K4952" s="62" t="s">
        <v>26</v>
      </c>
      <c r="L4952" s="62" t="s">
        <v>3</v>
      </c>
      <c r="M4952" s="62">
        <v>52.8</v>
      </c>
      <c r="N4952" s="62">
        <v>2.64</v>
      </c>
    </row>
    <row r="4953" spans="9:14">
      <c r="I4953" s="62">
        <v>2016</v>
      </c>
      <c r="J4953" s="62">
        <v>12</v>
      </c>
      <c r="K4953" s="62" t="s">
        <v>26</v>
      </c>
      <c r="L4953" s="62" t="s">
        <v>3</v>
      </c>
      <c r="M4953" s="62">
        <v>47.99</v>
      </c>
      <c r="N4953" s="62">
        <v>2.3995</v>
      </c>
    </row>
    <row r="4954" spans="9:14">
      <c r="I4954" s="62">
        <v>2017</v>
      </c>
      <c r="J4954" s="62">
        <v>1</v>
      </c>
      <c r="K4954" s="62" t="s">
        <v>26</v>
      </c>
      <c r="L4954" s="62" t="s">
        <v>3</v>
      </c>
      <c r="M4954" s="62">
        <v>25.49</v>
      </c>
      <c r="N4954" s="62">
        <v>1.2745</v>
      </c>
    </row>
    <row r="4955" spans="9:14">
      <c r="I4955" s="62">
        <v>2017</v>
      </c>
      <c r="J4955" s="62">
        <v>2</v>
      </c>
      <c r="K4955" s="62" t="s">
        <v>26</v>
      </c>
      <c r="L4955" s="62" t="s">
        <v>3</v>
      </c>
      <c r="M4955" s="62">
        <v>22.5</v>
      </c>
      <c r="N4955" s="62">
        <v>1.125</v>
      </c>
    </row>
    <row r="4956" spans="9:14">
      <c r="I4956" s="62">
        <v>2017</v>
      </c>
      <c r="J4956" s="62">
        <v>3</v>
      </c>
      <c r="K4956" s="62" t="s">
        <v>26</v>
      </c>
      <c r="L4956" s="62" t="s">
        <v>3</v>
      </c>
      <c r="M4956" s="62">
        <v>0.675</v>
      </c>
      <c r="N4956" s="62">
        <v>0.03375</v>
      </c>
    </row>
    <row r="4957" spans="9:14">
      <c r="I4957" s="62">
        <v>2017</v>
      </c>
      <c r="J4957" s="62">
        <v>7</v>
      </c>
      <c r="K4957" s="62" t="s">
        <v>26</v>
      </c>
      <c r="L4957" s="62" t="s">
        <v>3</v>
      </c>
      <c r="M4957" s="62">
        <v>4.37</v>
      </c>
      <c r="N4957" s="62">
        <v>0.2185</v>
      </c>
    </row>
    <row r="4958" spans="9:14">
      <c r="I4958" s="62">
        <v>2017</v>
      </c>
      <c r="J4958" s="62">
        <v>8</v>
      </c>
      <c r="K4958" s="62" t="s">
        <v>26</v>
      </c>
      <c r="L4958" s="62" t="s">
        <v>3</v>
      </c>
      <c r="M4958" s="62">
        <v>3</v>
      </c>
      <c r="N4958" s="62">
        <v>0.15</v>
      </c>
    </row>
    <row r="4959" spans="9:14">
      <c r="I4959" s="62">
        <v>2017</v>
      </c>
      <c r="J4959" s="62">
        <v>9</v>
      </c>
      <c r="K4959" s="62" t="s">
        <v>26</v>
      </c>
      <c r="L4959" s="62" t="s">
        <v>3</v>
      </c>
      <c r="M4959" s="62">
        <v>9</v>
      </c>
      <c r="N4959" s="62">
        <v>0.45</v>
      </c>
    </row>
    <row r="4960" spans="9:14">
      <c r="I4960" s="62">
        <v>2018</v>
      </c>
      <c r="J4960" s="62">
        <v>3</v>
      </c>
      <c r="K4960" s="62" t="s">
        <v>26</v>
      </c>
      <c r="L4960" s="62" t="s">
        <v>3</v>
      </c>
      <c r="M4960" s="62">
        <v>2.7</v>
      </c>
      <c r="N4960" s="62">
        <v>0.135</v>
      </c>
    </row>
    <row r="4961" spans="9:14">
      <c r="I4961" s="62">
        <v>2018</v>
      </c>
      <c r="J4961" s="62">
        <v>12</v>
      </c>
      <c r="K4961" s="62" t="s">
        <v>26</v>
      </c>
      <c r="L4961" s="62" t="s">
        <v>3</v>
      </c>
      <c r="M4961" s="62">
        <v>1.35</v>
      </c>
      <c r="N4961" s="62">
        <v>0.0675</v>
      </c>
    </row>
    <row r="4962" spans="9:14">
      <c r="I4962" s="62">
        <v>2019</v>
      </c>
      <c r="J4962" s="62">
        <v>4</v>
      </c>
      <c r="K4962" s="62" t="s">
        <v>26</v>
      </c>
      <c r="L4962" s="62" t="s">
        <v>3</v>
      </c>
      <c r="M4962" s="62">
        <v>1.61</v>
      </c>
      <c r="N4962" s="62">
        <v>0.08050000000000002</v>
      </c>
    </row>
    <row r="4963" spans="9:14">
      <c r="I4963" s="62">
        <v>2019</v>
      </c>
      <c r="J4963" s="62">
        <v>8</v>
      </c>
      <c r="K4963" s="62" t="s">
        <v>26</v>
      </c>
      <c r="L4963" s="62" t="s">
        <v>3</v>
      </c>
      <c r="M4963" s="62">
        <v>9.6</v>
      </c>
      <c r="N4963" s="62">
        <v>0.48</v>
      </c>
    </row>
    <row r="4964" spans="9:14">
      <c r="I4964" s="62">
        <v>2019</v>
      </c>
      <c r="J4964" s="62">
        <v>12</v>
      </c>
      <c r="K4964" s="62" t="s">
        <v>26</v>
      </c>
      <c r="L4964" s="62" t="s">
        <v>3</v>
      </c>
      <c r="M4964" s="62">
        <v>27</v>
      </c>
      <c r="N4964" s="62">
        <v>1.35</v>
      </c>
    </row>
    <row r="4965" spans="9:14">
      <c r="I4965" s="62">
        <v>2020</v>
      </c>
      <c r="J4965" s="62">
        <v>3</v>
      </c>
      <c r="K4965" s="62" t="s">
        <v>26</v>
      </c>
      <c r="L4965" s="62" t="s">
        <v>3</v>
      </c>
      <c r="M4965" s="62">
        <v>3.9535</v>
      </c>
      <c r="N4965" s="62">
        <v>0.197675</v>
      </c>
    </row>
    <row r="4966" spans="9:14">
      <c r="I4966" s="62">
        <v>2020</v>
      </c>
      <c r="J4966" s="62">
        <v>4</v>
      </c>
      <c r="K4966" s="62" t="s">
        <v>26</v>
      </c>
      <c r="L4966" s="62" t="s">
        <v>3</v>
      </c>
      <c r="M4966" s="62">
        <v>36.85</v>
      </c>
      <c r="N4966" s="62">
        <v>1.8425</v>
      </c>
    </row>
    <row r="4967" spans="9:14">
      <c r="I4967" s="62">
        <v>2020</v>
      </c>
      <c r="J4967" s="62">
        <v>5</v>
      </c>
      <c r="K4967" s="62" t="s">
        <v>26</v>
      </c>
      <c r="L4967" s="62" t="s">
        <v>3</v>
      </c>
      <c r="M4967" s="62">
        <v>34.09</v>
      </c>
      <c r="N4967" s="62">
        <v>1.7045</v>
      </c>
    </row>
    <row r="4968" spans="9:14">
      <c r="I4968" s="62">
        <v>2020</v>
      </c>
      <c r="J4968" s="62">
        <v>6</v>
      </c>
      <c r="K4968" s="62" t="s">
        <v>26</v>
      </c>
      <c r="L4968" s="62" t="s">
        <v>3</v>
      </c>
      <c r="M4968" s="62">
        <v>24.85</v>
      </c>
      <c r="N4968" s="62">
        <v>1.2425</v>
      </c>
    </row>
    <row r="4969" spans="9:14">
      <c r="I4969" s="62">
        <v>2020</v>
      </c>
      <c r="J4969" s="62">
        <v>7</v>
      </c>
      <c r="K4969" s="62" t="s">
        <v>26</v>
      </c>
      <c r="L4969" s="62" t="s">
        <v>3</v>
      </c>
      <c r="M4969" s="62">
        <v>26.77</v>
      </c>
      <c r="N4969" s="62">
        <v>1.3385</v>
      </c>
    </row>
    <row r="4970" spans="9:14">
      <c r="I4970" s="62">
        <v>2020</v>
      </c>
      <c r="J4970" s="62">
        <v>8</v>
      </c>
      <c r="K4970" s="62" t="s">
        <v>26</v>
      </c>
      <c r="L4970" s="62" t="s">
        <v>3</v>
      </c>
      <c r="M4970" s="62">
        <v>36.85</v>
      </c>
      <c r="N4970" s="62">
        <v>1.8425</v>
      </c>
    </row>
    <row r="4971" spans="9:14">
      <c r="I4971" s="62">
        <v>2020</v>
      </c>
      <c r="J4971" s="62">
        <v>9</v>
      </c>
      <c r="K4971" s="62" t="s">
        <v>26</v>
      </c>
      <c r="L4971" s="62" t="s">
        <v>3</v>
      </c>
      <c r="M4971" s="62">
        <v>36.85</v>
      </c>
      <c r="N4971" s="62">
        <v>1.8425</v>
      </c>
    </row>
    <row r="4972" spans="9:14">
      <c r="I4972" s="62">
        <v>2020</v>
      </c>
      <c r="J4972" s="62">
        <v>10</v>
      </c>
      <c r="K4972" s="62" t="s">
        <v>26</v>
      </c>
      <c r="L4972" s="62" t="s">
        <v>3</v>
      </c>
      <c r="M4972" s="62">
        <v>41.972</v>
      </c>
      <c r="N4972" s="62">
        <v>2.0986</v>
      </c>
    </row>
    <row r="4973" spans="9:14">
      <c r="I4973" s="62">
        <v>2020</v>
      </c>
      <c r="J4973" s="62">
        <v>11</v>
      </c>
      <c r="K4973" s="62" t="s">
        <v>26</v>
      </c>
      <c r="L4973" s="62" t="s">
        <v>3</v>
      </c>
      <c r="M4973" s="62">
        <v>36.85</v>
      </c>
      <c r="N4973" s="62">
        <v>1.8425</v>
      </c>
    </row>
    <row r="4974" spans="9:14">
      <c r="I4974" s="62">
        <v>2020</v>
      </c>
      <c r="J4974" s="62">
        <v>12</v>
      </c>
      <c r="K4974" s="62" t="s">
        <v>26</v>
      </c>
      <c r="L4974" s="62" t="s">
        <v>3</v>
      </c>
      <c r="M4974" s="62">
        <v>23.6875</v>
      </c>
      <c r="N4974" s="62">
        <v>1.184375</v>
      </c>
    </row>
    <row r="4975" spans="9:14">
      <c r="I4975" s="62">
        <v>2021</v>
      </c>
      <c r="J4975" s="62">
        <v>1</v>
      </c>
      <c r="K4975" s="62" t="s">
        <v>26</v>
      </c>
      <c r="L4975" s="62" t="s">
        <v>3</v>
      </c>
      <c r="M4975" s="62">
        <v>16.6</v>
      </c>
      <c r="N4975" s="62">
        <v>0.8300000000000001</v>
      </c>
    </row>
    <row r="4976" spans="9:14">
      <c r="I4976" s="62">
        <v>2021</v>
      </c>
      <c r="J4976" s="62">
        <v>2</v>
      </c>
      <c r="K4976" s="62" t="s">
        <v>26</v>
      </c>
      <c r="L4976" s="62" t="s">
        <v>3</v>
      </c>
      <c r="M4976" s="62">
        <v>10.12</v>
      </c>
      <c r="N4976" s="62">
        <v>0.506</v>
      </c>
    </row>
    <row r="4977" spans="9:14">
      <c r="I4977" s="62">
        <v>2021</v>
      </c>
      <c r="J4977" s="62">
        <v>3</v>
      </c>
      <c r="K4977" s="62" t="s">
        <v>26</v>
      </c>
      <c r="L4977" s="62" t="s">
        <v>3</v>
      </c>
      <c r="M4977" s="62">
        <v>2.208</v>
      </c>
      <c r="N4977" s="62">
        <v>0.1104</v>
      </c>
    </row>
    <row r="4978" spans="9:14">
      <c r="I4978" s="62">
        <v>2022</v>
      </c>
      <c r="J4978" s="62">
        <v>2</v>
      </c>
      <c r="K4978" s="62" t="s">
        <v>26</v>
      </c>
      <c r="L4978" s="62" t="s">
        <v>3</v>
      </c>
      <c r="M4978" s="62">
        <v>51.6</v>
      </c>
      <c r="N4978" s="62">
        <v>2.58</v>
      </c>
    </row>
    <row r="4979" spans="9:14">
      <c r="I4979" s="62">
        <v>2022</v>
      </c>
      <c r="J4979" s="62">
        <v>3</v>
      </c>
      <c r="K4979" s="62" t="s">
        <v>26</v>
      </c>
      <c r="L4979" s="62" t="s">
        <v>3</v>
      </c>
      <c r="M4979" s="62">
        <v>50.4</v>
      </c>
      <c r="N4979" s="62">
        <v>2.52</v>
      </c>
    </row>
    <row r="4980" spans="9:14">
      <c r="I4980" s="62">
        <v>2022</v>
      </c>
      <c r="J4980" s="62">
        <v>12</v>
      </c>
      <c r="K4980" s="62" t="s">
        <v>26</v>
      </c>
      <c r="L4980" s="62" t="s">
        <v>3</v>
      </c>
      <c r="M4980" s="62">
        <v>7.8</v>
      </c>
      <c r="N4980" s="62">
        <v>0.39</v>
      </c>
    </row>
    <row r="4981" spans="9:14">
      <c r="I4981" s="62">
        <v>2023</v>
      </c>
      <c r="J4981" s="62">
        <v>1</v>
      </c>
      <c r="K4981" s="62" t="s">
        <v>26</v>
      </c>
      <c r="L4981" s="62" t="s">
        <v>3</v>
      </c>
      <c r="M4981" s="62">
        <v>6.67</v>
      </c>
      <c r="N4981" s="62">
        <v>0.3335</v>
      </c>
    </row>
    <row r="4982" spans="9:14">
      <c r="I4982" s="62">
        <v>2023</v>
      </c>
      <c r="J4982" s="62">
        <v>2</v>
      </c>
      <c r="K4982" s="62" t="s">
        <v>26</v>
      </c>
      <c r="L4982" s="62" t="s">
        <v>3</v>
      </c>
      <c r="M4982" s="62">
        <v>23</v>
      </c>
      <c r="N4982" s="62">
        <v>1.15</v>
      </c>
    </row>
    <row r="4983" spans="9:14">
      <c r="I4983" s="62">
        <v>2023</v>
      </c>
      <c r="J4983" s="62">
        <v>3</v>
      </c>
      <c r="K4983" s="62" t="s">
        <v>26</v>
      </c>
      <c r="L4983" s="62" t="s">
        <v>3</v>
      </c>
      <c r="M4983" s="62">
        <v>23</v>
      </c>
      <c r="N4983" s="62">
        <v>1.15</v>
      </c>
    </row>
    <row r="4984" spans="9:14">
      <c r="I4984" s="62">
        <v>2023</v>
      </c>
      <c r="J4984" s="62">
        <v>4</v>
      </c>
      <c r="K4984" s="62" t="s">
        <v>26</v>
      </c>
      <c r="L4984" s="62" t="s">
        <v>3</v>
      </c>
      <c r="M4984" s="62">
        <v>6.21</v>
      </c>
      <c r="N4984" s="62">
        <v>0.3105</v>
      </c>
    </row>
    <row r="4985" spans="9:14">
      <c r="I4985" s="62">
        <v>2023</v>
      </c>
      <c r="J4985" s="62">
        <v>5</v>
      </c>
      <c r="K4985" s="62" t="s">
        <v>26</v>
      </c>
      <c r="L4985" s="62" t="s">
        <v>3</v>
      </c>
      <c r="M4985" s="62">
        <v>1.8</v>
      </c>
      <c r="N4985" s="62">
        <v>0.09000000000000001</v>
      </c>
    </row>
    <row r="4986" spans="9:14">
      <c r="I4986" s="62">
        <v>2023</v>
      </c>
      <c r="J4986" s="62">
        <v>12</v>
      </c>
      <c r="K4986" s="62" t="s">
        <v>26</v>
      </c>
      <c r="L4986" s="62" t="s">
        <v>3</v>
      </c>
      <c r="M4986" s="62">
        <v>12.65</v>
      </c>
      <c r="N4986" s="62">
        <v>0.6325000000000001</v>
      </c>
    </row>
    <row r="4987" spans="9:14">
      <c r="I4987" s="62">
        <v>2025</v>
      </c>
      <c r="J4987" s="62">
        <v>6</v>
      </c>
      <c r="K4987" s="62" t="s">
        <v>26</v>
      </c>
      <c r="L4987" s="62" t="s">
        <v>3</v>
      </c>
      <c r="M4987" s="62">
        <v>17.28</v>
      </c>
      <c r="N4987" s="62">
        <v>0.8640000000000001</v>
      </c>
    </row>
    <row r="4988" spans="9:14">
      <c r="I4988" s="62">
        <v>2025</v>
      </c>
      <c r="J4988" s="62">
        <v>7</v>
      </c>
      <c r="K4988" s="62" t="s">
        <v>26</v>
      </c>
      <c r="L4988" s="62" t="s">
        <v>3</v>
      </c>
      <c r="M4988" s="62">
        <v>16</v>
      </c>
      <c r="N4988" s="62">
        <v>0.8</v>
      </c>
    </row>
    <row r="4989" spans="9:14">
      <c r="I4989" s="62">
        <v>2025</v>
      </c>
      <c r="J4989" s="62">
        <v>8</v>
      </c>
      <c r="K4989" s="62" t="s">
        <v>26</v>
      </c>
      <c r="L4989" s="62" t="s">
        <v>3</v>
      </c>
      <c r="M4989" s="62">
        <v>16</v>
      </c>
      <c r="N4989" s="62">
        <v>0.8</v>
      </c>
    </row>
    <row r="4990" spans="9:14">
      <c r="I4990" s="62">
        <v>2025</v>
      </c>
      <c r="J4990" s="62">
        <v>9</v>
      </c>
      <c r="K4990" s="62" t="s">
        <v>26</v>
      </c>
      <c r="L4990" s="62" t="s">
        <v>3</v>
      </c>
      <c r="M4990" s="62">
        <v>16</v>
      </c>
      <c r="N4990" s="62">
        <v>0.8</v>
      </c>
    </row>
    <row r="4991" spans="9:14">
      <c r="I4991" s="62">
        <v>2025</v>
      </c>
      <c r="J4991" s="62">
        <v>10</v>
      </c>
      <c r="K4991" s="62" t="s">
        <v>26</v>
      </c>
      <c r="L4991" s="62" t="s">
        <v>3</v>
      </c>
      <c r="M4991" s="62">
        <v>16</v>
      </c>
      <c r="N4991" s="62">
        <v>0.8</v>
      </c>
    </row>
    <row r="4992" spans="9:14">
      <c r="I4992" s="62">
        <v>2025</v>
      </c>
      <c r="J4992" s="62">
        <v>11</v>
      </c>
      <c r="K4992" s="62" t="s">
        <v>26</v>
      </c>
      <c r="L4992" s="62" t="s">
        <v>3</v>
      </c>
      <c r="M4992" s="62">
        <v>11.2</v>
      </c>
      <c r="N4992" s="62">
        <v>0.5599999999999999</v>
      </c>
    </row>
    <row r="4993" spans="9:14">
      <c r="I4993" s="62">
        <v>2018</v>
      </c>
      <c r="J4993" s="62">
        <v>4</v>
      </c>
      <c r="K4993" s="62" t="s">
        <v>27</v>
      </c>
      <c r="L4993" s="62" t="s">
        <v>1</v>
      </c>
      <c r="M4993" s="62">
        <v>2.295</v>
      </c>
      <c r="N4993" s="62">
        <v>0</v>
      </c>
    </row>
    <row r="4994" spans="9:14">
      <c r="I4994" s="62">
        <v>2018</v>
      </c>
      <c r="J4994" s="62">
        <v>5</v>
      </c>
      <c r="K4994" s="62" t="s">
        <v>27</v>
      </c>
      <c r="L4994" s="62" t="s">
        <v>1</v>
      </c>
      <c r="M4994" s="62">
        <v>13.5</v>
      </c>
      <c r="N4994" s="62">
        <v>0</v>
      </c>
    </row>
    <row r="4995" spans="9:14">
      <c r="I4995" s="62">
        <v>2018</v>
      </c>
      <c r="J4995" s="62">
        <v>6</v>
      </c>
      <c r="K4995" s="62" t="s">
        <v>27</v>
      </c>
      <c r="L4995" s="62" t="s">
        <v>1</v>
      </c>
      <c r="M4995" s="62">
        <v>13.5</v>
      </c>
      <c r="N4995" s="62">
        <v>0</v>
      </c>
    </row>
    <row r="4996" spans="9:14">
      <c r="I4996" s="62">
        <v>2018</v>
      </c>
      <c r="J4996" s="62">
        <v>7</v>
      </c>
      <c r="K4996" s="62" t="s">
        <v>27</v>
      </c>
      <c r="L4996" s="62" t="s">
        <v>1</v>
      </c>
      <c r="M4996" s="62">
        <v>13.5</v>
      </c>
      <c r="N4996" s="62">
        <v>0</v>
      </c>
    </row>
    <row r="4997" spans="9:14">
      <c r="I4997" s="62">
        <v>2018</v>
      </c>
      <c r="J4997" s="62">
        <v>8</v>
      </c>
      <c r="K4997" s="62" t="s">
        <v>27</v>
      </c>
      <c r="L4997" s="62" t="s">
        <v>1</v>
      </c>
      <c r="M4997" s="62">
        <v>13.5</v>
      </c>
      <c r="N4997" s="62">
        <v>0</v>
      </c>
    </row>
    <row r="4998" spans="9:14">
      <c r="I4998" s="62">
        <v>2018</v>
      </c>
      <c r="J4998" s="62">
        <v>9</v>
      </c>
      <c r="K4998" s="62" t="s">
        <v>27</v>
      </c>
      <c r="L4998" s="62" t="s">
        <v>1</v>
      </c>
      <c r="M4998" s="62">
        <v>13.5</v>
      </c>
      <c r="N4998" s="62">
        <v>0</v>
      </c>
    </row>
    <row r="4999" spans="9:14">
      <c r="I4999" s="62">
        <v>2018</v>
      </c>
      <c r="J4999" s="62">
        <v>10</v>
      </c>
      <c r="K4999" s="62" t="s">
        <v>27</v>
      </c>
      <c r="L4999" s="62" t="s">
        <v>1</v>
      </c>
      <c r="M4999" s="62">
        <v>13.5</v>
      </c>
      <c r="N4999" s="62">
        <v>0</v>
      </c>
    </row>
    <row r="5000" spans="9:14">
      <c r="I5000" s="62">
        <v>2018</v>
      </c>
      <c r="J5000" s="62">
        <v>11</v>
      </c>
      <c r="K5000" s="62" t="s">
        <v>27</v>
      </c>
      <c r="L5000" s="62" t="s">
        <v>1</v>
      </c>
      <c r="M5000" s="62">
        <v>13.5</v>
      </c>
      <c r="N5000" s="62">
        <v>0</v>
      </c>
    </row>
    <row r="5001" spans="9:14">
      <c r="I5001" s="62">
        <v>2018</v>
      </c>
      <c r="J5001" s="62">
        <v>12</v>
      </c>
      <c r="K5001" s="62" t="s">
        <v>27</v>
      </c>
      <c r="L5001" s="62" t="s">
        <v>1</v>
      </c>
      <c r="M5001" s="62">
        <v>13.5</v>
      </c>
      <c r="N5001" s="62">
        <v>0</v>
      </c>
    </row>
    <row r="5002" spans="9:14">
      <c r="I5002" s="62">
        <v>2019</v>
      </c>
      <c r="J5002" s="62">
        <v>1</v>
      </c>
      <c r="K5002" s="62" t="s">
        <v>27</v>
      </c>
      <c r="L5002" s="62" t="s">
        <v>1</v>
      </c>
      <c r="M5002" s="62">
        <v>13.5</v>
      </c>
      <c r="N5002" s="62">
        <v>0</v>
      </c>
    </row>
    <row r="5003" spans="9:14">
      <c r="I5003" s="62">
        <v>2019</v>
      </c>
      <c r="J5003" s="62">
        <v>2</v>
      </c>
      <c r="K5003" s="62" t="s">
        <v>27</v>
      </c>
      <c r="L5003" s="62" t="s">
        <v>1</v>
      </c>
      <c r="M5003" s="62">
        <v>13.5</v>
      </c>
      <c r="N5003" s="62">
        <v>0</v>
      </c>
    </row>
    <row r="5004" spans="9:14">
      <c r="I5004" s="62">
        <v>2019</v>
      </c>
      <c r="J5004" s="62">
        <v>3</v>
      </c>
      <c r="K5004" s="62" t="s">
        <v>27</v>
      </c>
      <c r="L5004" s="62" t="s">
        <v>1</v>
      </c>
      <c r="M5004" s="62">
        <v>13.5</v>
      </c>
      <c r="N5004" s="62">
        <v>0</v>
      </c>
    </row>
    <row r="5005" spans="9:14">
      <c r="I5005" s="62">
        <v>2019</v>
      </c>
      <c r="J5005" s="62">
        <v>4</v>
      </c>
      <c r="K5005" s="62" t="s">
        <v>27</v>
      </c>
      <c r="L5005" s="62" t="s">
        <v>1</v>
      </c>
      <c r="M5005" s="62">
        <v>13.5</v>
      </c>
      <c r="N5005" s="62">
        <v>0</v>
      </c>
    </row>
    <row r="5006" spans="9:14">
      <c r="I5006" s="62">
        <v>2019</v>
      </c>
      <c r="J5006" s="62">
        <v>5</v>
      </c>
      <c r="K5006" s="62" t="s">
        <v>27</v>
      </c>
      <c r="L5006" s="62" t="s">
        <v>1</v>
      </c>
      <c r="M5006" s="62">
        <v>13.5</v>
      </c>
      <c r="N5006" s="62">
        <v>0</v>
      </c>
    </row>
    <row r="5007" spans="9:14">
      <c r="I5007" s="62">
        <v>2019</v>
      </c>
      <c r="J5007" s="62">
        <v>6</v>
      </c>
      <c r="K5007" s="62" t="s">
        <v>27</v>
      </c>
      <c r="L5007" s="62" t="s">
        <v>1</v>
      </c>
      <c r="M5007" s="62">
        <v>19.5</v>
      </c>
      <c r="N5007" s="62">
        <v>0</v>
      </c>
    </row>
    <row r="5008" spans="9:14">
      <c r="I5008" s="62">
        <v>2019</v>
      </c>
      <c r="J5008" s="62">
        <v>7</v>
      </c>
      <c r="K5008" s="62" t="s">
        <v>27</v>
      </c>
      <c r="L5008" s="62" t="s">
        <v>1</v>
      </c>
      <c r="M5008" s="62">
        <v>13.5</v>
      </c>
      <c r="N5008" s="62">
        <v>0</v>
      </c>
    </row>
    <row r="5009" spans="9:14">
      <c r="I5009" s="62">
        <v>2019</v>
      </c>
      <c r="J5009" s="62">
        <v>8</v>
      </c>
      <c r="K5009" s="62" t="s">
        <v>27</v>
      </c>
      <c r="L5009" s="62" t="s">
        <v>1</v>
      </c>
      <c r="M5009" s="62">
        <v>13.86</v>
      </c>
      <c r="N5009" s="62">
        <v>0</v>
      </c>
    </row>
    <row r="5010" spans="9:14">
      <c r="I5010" s="62">
        <v>2019</v>
      </c>
      <c r="J5010" s="62">
        <v>9</v>
      </c>
      <c r="K5010" s="62" t="s">
        <v>27</v>
      </c>
      <c r="L5010" s="62" t="s">
        <v>1</v>
      </c>
      <c r="M5010" s="62">
        <v>13.5</v>
      </c>
      <c r="N5010" s="62">
        <v>0</v>
      </c>
    </row>
    <row r="5011" spans="9:14">
      <c r="I5011" s="62">
        <v>2019</v>
      </c>
      <c r="J5011" s="62">
        <v>10</v>
      </c>
      <c r="K5011" s="62" t="s">
        <v>27</v>
      </c>
      <c r="L5011" s="62" t="s">
        <v>1</v>
      </c>
      <c r="M5011" s="62">
        <v>13.5</v>
      </c>
      <c r="N5011" s="62">
        <v>0</v>
      </c>
    </row>
    <row r="5012" spans="9:14">
      <c r="I5012" s="62">
        <v>2019</v>
      </c>
      <c r="J5012" s="62">
        <v>11</v>
      </c>
      <c r="K5012" s="62" t="s">
        <v>27</v>
      </c>
      <c r="L5012" s="62" t="s">
        <v>1</v>
      </c>
      <c r="M5012" s="62">
        <v>13.5</v>
      </c>
      <c r="N5012" s="62">
        <v>0</v>
      </c>
    </row>
    <row r="5013" spans="9:14">
      <c r="I5013" s="62">
        <v>2019</v>
      </c>
      <c r="J5013" s="62">
        <v>12</v>
      </c>
      <c r="K5013" s="62" t="s">
        <v>27</v>
      </c>
      <c r="L5013" s="62" t="s">
        <v>1</v>
      </c>
      <c r="M5013" s="62">
        <v>13.5</v>
      </c>
      <c r="N5013" s="62">
        <v>0</v>
      </c>
    </row>
    <row r="5014" spans="9:14">
      <c r="I5014" s="62">
        <v>2020</v>
      </c>
      <c r="J5014" s="62">
        <v>1</v>
      </c>
      <c r="K5014" s="62" t="s">
        <v>27</v>
      </c>
      <c r="L5014" s="62" t="s">
        <v>1</v>
      </c>
      <c r="M5014" s="62">
        <v>13.5</v>
      </c>
      <c r="N5014" s="62">
        <v>0</v>
      </c>
    </row>
    <row r="5015" spans="9:14">
      <c r="I5015" s="62">
        <v>2020</v>
      </c>
      <c r="J5015" s="62">
        <v>2</v>
      </c>
      <c r="K5015" s="62" t="s">
        <v>27</v>
      </c>
      <c r="L5015" s="62" t="s">
        <v>1</v>
      </c>
      <c r="M5015" s="62">
        <v>13.5</v>
      </c>
      <c r="N5015" s="62">
        <v>0</v>
      </c>
    </row>
    <row r="5016" spans="9:14">
      <c r="I5016" s="62">
        <v>2020</v>
      </c>
      <c r="J5016" s="62">
        <v>3</v>
      </c>
      <c r="K5016" s="62" t="s">
        <v>27</v>
      </c>
      <c r="L5016" s="62" t="s">
        <v>1</v>
      </c>
      <c r="M5016" s="62">
        <v>14.912</v>
      </c>
      <c r="N5016" s="62">
        <v>0</v>
      </c>
    </row>
    <row r="5017" spans="9:14">
      <c r="I5017" s="62">
        <v>2020</v>
      </c>
      <c r="J5017" s="62">
        <v>4</v>
      </c>
      <c r="K5017" s="62" t="s">
        <v>27</v>
      </c>
      <c r="L5017" s="62" t="s">
        <v>1</v>
      </c>
      <c r="M5017" s="62">
        <v>30.8867</v>
      </c>
      <c r="N5017" s="62">
        <v>0</v>
      </c>
    </row>
    <row r="5018" spans="9:14">
      <c r="I5018" s="62">
        <v>2020</v>
      </c>
      <c r="J5018" s="62">
        <v>5</v>
      </c>
      <c r="K5018" s="62" t="s">
        <v>27</v>
      </c>
      <c r="L5018" s="62" t="s">
        <v>1</v>
      </c>
      <c r="M5018" s="62">
        <v>34.16</v>
      </c>
      <c r="N5018" s="62">
        <v>0</v>
      </c>
    </row>
    <row r="5019" spans="9:14">
      <c r="I5019" s="62">
        <v>2020</v>
      </c>
      <c r="J5019" s="62">
        <v>6</v>
      </c>
      <c r="K5019" s="62" t="s">
        <v>27</v>
      </c>
      <c r="L5019" s="62" t="s">
        <v>1</v>
      </c>
      <c r="M5019" s="62">
        <v>34.16</v>
      </c>
      <c r="N5019" s="62">
        <v>0</v>
      </c>
    </row>
    <row r="5020" spans="9:14">
      <c r="I5020" s="62">
        <v>2020</v>
      </c>
      <c r="J5020" s="62">
        <v>7</v>
      </c>
      <c r="K5020" s="62" t="s">
        <v>27</v>
      </c>
      <c r="L5020" s="62" t="s">
        <v>1</v>
      </c>
      <c r="M5020" s="62">
        <v>34.16</v>
      </c>
      <c r="N5020" s="62">
        <v>0</v>
      </c>
    </row>
    <row r="5021" spans="9:14">
      <c r="I5021" s="62">
        <v>2020</v>
      </c>
      <c r="J5021" s="62">
        <v>8</v>
      </c>
      <c r="K5021" s="62" t="s">
        <v>27</v>
      </c>
      <c r="L5021" s="62" t="s">
        <v>1</v>
      </c>
      <c r="M5021" s="62">
        <v>34.16</v>
      </c>
      <c r="N5021" s="62">
        <v>0</v>
      </c>
    </row>
    <row r="5022" spans="9:14">
      <c r="I5022" s="62">
        <v>2020</v>
      </c>
      <c r="J5022" s="62">
        <v>9</v>
      </c>
      <c r="K5022" s="62" t="s">
        <v>27</v>
      </c>
      <c r="L5022" s="62" t="s">
        <v>1</v>
      </c>
      <c r="M5022" s="62">
        <v>34.16</v>
      </c>
      <c r="N5022" s="62">
        <v>0</v>
      </c>
    </row>
    <row r="5023" spans="9:14">
      <c r="I5023" s="62">
        <v>2020</v>
      </c>
      <c r="J5023" s="62">
        <v>10</v>
      </c>
      <c r="K5023" s="62" t="s">
        <v>27</v>
      </c>
      <c r="L5023" s="62" t="s">
        <v>1</v>
      </c>
      <c r="M5023" s="62">
        <v>34.81</v>
      </c>
      <c r="N5023" s="62">
        <v>0</v>
      </c>
    </row>
    <row r="5024" spans="9:14">
      <c r="I5024" s="62">
        <v>2020</v>
      </c>
      <c r="J5024" s="62">
        <v>11</v>
      </c>
      <c r="K5024" s="62" t="s">
        <v>27</v>
      </c>
      <c r="L5024" s="62" t="s">
        <v>1</v>
      </c>
      <c r="M5024" s="62">
        <v>34.31</v>
      </c>
      <c r="N5024" s="62">
        <v>0</v>
      </c>
    </row>
    <row r="5025" spans="9:14">
      <c r="I5025" s="62">
        <v>2020</v>
      </c>
      <c r="J5025" s="62">
        <v>12</v>
      </c>
      <c r="K5025" s="62" t="s">
        <v>27</v>
      </c>
      <c r="L5025" s="62" t="s">
        <v>1</v>
      </c>
      <c r="M5025" s="62">
        <v>34.16</v>
      </c>
      <c r="N5025" s="62">
        <v>0</v>
      </c>
    </row>
    <row r="5026" spans="9:14">
      <c r="I5026" s="62">
        <v>2021</v>
      </c>
      <c r="J5026" s="62">
        <v>1</v>
      </c>
      <c r="K5026" s="62" t="s">
        <v>27</v>
      </c>
      <c r="L5026" s="62" t="s">
        <v>1</v>
      </c>
      <c r="M5026" s="62">
        <v>34.79</v>
      </c>
      <c r="N5026" s="62">
        <v>0</v>
      </c>
    </row>
    <row r="5027" spans="9:14">
      <c r="I5027" s="62">
        <v>2021</v>
      </c>
      <c r="J5027" s="62">
        <v>2</v>
      </c>
      <c r="K5027" s="62" t="s">
        <v>27</v>
      </c>
      <c r="L5027" s="62" t="s">
        <v>1</v>
      </c>
      <c r="M5027" s="62">
        <v>38.6022</v>
      </c>
      <c r="N5027" s="62">
        <v>0</v>
      </c>
    </row>
    <row r="5028" spans="9:14">
      <c r="I5028" s="62">
        <v>2021</v>
      </c>
      <c r="J5028" s="62">
        <v>3</v>
      </c>
      <c r="K5028" s="62" t="s">
        <v>27</v>
      </c>
      <c r="L5028" s="62" t="s">
        <v>1</v>
      </c>
      <c r="M5028" s="62">
        <v>37.29</v>
      </c>
      <c r="N5028" s="62">
        <v>0</v>
      </c>
    </row>
    <row r="5029" spans="9:14">
      <c r="I5029" s="62">
        <v>2021</v>
      </c>
      <c r="J5029" s="62">
        <v>4</v>
      </c>
      <c r="K5029" s="62" t="s">
        <v>27</v>
      </c>
      <c r="L5029" s="62" t="s">
        <v>1</v>
      </c>
      <c r="M5029" s="62">
        <v>35.926</v>
      </c>
      <c r="N5029" s="62">
        <v>0</v>
      </c>
    </row>
    <row r="5030" spans="9:14">
      <c r="I5030" s="62">
        <v>2021</v>
      </c>
      <c r="J5030" s="62">
        <v>5</v>
      </c>
      <c r="K5030" s="62" t="s">
        <v>27</v>
      </c>
      <c r="L5030" s="62" t="s">
        <v>1</v>
      </c>
      <c r="M5030" s="62">
        <v>15.6155</v>
      </c>
      <c r="N5030" s="62">
        <v>0</v>
      </c>
    </row>
    <row r="5031" spans="9:14">
      <c r="I5031" s="62">
        <v>2021</v>
      </c>
      <c r="J5031" s="62">
        <v>6</v>
      </c>
      <c r="K5031" s="62" t="s">
        <v>27</v>
      </c>
      <c r="L5031" s="62" t="s">
        <v>1</v>
      </c>
      <c r="M5031" s="62">
        <v>14.261</v>
      </c>
      <c r="N5031" s="62">
        <v>0</v>
      </c>
    </row>
    <row r="5032" spans="9:14">
      <c r="I5032" s="62">
        <v>2021</v>
      </c>
      <c r="J5032" s="62">
        <v>7</v>
      </c>
      <c r="K5032" s="62" t="s">
        <v>27</v>
      </c>
      <c r="L5032" s="62" t="s">
        <v>1</v>
      </c>
      <c r="M5032" s="62">
        <v>13.5</v>
      </c>
      <c r="N5032" s="62">
        <v>0</v>
      </c>
    </row>
    <row r="5033" spans="9:14">
      <c r="I5033" s="62">
        <v>2021</v>
      </c>
      <c r="J5033" s="62">
        <v>8</v>
      </c>
      <c r="K5033" s="62" t="s">
        <v>27</v>
      </c>
      <c r="L5033" s="62" t="s">
        <v>1</v>
      </c>
      <c r="M5033" s="62">
        <v>13.5</v>
      </c>
      <c r="N5033" s="62">
        <v>0</v>
      </c>
    </row>
    <row r="5034" spans="9:14">
      <c r="I5034" s="62">
        <v>2021</v>
      </c>
      <c r="J5034" s="62">
        <v>9</v>
      </c>
      <c r="K5034" s="62" t="s">
        <v>27</v>
      </c>
      <c r="L5034" s="62" t="s">
        <v>1</v>
      </c>
      <c r="M5034" s="62">
        <v>13.5</v>
      </c>
      <c r="N5034" s="62">
        <v>0</v>
      </c>
    </row>
    <row r="5035" spans="9:14">
      <c r="I5035" s="62">
        <v>2021</v>
      </c>
      <c r="J5035" s="62">
        <v>10</v>
      </c>
      <c r="K5035" s="62" t="s">
        <v>27</v>
      </c>
      <c r="L5035" s="62" t="s">
        <v>1</v>
      </c>
      <c r="M5035" s="62">
        <v>13.5</v>
      </c>
      <c r="N5035" s="62">
        <v>0</v>
      </c>
    </row>
    <row r="5036" spans="9:14">
      <c r="I5036" s="62">
        <v>2021</v>
      </c>
      <c r="J5036" s="62">
        <v>11</v>
      </c>
      <c r="K5036" s="62" t="s">
        <v>27</v>
      </c>
      <c r="L5036" s="62" t="s">
        <v>1</v>
      </c>
      <c r="M5036" s="62">
        <v>13.5</v>
      </c>
      <c r="N5036" s="62">
        <v>0</v>
      </c>
    </row>
    <row r="5037" spans="9:14">
      <c r="I5037" s="62">
        <v>2021</v>
      </c>
      <c r="J5037" s="62">
        <v>12</v>
      </c>
      <c r="K5037" s="62" t="s">
        <v>27</v>
      </c>
      <c r="L5037" s="62" t="s">
        <v>1</v>
      </c>
      <c r="M5037" s="62">
        <v>13.5</v>
      </c>
      <c r="N5037" s="62">
        <v>0</v>
      </c>
    </row>
    <row r="5038" spans="9:14">
      <c r="I5038" s="62">
        <v>2022</v>
      </c>
      <c r="J5038" s="62">
        <v>1</v>
      </c>
      <c r="K5038" s="62" t="s">
        <v>27</v>
      </c>
      <c r="L5038" s="62" t="s">
        <v>1</v>
      </c>
      <c r="M5038" s="62">
        <v>15.58</v>
      </c>
      <c r="N5038" s="62">
        <v>0</v>
      </c>
    </row>
    <row r="5039" spans="9:14">
      <c r="I5039" s="62">
        <v>2022</v>
      </c>
      <c r="J5039" s="62">
        <v>2</v>
      </c>
      <c r="K5039" s="62" t="s">
        <v>27</v>
      </c>
      <c r="L5039" s="62" t="s">
        <v>1</v>
      </c>
      <c r="M5039" s="62">
        <v>21.18</v>
      </c>
      <c r="N5039" s="62">
        <v>0</v>
      </c>
    </row>
    <row r="5040" spans="9:14">
      <c r="I5040" s="62">
        <v>2022</v>
      </c>
      <c r="J5040" s="62">
        <v>3</v>
      </c>
      <c r="K5040" s="62" t="s">
        <v>27</v>
      </c>
      <c r="L5040" s="62" t="s">
        <v>1</v>
      </c>
      <c r="M5040" s="62">
        <v>23.22</v>
      </c>
      <c r="N5040" s="62">
        <v>0</v>
      </c>
    </row>
    <row r="5041" spans="9:14">
      <c r="I5041" s="62">
        <v>2022</v>
      </c>
      <c r="J5041" s="62">
        <v>4</v>
      </c>
      <c r="K5041" s="62" t="s">
        <v>27</v>
      </c>
      <c r="L5041" s="62" t="s">
        <v>1</v>
      </c>
      <c r="M5041" s="62">
        <v>20.34</v>
      </c>
      <c r="N5041" s="62">
        <v>0</v>
      </c>
    </row>
    <row r="5042" spans="9:14">
      <c r="I5042" s="62">
        <v>2022</v>
      </c>
      <c r="J5042" s="62">
        <v>5</v>
      </c>
      <c r="K5042" s="62" t="s">
        <v>27</v>
      </c>
      <c r="L5042" s="62" t="s">
        <v>1</v>
      </c>
      <c r="M5042" s="62">
        <v>13.5</v>
      </c>
      <c r="N5042" s="62">
        <v>0</v>
      </c>
    </row>
    <row r="5043" spans="9:14">
      <c r="I5043" s="62">
        <v>2022</v>
      </c>
      <c r="J5043" s="62">
        <v>6</v>
      </c>
      <c r="K5043" s="62" t="s">
        <v>27</v>
      </c>
      <c r="L5043" s="62" t="s">
        <v>1</v>
      </c>
      <c r="M5043" s="62">
        <v>13.5</v>
      </c>
      <c r="N5043" s="62">
        <v>0</v>
      </c>
    </row>
    <row r="5044" spans="9:14">
      <c r="I5044" s="62">
        <v>2022</v>
      </c>
      <c r="J5044" s="62">
        <v>7</v>
      </c>
      <c r="K5044" s="62" t="s">
        <v>27</v>
      </c>
      <c r="L5044" s="62" t="s">
        <v>1</v>
      </c>
      <c r="M5044" s="62">
        <v>24.945</v>
      </c>
      <c r="N5044" s="62">
        <v>0</v>
      </c>
    </row>
    <row r="5045" spans="9:14">
      <c r="I5045" s="62">
        <v>2022</v>
      </c>
      <c r="J5045" s="62">
        <v>8</v>
      </c>
      <c r="K5045" s="62" t="s">
        <v>27</v>
      </c>
      <c r="L5045" s="62" t="s">
        <v>1</v>
      </c>
      <c r="M5045" s="62">
        <v>28.76</v>
      </c>
      <c r="N5045" s="62">
        <v>0</v>
      </c>
    </row>
    <row r="5046" spans="9:14">
      <c r="I5046" s="62">
        <v>2022</v>
      </c>
      <c r="J5046" s="62">
        <v>9</v>
      </c>
      <c r="K5046" s="62" t="s">
        <v>27</v>
      </c>
      <c r="L5046" s="62" t="s">
        <v>1</v>
      </c>
      <c r="M5046" s="62">
        <v>17</v>
      </c>
      <c r="N5046" s="62">
        <v>0</v>
      </c>
    </row>
    <row r="5047" spans="9:14">
      <c r="I5047" s="62">
        <v>2022</v>
      </c>
      <c r="J5047" s="62">
        <v>10</v>
      </c>
      <c r="K5047" s="62" t="s">
        <v>27</v>
      </c>
      <c r="L5047" s="62" t="s">
        <v>1</v>
      </c>
      <c r="M5047" s="62">
        <v>15.075</v>
      </c>
      <c r="N5047" s="62">
        <v>0</v>
      </c>
    </row>
    <row r="5048" spans="9:14">
      <c r="I5048" s="62">
        <v>2022</v>
      </c>
      <c r="J5048" s="62">
        <v>11</v>
      </c>
      <c r="K5048" s="62" t="s">
        <v>27</v>
      </c>
      <c r="L5048" s="62" t="s">
        <v>1</v>
      </c>
      <c r="M5048" s="62">
        <v>13.5</v>
      </c>
      <c r="N5048" s="62">
        <v>0</v>
      </c>
    </row>
    <row r="5049" spans="9:14">
      <c r="I5049" s="62">
        <v>2022</v>
      </c>
      <c r="J5049" s="62">
        <v>12</v>
      </c>
      <c r="K5049" s="62" t="s">
        <v>27</v>
      </c>
      <c r="L5049" s="62" t="s">
        <v>1</v>
      </c>
      <c r="M5049" s="62">
        <v>15.8997</v>
      </c>
      <c r="N5049" s="62">
        <v>0</v>
      </c>
    </row>
    <row r="5050" spans="9:14">
      <c r="I5050" s="62">
        <v>2023</v>
      </c>
      <c r="J5050" s="62">
        <v>1</v>
      </c>
      <c r="K5050" s="62" t="s">
        <v>27</v>
      </c>
      <c r="L5050" s="62" t="s">
        <v>1</v>
      </c>
      <c r="M5050" s="62">
        <v>14.6088</v>
      </c>
      <c r="N5050" s="62">
        <v>0</v>
      </c>
    </row>
    <row r="5051" spans="9:14">
      <c r="I5051" s="62">
        <v>2023</v>
      </c>
      <c r="J5051" s="62">
        <v>2</v>
      </c>
      <c r="K5051" s="62" t="s">
        <v>27</v>
      </c>
      <c r="L5051" s="62" t="s">
        <v>1</v>
      </c>
      <c r="M5051" s="62">
        <v>13.5</v>
      </c>
      <c r="N5051" s="62">
        <v>0</v>
      </c>
    </row>
    <row r="5052" spans="9:14">
      <c r="I5052" s="62">
        <v>2023</v>
      </c>
      <c r="J5052" s="62">
        <v>3</v>
      </c>
      <c r="K5052" s="62" t="s">
        <v>27</v>
      </c>
      <c r="L5052" s="62" t="s">
        <v>1</v>
      </c>
      <c r="M5052" s="62">
        <v>9.18</v>
      </c>
      <c r="N5052" s="62">
        <v>0</v>
      </c>
    </row>
    <row r="5053" spans="9:14">
      <c r="I5053" s="62">
        <v>2023</v>
      </c>
      <c r="J5053" s="62">
        <v>4</v>
      </c>
      <c r="K5053" s="62" t="s">
        <v>27</v>
      </c>
      <c r="L5053" s="62" t="s">
        <v>1</v>
      </c>
      <c r="M5053" s="62">
        <v>10.8</v>
      </c>
      <c r="N5053" s="62">
        <v>0</v>
      </c>
    </row>
    <row r="5054" spans="9:14">
      <c r="I5054" s="62">
        <v>2023</v>
      </c>
      <c r="J5054" s="62">
        <v>5</v>
      </c>
      <c r="K5054" s="62" t="s">
        <v>27</v>
      </c>
      <c r="L5054" s="62" t="s">
        <v>1</v>
      </c>
      <c r="M5054" s="62">
        <v>10.8</v>
      </c>
      <c r="N5054" s="62">
        <v>0</v>
      </c>
    </row>
    <row r="5055" spans="9:14">
      <c r="I5055" s="62">
        <v>2023</v>
      </c>
      <c r="J5055" s="62">
        <v>6</v>
      </c>
      <c r="K5055" s="62" t="s">
        <v>27</v>
      </c>
      <c r="L5055" s="62" t="s">
        <v>1</v>
      </c>
      <c r="M5055" s="62">
        <v>3.0429</v>
      </c>
      <c r="N5055" s="62">
        <v>0</v>
      </c>
    </row>
    <row r="5056" spans="9:14">
      <c r="I5056" s="62">
        <v>2023</v>
      </c>
      <c r="J5056" s="62">
        <v>8</v>
      </c>
      <c r="K5056" s="62" t="s">
        <v>27</v>
      </c>
      <c r="L5056" s="62" t="s">
        <v>1</v>
      </c>
      <c r="M5056" s="62">
        <v>0.105</v>
      </c>
      <c r="N5056" s="62">
        <v>0</v>
      </c>
    </row>
    <row r="5057" spans="9:14">
      <c r="I5057" s="62">
        <v>2023</v>
      </c>
      <c r="J5057" s="62">
        <v>11</v>
      </c>
      <c r="K5057" s="62" t="s">
        <v>27</v>
      </c>
      <c r="L5057" s="62" t="s">
        <v>1</v>
      </c>
      <c r="M5057" s="62">
        <v>0.54</v>
      </c>
      <c r="N5057" s="62">
        <v>0</v>
      </c>
    </row>
    <row r="5058" spans="9:14">
      <c r="I5058" s="62">
        <v>2023</v>
      </c>
      <c r="J5058" s="62">
        <v>12</v>
      </c>
      <c r="K5058" s="62" t="s">
        <v>27</v>
      </c>
      <c r="L5058" s="62" t="s">
        <v>1</v>
      </c>
      <c r="M5058" s="62">
        <v>0.105</v>
      </c>
      <c r="N5058" s="62">
        <v>0</v>
      </c>
    </row>
    <row r="5059" spans="9:14">
      <c r="I5059" s="62">
        <v>2024</v>
      </c>
      <c r="J5059" s="62">
        <v>3</v>
      </c>
      <c r="K5059" s="62" t="s">
        <v>27</v>
      </c>
      <c r="L5059" s="62" t="s">
        <v>1</v>
      </c>
      <c r="M5059" s="62">
        <v>1.305</v>
      </c>
      <c r="N5059" s="62">
        <v>0</v>
      </c>
    </row>
    <row r="5060" spans="9:14">
      <c r="I5060" s="62">
        <v>2025</v>
      </c>
      <c r="J5060" s="62">
        <v>1</v>
      </c>
      <c r="K5060" s="62" t="s">
        <v>27</v>
      </c>
      <c r="L5060" s="62" t="s">
        <v>1</v>
      </c>
      <c r="M5060" s="62">
        <v>1.856</v>
      </c>
      <c r="N5060" s="62">
        <v>0</v>
      </c>
    </row>
    <row r="5061" spans="9:14">
      <c r="I5061" s="62">
        <v>2025</v>
      </c>
      <c r="J5061" s="62">
        <v>5</v>
      </c>
      <c r="K5061" s="62" t="s">
        <v>27</v>
      </c>
      <c r="L5061" s="62" t="s">
        <v>1</v>
      </c>
      <c r="M5061" s="62">
        <v>1.728</v>
      </c>
      <c r="N5061" s="62">
        <v>0</v>
      </c>
    </row>
    <row r="5062" spans="9:14">
      <c r="I5062" s="62">
        <v>2025</v>
      </c>
      <c r="J5062" s="62">
        <v>9</v>
      </c>
      <c r="K5062" s="62" t="s">
        <v>27</v>
      </c>
      <c r="L5062" s="62" t="s">
        <v>1</v>
      </c>
      <c r="M5062" s="62">
        <v>17.319</v>
      </c>
      <c r="N5062" s="62">
        <v>0</v>
      </c>
    </row>
    <row r="5063" spans="9:14">
      <c r="I5063" s="62">
        <v>2025</v>
      </c>
      <c r="J5063" s="62">
        <v>10</v>
      </c>
      <c r="K5063" s="62" t="s">
        <v>27</v>
      </c>
      <c r="L5063" s="62" t="s">
        <v>1</v>
      </c>
      <c r="M5063" s="62">
        <v>13.114</v>
      </c>
      <c r="N5063" s="62">
        <v>0</v>
      </c>
    </row>
    <row r="5064" spans="9:14">
      <c r="I5064" s="62">
        <v>2026</v>
      </c>
      <c r="J5064" s="62">
        <v>1</v>
      </c>
      <c r="K5064" s="62" t="s">
        <v>27</v>
      </c>
      <c r="L5064" s="62" t="s">
        <v>1</v>
      </c>
      <c r="M5064" s="62">
        <v>0.456</v>
      </c>
      <c r="N5064" s="62">
        <v>0</v>
      </c>
    </row>
    <row r="5065" spans="9:14">
      <c r="I5065" s="62">
        <v>2026</v>
      </c>
      <c r="J5065" s="62">
        <v>2</v>
      </c>
      <c r="K5065" s="62" t="s">
        <v>27</v>
      </c>
      <c r="L5065" s="62" t="s">
        <v>1</v>
      </c>
      <c r="M5065" s="62">
        <v>13.035</v>
      </c>
      <c r="N5065" s="62">
        <v>0</v>
      </c>
    </row>
    <row r="5066" spans="9:14">
      <c r="I5066" s="62">
        <v>2026</v>
      </c>
      <c r="J5066" s="62">
        <v>3</v>
      </c>
      <c r="K5066" s="62" t="s">
        <v>27</v>
      </c>
      <c r="L5066" s="62" t="s">
        <v>1</v>
      </c>
      <c r="M5066" s="62">
        <v>8.515000000000001</v>
      </c>
      <c r="N5066" s="62">
        <v>0</v>
      </c>
    </row>
    <row r="5067" spans="9:14">
      <c r="I5067" s="62">
        <v>2027</v>
      </c>
      <c r="J5067" s="62">
        <v>2</v>
      </c>
      <c r="K5067" s="62" t="s">
        <v>27</v>
      </c>
      <c r="L5067" s="62" t="s">
        <v>1</v>
      </c>
      <c r="M5067" s="62">
        <v>5.9598</v>
      </c>
      <c r="N5067" s="62">
        <v>0</v>
      </c>
    </row>
    <row r="5068" spans="9:14">
      <c r="I5068" s="62">
        <v>2027</v>
      </c>
      <c r="J5068" s="62">
        <v>3</v>
      </c>
      <c r="K5068" s="62" t="s">
        <v>27</v>
      </c>
      <c r="L5068" s="62" t="s">
        <v>1</v>
      </c>
      <c r="M5068" s="62">
        <v>17.37</v>
      </c>
      <c r="N5068" s="62">
        <v>0</v>
      </c>
    </row>
    <row r="5069" spans="9:14">
      <c r="I5069" s="62">
        <v>2027</v>
      </c>
      <c r="J5069" s="62">
        <v>4</v>
      </c>
      <c r="K5069" s="62" t="s">
        <v>27</v>
      </c>
      <c r="L5069" s="62" t="s">
        <v>1</v>
      </c>
      <c r="M5069" s="62">
        <v>8.2521</v>
      </c>
      <c r="N5069" s="62">
        <v>0</v>
      </c>
    </row>
    <row r="5070" spans="9:14">
      <c r="I5070" s="62">
        <v>2021</v>
      </c>
      <c r="J5070" s="62">
        <v>2</v>
      </c>
      <c r="K5070" s="62" t="s">
        <v>27</v>
      </c>
      <c r="L5070" s="62" t="s">
        <v>2</v>
      </c>
      <c r="M5070" s="62">
        <v>3.7422</v>
      </c>
      <c r="N5070" s="62">
        <v>0</v>
      </c>
    </row>
    <row r="5071" spans="9:14">
      <c r="I5071" s="62">
        <v>2021</v>
      </c>
      <c r="J5071" s="62">
        <v>3</v>
      </c>
      <c r="K5071" s="62" t="s">
        <v>27</v>
      </c>
      <c r="L5071" s="62" t="s">
        <v>2</v>
      </c>
      <c r="M5071" s="62">
        <v>6.93</v>
      </c>
      <c r="N5071" s="62">
        <v>0</v>
      </c>
    </row>
    <row r="5072" spans="9:14">
      <c r="I5072" s="62">
        <v>2021</v>
      </c>
      <c r="J5072" s="62">
        <v>4</v>
      </c>
      <c r="K5072" s="62" t="s">
        <v>27</v>
      </c>
      <c r="L5072" s="62" t="s">
        <v>2</v>
      </c>
      <c r="M5072" s="62">
        <v>7.553000000000001</v>
      </c>
      <c r="N5072" s="62">
        <v>0</v>
      </c>
    </row>
    <row r="5073" spans="9:14">
      <c r="I5073" s="62">
        <v>2021</v>
      </c>
      <c r="J5073" s="62">
        <v>5</v>
      </c>
      <c r="K5073" s="62" t="s">
        <v>27</v>
      </c>
      <c r="L5073" s="62" t="s">
        <v>2</v>
      </c>
      <c r="M5073" s="62">
        <v>1.47</v>
      </c>
      <c r="N5073" s="62">
        <v>0</v>
      </c>
    </row>
    <row r="5074" spans="9:14">
      <c r="I5074" s="62">
        <v>2022</v>
      </c>
      <c r="J5074" s="62">
        <v>1</v>
      </c>
      <c r="K5074" s="62" t="s">
        <v>27</v>
      </c>
      <c r="L5074" s="62" t="s">
        <v>2</v>
      </c>
      <c r="M5074" s="62">
        <v>2.08</v>
      </c>
      <c r="N5074" s="62">
        <v>0</v>
      </c>
    </row>
    <row r="5075" spans="9:14">
      <c r="I5075" s="62">
        <v>2022</v>
      </c>
      <c r="J5075" s="62">
        <v>2</v>
      </c>
      <c r="K5075" s="62" t="s">
        <v>27</v>
      </c>
      <c r="L5075" s="62" t="s">
        <v>2</v>
      </c>
      <c r="M5075" s="62">
        <v>7.68</v>
      </c>
      <c r="N5075" s="62">
        <v>0</v>
      </c>
    </row>
    <row r="5076" spans="9:14">
      <c r="I5076" s="62">
        <v>2022</v>
      </c>
      <c r="J5076" s="62">
        <v>3</v>
      </c>
      <c r="K5076" s="62" t="s">
        <v>27</v>
      </c>
      <c r="L5076" s="62" t="s">
        <v>2</v>
      </c>
      <c r="M5076" s="62">
        <v>9.720000000000001</v>
      </c>
      <c r="N5076" s="62">
        <v>0</v>
      </c>
    </row>
    <row r="5077" spans="9:14">
      <c r="I5077" s="62">
        <v>2022</v>
      </c>
      <c r="J5077" s="62">
        <v>4</v>
      </c>
      <c r="K5077" s="62" t="s">
        <v>27</v>
      </c>
      <c r="L5077" s="62" t="s">
        <v>2</v>
      </c>
      <c r="M5077" s="62">
        <v>6.84</v>
      </c>
      <c r="N5077" s="62">
        <v>0</v>
      </c>
    </row>
    <row r="5078" spans="9:14">
      <c r="I5078" s="62">
        <v>2022</v>
      </c>
      <c r="J5078" s="62">
        <v>7</v>
      </c>
      <c r="K5078" s="62" t="s">
        <v>27</v>
      </c>
      <c r="L5078" s="62" t="s">
        <v>2</v>
      </c>
      <c r="M5078" s="62">
        <v>11.445</v>
      </c>
      <c r="N5078" s="62">
        <v>0</v>
      </c>
    </row>
    <row r="5079" spans="9:14">
      <c r="I5079" s="62">
        <v>2022</v>
      </c>
      <c r="J5079" s="62">
        <v>8</v>
      </c>
      <c r="K5079" s="62" t="s">
        <v>27</v>
      </c>
      <c r="L5079" s="62" t="s">
        <v>2</v>
      </c>
      <c r="M5079" s="62">
        <v>15.26</v>
      </c>
      <c r="N5079" s="62">
        <v>0</v>
      </c>
    </row>
    <row r="5080" spans="9:14">
      <c r="I5080" s="62">
        <v>2022</v>
      </c>
      <c r="J5080" s="62">
        <v>9</v>
      </c>
      <c r="K5080" s="62" t="s">
        <v>27</v>
      </c>
      <c r="L5080" s="62" t="s">
        <v>2</v>
      </c>
      <c r="M5080" s="62">
        <v>3.5</v>
      </c>
      <c r="N5080" s="62">
        <v>0</v>
      </c>
    </row>
    <row r="5081" spans="9:14">
      <c r="I5081" s="62">
        <v>2022</v>
      </c>
      <c r="J5081" s="62">
        <v>10</v>
      </c>
      <c r="K5081" s="62" t="s">
        <v>27</v>
      </c>
      <c r="L5081" s="62" t="s">
        <v>2</v>
      </c>
      <c r="M5081" s="62">
        <v>1.575</v>
      </c>
      <c r="N5081" s="62">
        <v>0</v>
      </c>
    </row>
    <row r="5082" spans="9:14">
      <c r="I5082" s="62">
        <v>2023</v>
      </c>
      <c r="J5082" s="62">
        <v>4</v>
      </c>
      <c r="K5082" s="62" t="s">
        <v>27</v>
      </c>
      <c r="L5082" s="62" t="s">
        <v>2</v>
      </c>
      <c r="M5082" s="62">
        <v>10.8</v>
      </c>
      <c r="N5082" s="62">
        <v>0</v>
      </c>
    </row>
    <row r="5083" spans="9:14">
      <c r="I5083" s="62">
        <v>2023</v>
      </c>
      <c r="J5083" s="62">
        <v>5</v>
      </c>
      <c r="K5083" s="62" t="s">
        <v>27</v>
      </c>
      <c r="L5083" s="62" t="s">
        <v>2</v>
      </c>
      <c r="M5083" s="62">
        <v>10.8</v>
      </c>
      <c r="N5083" s="62">
        <v>0</v>
      </c>
    </row>
    <row r="5084" spans="9:14">
      <c r="I5084" s="62">
        <v>2023</v>
      </c>
      <c r="J5084" s="62">
        <v>6</v>
      </c>
      <c r="K5084" s="62" t="s">
        <v>27</v>
      </c>
      <c r="L5084" s="62" t="s">
        <v>2</v>
      </c>
      <c r="M5084" s="62">
        <v>0.756</v>
      </c>
      <c r="N5084" s="62">
        <v>0</v>
      </c>
    </row>
    <row r="5085" spans="9:14">
      <c r="I5085" s="62">
        <v>2024</v>
      </c>
      <c r="J5085" s="62">
        <v>3</v>
      </c>
      <c r="K5085" s="62" t="s">
        <v>27</v>
      </c>
      <c r="L5085" s="62" t="s">
        <v>2</v>
      </c>
      <c r="M5085" s="62">
        <v>1.305</v>
      </c>
      <c r="N5085" s="62">
        <v>0</v>
      </c>
    </row>
    <row r="5086" spans="9:14">
      <c r="I5086" s="62">
        <v>2025</v>
      </c>
      <c r="J5086" s="62">
        <v>1</v>
      </c>
      <c r="K5086" s="62" t="s">
        <v>27</v>
      </c>
      <c r="L5086" s="62" t="s">
        <v>2</v>
      </c>
      <c r="M5086" s="62">
        <v>1.856</v>
      </c>
      <c r="N5086" s="62">
        <v>0</v>
      </c>
    </row>
    <row r="5087" spans="9:14">
      <c r="I5087" s="62">
        <v>2025</v>
      </c>
      <c r="J5087" s="62">
        <v>9</v>
      </c>
      <c r="K5087" s="62" t="s">
        <v>27</v>
      </c>
      <c r="L5087" s="62" t="s">
        <v>2</v>
      </c>
      <c r="M5087" s="62">
        <v>15.486</v>
      </c>
      <c r="N5087" s="62">
        <v>0</v>
      </c>
    </row>
    <row r="5088" spans="9:14">
      <c r="I5088" s="62">
        <v>2025</v>
      </c>
      <c r="J5088" s="62">
        <v>10</v>
      </c>
      <c r="K5088" s="62" t="s">
        <v>27</v>
      </c>
      <c r="L5088" s="62" t="s">
        <v>2</v>
      </c>
      <c r="M5088" s="62">
        <v>10.858</v>
      </c>
      <c r="N5088" s="62">
        <v>0</v>
      </c>
    </row>
    <row r="5089" spans="9:14">
      <c r="I5089" s="62">
        <v>2026</v>
      </c>
      <c r="J5089" s="62">
        <v>1</v>
      </c>
      <c r="K5089" s="62" t="s">
        <v>27</v>
      </c>
      <c r="L5089" s="62" t="s">
        <v>2</v>
      </c>
      <c r="M5089" s="62">
        <v>0.456</v>
      </c>
      <c r="N5089" s="62">
        <v>0</v>
      </c>
    </row>
    <row r="5090" spans="9:14">
      <c r="I5090" s="62">
        <v>2026</v>
      </c>
      <c r="J5090" s="62">
        <v>2</v>
      </c>
      <c r="K5090" s="62" t="s">
        <v>27</v>
      </c>
      <c r="L5090" s="62" t="s">
        <v>2</v>
      </c>
      <c r="M5090" s="62">
        <v>13.035</v>
      </c>
      <c r="N5090" s="62">
        <v>0</v>
      </c>
    </row>
    <row r="5091" spans="9:14">
      <c r="I5091" s="62">
        <v>2026</v>
      </c>
      <c r="J5091" s="62">
        <v>3</v>
      </c>
      <c r="K5091" s="62" t="s">
        <v>27</v>
      </c>
      <c r="L5091" s="62" t="s">
        <v>2</v>
      </c>
      <c r="M5091" s="62">
        <v>8.515000000000001</v>
      </c>
      <c r="N5091" s="62">
        <v>0</v>
      </c>
    </row>
    <row r="5092" spans="9:14">
      <c r="I5092" s="62">
        <v>2027</v>
      </c>
      <c r="J5092" s="62">
        <v>2</v>
      </c>
      <c r="K5092" s="62" t="s">
        <v>27</v>
      </c>
      <c r="L5092" s="62" t="s">
        <v>2</v>
      </c>
      <c r="M5092" s="62">
        <v>5.9598</v>
      </c>
      <c r="N5092" s="62">
        <v>0</v>
      </c>
    </row>
    <row r="5093" spans="9:14">
      <c r="I5093" s="62">
        <v>2027</v>
      </c>
      <c r="J5093" s="62">
        <v>3</v>
      </c>
      <c r="K5093" s="62" t="s">
        <v>27</v>
      </c>
      <c r="L5093" s="62" t="s">
        <v>2</v>
      </c>
      <c r="M5093" s="62">
        <v>17.37</v>
      </c>
      <c r="N5093" s="62">
        <v>0</v>
      </c>
    </row>
    <row r="5094" spans="9:14">
      <c r="I5094" s="62">
        <v>2027</v>
      </c>
      <c r="J5094" s="62">
        <v>4</v>
      </c>
      <c r="K5094" s="62" t="s">
        <v>27</v>
      </c>
      <c r="L5094" s="62" t="s">
        <v>2</v>
      </c>
      <c r="M5094" s="62">
        <v>8.2521</v>
      </c>
      <c r="N5094" s="62">
        <v>0</v>
      </c>
    </row>
    <row r="5095" spans="9:14">
      <c r="I5095" s="62">
        <v>2018</v>
      </c>
      <c r="J5095" s="62">
        <v>4</v>
      </c>
      <c r="K5095" s="62" t="s">
        <v>27</v>
      </c>
      <c r="L5095" s="62" t="s">
        <v>3</v>
      </c>
      <c r="M5095" s="62">
        <v>2.295</v>
      </c>
      <c r="N5095" s="62">
        <v>0</v>
      </c>
    </row>
    <row r="5096" spans="9:14">
      <c r="I5096" s="62">
        <v>2018</v>
      </c>
      <c r="J5096" s="62">
        <v>5</v>
      </c>
      <c r="K5096" s="62" t="s">
        <v>27</v>
      </c>
      <c r="L5096" s="62" t="s">
        <v>3</v>
      </c>
      <c r="M5096" s="62">
        <v>13.5</v>
      </c>
      <c r="N5096" s="62">
        <v>0</v>
      </c>
    </row>
    <row r="5097" spans="9:14">
      <c r="I5097" s="62">
        <v>2018</v>
      </c>
      <c r="J5097" s="62">
        <v>6</v>
      </c>
      <c r="K5097" s="62" t="s">
        <v>27</v>
      </c>
      <c r="L5097" s="62" t="s">
        <v>3</v>
      </c>
      <c r="M5097" s="62">
        <v>13.5</v>
      </c>
      <c r="N5097" s="62">
        <v>0</v>
      </c>
    </row>
    <row r="5098" spans="9:14">
      <c r="I5098" s="62">
        <v>2018</v>
      </c>
      <c r="J5098" s="62">
        <v>7</v>
      </c>
      <c r="K5098" s="62" t="s">
        <v>27</v>
      </c>
      <c r="L5098" s="62" t="s">
        <v>3</v>
      </c>
      <c r="M5098" s="62">
        <v>13.5</v>
      </c>
      <c r="N5098" s="62">
        <v>0</v>
      </c>
    </row>
    <row r="5099" spans="9:14">
      <c r="I5099" s="62">
        <v>2018</v>
      </c>
      <c r="J5099" s="62">
        <v>8</v>
      </c>
      <c r="K5099" s="62" t="s">
        <v>27</v>
      </c>
      <c r="L5099" s="62" t="s">
        <v>3</v>
      </c>
      <c r="M5099" s="62">
        <v>13.5</v>
      </c>
      <c r="N5099" s="62">
        <v>0</v>
      </c>
    </row>
    <row r="5100" spans="9:14">
      <c r="I5100" s="62">
        <v>2018</v>
      </c>
      <c r="J5100" s="62">
        <v>9</v>
      </c>
      <c r="K5100" s="62" t="s">
        <v>27</v>
      </c>
      <c r="L5100" s="62" t="s">
        <v>3</v>
      </c>
      <c r="M5100" s="62">
        <v>13.5</v>
      </c>
      <c r="N5100" s="62">
        <v>0</v>
      </c>
    </row>
    <row r="5101" spans="9:14">
      <c r="I5101" s="62">
        <v>2018</v>
      </c>
      <c r="J5101" s="62">
        <v>10</v>
      </c>
      <c r="K5101" s="62" t="s">
        <v>27</v>
      </c>
      <c r="L5101" s="62" t="s">
        <v>3</v>
      </c>
      <c r="M5101" s="62">
        <v>13.5</v>
      </c>
      <c r="N5101" s="62">
        <v>0</v>
      </c>
    </row>
    <row r="5102" spans="9:14">
      <c r="I5102" s="62">
        <v>2018</v>
      </c>
      <c r="J5102" s="62">
        <v>11</v>
      </c>
      <c r="K5102" s="62" t="s">
        <v>27</v>
      </c>
      <c r="L5102" s="62" t="s">
        <v>3</v>
      </c>
      <c r="M5102" s="62">
        <v>13.5</v>
      </c>
      <c r="N5102" s="62">
        <v>0</v>
      </c>
    </row>
    <row r="5103" spans="9:14">
      <c r="I5103" s="62">
        <v>2018</v>
      </c>
      <c r="J5103" s="62">
        <v>12</v>
      </c>
      <c r="K5103" s="62" t="s">
        <v>27</v>
      </c>
      <c r="L5103" s="62" t="s">
        <v>3</v>
      </c>
      <c r="M5103" s="62">
        <v>13.5</v>
      </c>
      <c r="N5103" s="62">
        <v>0</v>
      </c>
    </row>
    <row r="5104" spans="9:14">
      <c r="I5104" s="62">
        <v>2019</v>
      </c>
      <c r="J5104" s="62">
        <v>1</v>
      </c>
      <c r="K5104" s="62" t="s">
        <v>27</v>
      </c>
      <c r="L5104" s="62" t="s">
        <v>3</v>
      </c>
      <c r="M5104" s="62">
        <v>13.5</v>
      </c>
      <c r="N5104" s="62">
        <v>0</v>
      </c>
    </row>
    <row r="5105" spans="9:14">
      <c r="I5105" s="62">
        <v>2019</v>
      </c>
      <c r="J5105" s="62">
        <v>2</v>
      </c>
      <c r="K5105" s="62" t="s">
        <v>27</v>
      </c>
      <c r="L5105" s="62" t="s">
        <v>3</v>
      </c>
      <c r="M5105" s="62">
        <v>13.5</v>
      </c>
      <c r="N5105" s="62">
        <v>0</v>
      </c>
    </row>
    <row r="5106" spans="9:14">
      <c r="I5106" s="62">
        <v>2019</v>
      </c>
      <c r="J5106" s="62">
        <v>3</v>
      </c>
      <c r="K5106" s="62" t="s">
        <v>27</v>
      </c>
      <c r="L5106" s="62" t="s">
        <v>3</v>
      </c>
      <c r="M5106" s="62">
        <v>13.5</v>
      </c>
      <c r="N5106" s="62">
        <v>0</v>
      </c>
    </row>
    <row r="5107" spans="9:14">
      <c r="I5107" s="62">
        <v>2019</v>
      </c>
      <c r="J5107" s="62">
        <v>4</v>
      </c>
      <c r="K5107" s="62" t="s">
        <v>27</v>
      </c>
      <c r="L5107" s="62" t="s">
        <v>3</v>
      </c>
      <c r="M5107" s="62">
        <v>13.5</v>
      </c>
      <c r="N5107" s="62">
        <v>0</v>
      </c>
    </row>
    <row r="5108" spans="9:14">
      <c r="I5108" s="62">
        <v>2019</v>
      </c>
      <c r="J5108" s="62">
        <v>5</v>
      </c>
      <c r="K5108" s="62" t="s">
        <v>27</v>
      </c>
      <c r="L5108" s="62" t="s">
        <v>3</v>
      </c>
      <c r="M5108" s="62">
        <v>13.5</v>
      </c>
      <c r="N5108" s="62">
        <v>0</v>
      </c>
    </row>
    <row r="5109" spans="9:14">
      <c r="I5109" s="62">
        <v>2019</v>
      </c>
      <c r="J5109" s="62">
        <v>6</v>
      </c>
      <c r="K5109" s="62" t="s">
        <v>27</v>
      </c>
      <c r="L5109" s="62" t="s">
        <v>3</v>
      </c>
      <c r="M5109" s="62">
        <v>19.5</v>
      </c>
      <c r="N5109" s="62">
        <v>0</v>
      </c>
    </row>
    <row r="5110" spans="9:14">
      <c r="I5110" s="62">
        <v>2019</v>
      </c>
      <c r="J5110" s="62">
        <v>7</v>
      </c>
      <c r="K5110" s="62" t="s">
        <v>27</v>
      </c>
      <c r="L5110" s="62" t="s">
        <v>3</v>
      </c>
      <c r="M5110" s="62">
        <v>13.5</v>
      </c>
      <c r="N5110" s="62">
        <v>0</v>
      </c>
    </row>
    <row r="5111" spans="9:14">
      <c r="I5111" s="62">
        <v>2019</v>
      </c>
      <c r="J5111" s="62">
        <v>8</v>
      </c>
      <c r="K5111" s="62" t="s">
        <v>27</v>
      </c>
      <c r="L5111" s="62" t="s">
        <v>3</v>
      </c>
      <c r="M5111" s="62">
        <v>13.86</v>
      </c>
      <c r="N5111" s="62">
        <v>0</v>
      </c>
    </row>
    <row r="5112" spans="9:14">
      <c r="I5112" s="62">
        <v>2019</v>
      </c>
      <c r="J5112" s="62">
        <v>9</v>
      </c>
      <c r="K5112" s="62" t="s">
        <v>27</v>
      </c>
      <c r="L5112" s="62" t="s">
        <v>3</v>
      </c>
      <c r="M5112" s="62">
        <v>13.5</v>
      </c>
      <c r="N5112" s="62">
        <v>0</v>
      </c>
    </row>
    <row r="5113" spans="9:14">
      <c r="I5113" s="62">
        <v>2019</v>
      </c>
      <c r="J5113" s="62">
        <v>10</v>
      </c>
      <c r="K5113" s="62" t="s">
        <v>27</v>
      </c>
      <c r="L5113" s="62" t="s">
        <v>3</v>
      </c>
      <c r="M5113" s="62">
        <v>13.5</v>
      </c>
      <c r="N5113" s="62">
        <v>0</v>
      </c>
    </row>
    <row r="5114" spans="9:14">
      <c r="I5114" s="62">
        <v>2019</v>
      </c>
      <c r="J5114" s="62">
        <v>11</v>
      </c>
      <c r="K5114" s="62" t="s">
        <v>27</v>
      </c>
      <c r="L5114" s="62" t="s">
        <v>3</v>
      </c>
      <c r="M5114" s="62">
        <v>13.5</v>
      </c>
      <c r="N5114" s="62">
        <v>0</v>
      </c>
    </row>
    <row r="5115" spans="9:14">
      <c r="I5115" s="62">
        <v>2019</v>
      </c>
      <c r="J5115" s="62">
        <v>12</v>
      </c>
      <c r="K5115" s="62" t="s">
        <v>27</v>
      </c>
      <c r="L5115" s="62" t="s">
        <v>3</v>
      </c>
      <c r="M5115" s="62">
        <v>13.5</v>
      </c>
      <c r="N5115" s="62">
        <v>0</v>
      </c>
    </row>
    <row r="5116" spans="9:14">
      <c r="I5116" s="62">
        <v>2020</v>
      </c>
      <c r="J5116" s="62">
        <v>1</v>
      </c>
      <c r="K5116" s="62" t="s">
        <v>27</v>
      </c>
      <c r="L5116" s="62" t="s">
        <v>3</v>
      </c>
      <c r="M5116" s="62">
        <v>13.5</v>
      </c>
      <c r="N5116" s="62">
        <v>0</v>
      </c>
    </row>
    <row r="5117" spans="9:14">
      <c r="I5117" s="62">
        <v>2020</v>
      </c>
      <c r="J5117" s="62">
        <v>2</v>
      </c>
      <c r="K5117" s="62" t="s">
        <v>27</v>
      </c>
      <c r="L5117" s="62" t="s">
        <v>3</v>
      </c>
      <c r="M5117" s="62">
        <v>13.5</v>
      </c>
      <c r="N5117" s="62">
        <v>0</v>
      </c>
    </row>
    <row r="5118" spans="9:14">
      <c r="I5118" s="62">
        <v>2020</v>
      </c>
      <c r="J5118" s="62">
        <v>3</v>
      </c>
      <c r="K5118" s="62" t="s">
        <v>27</v>
      </c>
      <c r="L5118" s="62" t="s">
        <v>3</v>
      </c>
      <c r="M5118" s="62">
        <v>14.912</v>
      </c>
      <c r="N5118" s="62">
        <v>0</v>
      </c>
    </row>
    <row r="5119" spans="9:14">
      <c r="I5119" s="62">
        <v>2020</v>
      </c>
      <c r="J5119" s="62">
        <v>4</v>
      </c>
      <c r="K5119" s="62" t="s">
        <v>27</v>
      </c>
      <c r="L5119" s="62" t="s">
        <v>3</v>
      </c>
      <c r="M5119" s="62">
        <v>30.8867</v>
      </c>
      <c r="N5119" s="62">
        <v>0</v>
      </c>
    </row>
    <row r="5120" spans="9:14">
      <c r="I5120" s="62">
        <v>2020</v>
      </c>
      <c r="J5120" s="62">
        <v>5</v>
      </c>
      <c r="K5120" s="62" t="s">
        <v>27</v>
      </c>
      <c r="L5120" s="62" t="s">
        <v>3</v>
      </c>
      <c r="M5120" s="62">
        <v>34.16</v>
      </c>
      <c r="N5120" s="62">
        <v>0</v>
      </c>
    </row>
    <row r="5121" spans="9:14">
      <c r="I5121" s="62">
        <v>2020</v>
      </c>
      <c r="J5121" s="62">
        <v>6</v>
      </c>
      <c r="K5121" s="62" t="s">
        <v>27</v>
      </c>
      <c r="L5121" s="62" t="s">
        <v>3</v>
      </c>
      <c r="M5121" s="62">
        <v>34.16</v>
      </c>
      <c r="N5121" s="62">
        <v>0</v>
      </c>
    </row>
    <row r="5122" spans="9:14">
      <c r="I5122" s="62">
        <v>2020</v>
      </c>
      <c r="J5122" s="62">
        <v>7</v>
      </c>
      <c r="K5122" s="62" t="s">
        <v>27</v>
      </c>
      <c r="L5122" s="62" t="s">
        <v>3</v>
      </c>
      <c r="M5122" s="62">
        <v>34.16</v>
      </c>
      <c r="N5122" s="62">
        <v>0</v>
      </c>
    </row>
    <row r="5123" spans="9:14">
      <c r="I5123" s="62">
        <v>2020</v>
      </c>
      <c r="J5123" s="62">
        <v>8</v>
      </c>
      <c r="K5123" s="62" t="s">
        <v>27</v>
      </c>
      <c r="L5123" s="62" t="s">
        <v>3</v>
      </c>
      <c r="M5123" s="62">
        <v>34.16</v>
      </c>
      <c r="N5123" s="62">
        <v>0</v>
      </c>
    </row>
    <row r="5124" spans="9:14">
      <c r="I5124" s="62">
        <v>2020</v>
      </c>
      <c r="J5124" s="62">
        <v>9</v>
      </c>
      <c r="K5124" s="62" t="s">
        <v>27</v>
      </c>
      <c r="L5124" s="62" t="s">
        <v>3</v>
      </c>
      <c r="M5124" s="62">
        <v>34.16</v>
      </c>
      <c r="N5124" s="62">
        <v>0</v>
      </c>
    </row>
    <row r="5125" spans="9:14">
      <c r="I5125" s="62">
        <v>2020</v>
      </c>
      <c r="J5125" s="62">
        <v>10</v>
      </c>
      <c r="K5125" s="62" t="s">
        <v>27</v>
      </c>
      <c r="L5125" s="62" t="s">
        <v>3</v>
      </c>
      <c r="M5125" s="62">
        <v>34.81</v>
      </c>
      <c r="N5125" s="62">
        <v>0</v>
      </c>
    </row>
    <row r="5126" spans="9:14">
      <c r="I5126" s="62">
        <v>2020</v>
      </c>
      <c r="J5126" s="62">
        <v>11</v>
      </c>
      <c r="K5126" s="62" t="s">
        <v>27</v>
      </c>
      <c r="L5126" s="62" t="s">
        <v>3</v>
      </c>
      <c r="M5126" s="62">
        <v>34.31</v>
      </c>
      <c r="N5126" s="62">
        <v>0</v>
      </c>
    </row>
    <row r="5127" spans="9:14">
      <c r="I5127" s="62">
        <v>2020</v>
      </c>
      <c r="J5127" s="62">
        <v>12</v>
      </c>
      <c r="K5127" s="62" t="s">
        <v>27</v>
      </c>
      <c r="L5127" s="62" t="s">
        <v>3</v>
      </c>
      <c r="M5127" s="62">
        <v>34.16</v>
      </c>
      <c r="N5127" s="62">
        <v>0</v>
      </c>
    </row>
    <row r="5128" spans="9:14">
      <c r="I5128" s="62">
        <v>2021</v>
      </c>
      <c r="J5128" s="62">
        <v>1</v>
      </c>
      <c r="K5128" s="62" t="s">
        <v>27</v>
      </c>
      <c r="L5128" s="62" t="s">
        <v>3</v>
      </c>
      <c r="M5128" s="62">
        <v>34.79</v>
      </c>
      <c r="N5128" s="62">
        <v>0</v>
      </c>
    </row>
    <row r="5129" spans="9:14">
      <c r="I5129" s="62">
        <v>2021</v>
      </c>
      <c r="J5129" s="62">
        <v>2</v>
      </c>
      <c r="K5129" s="62" t="s">
        <v>27</v>
      </c>
      <c r="L5129" s="62" t="s">
        <v>3</v>
      </c>
      <c r="M5129" s="62">
        <v>34.86</v>
      </c>
      <c r="N5129" s="62">
        <v>0</v>
      </c>
    </row>
    <row r="5130" spans="9:14">
      <c r="I5130" s="62">
        <v>2021</v>
      </c>
      <c r="J5130" s="62">
        <v>3</v>
      </c>
      <c r="K5130" s="62" t="s">
        <v>27</v>
      </c>
      <c r="L5130" s="62" t="s">
        <v>3</v>
      </c>
      <c r="M5130" s="62">
        <v>30.36</v>
      </c>
      <c r="N5130" s="62">
        <v>0</v>
      </c>
    </row>
    <row r="5131" spans="9:14">
      <c r="I5131" s="62">
        <v>2021</v>
      </c>
      <c r="J5131" s="62">
        <v>4</v>
      </c>
      <c r="K5131" s="62" t="s">
        <v>27</v>
      </c>
      <c r="L5131" s="62" t="s">
        <v>3</v>
      </c>
      <c r="M5131" s="62">
        <v>28.373</v>
      </c>
      <c r="N5131" s="62">
        <v>0</v>
      </c>
    </row>
    <row r="5132" spans="9:14">
      <c r="I5132" s="62">
        <v>2021</v>
      </c>
      <c r="J5132" s="62">
        <v>5</v>
      </c>
      <c r="K5132" s="62" t="s">
        <v>27</v>
      </c>
      <c r="L5132" s="62" t="s">
        <v>3</v>
      </c>
      <c r="M5132" s="62">
        <v>14.1455</v>
      </c>
      <c r="N5132" s="62">
        <v>0</v>
      </c>
    </row>
    <row r="5133" spans="9:14">
      <c r="I5133" s="62">
        <v>2021</v>
      </c>
      <c r="J5133" s="62">
        <v>6</v>
      </c>
      <c r="K5133" s="62" t="s">
        <v>27</v>
      </c>
      <c r="L5133" s="62" t="s">
        <v>3</v>
      </c>
      <c r="M5133" s="62">
        <v>14.261</v>
      </c>
      <c r="N5133" s="62">
        <v>0</v>
      </c>
    </row>
    <row r="5134" spans="9:14">
      <c r="I5134" s="62">
        <v>2021</v>
      </c>
      <c r="J5134" s="62">
        <v>7</v>
      </c>
      <c r="K5134" s="62" t="s">
        <v>27</v>
      </c>
      <c r="L5134" s="62" t="s">
        <v>3</v>
      </c>
      <c r="M5134" s="62">
        <v>13.5</v>
      </c>
      <c r="N5134" s="62">
        <v>0</v>
      </c>
    </row>
    <row r="5135" spans="9:14">
      <c r="I5135" s="62">
        <v>2021</v>
      </c>
      <c r="J5135" s="62">
        <v>8</v>
      </c>
      <c r="K5135" s="62" t="s">
        <v>27</v>
      </c>
      <c r="L5135" s="62" t="s">
        <v>3</v>
      </c>
      <c r="M5135" s="62">
        <v>13.5</v>
      </c>
      <c r="N5135" s="62">
        <v>0</v>
      </c>
    </row>
    <row r="5136" spans="9:14">
      <c r="I5136" s="62">
        <v>2021</v>
      </c>
      <c r="J5136" s="62">
        <v>9</v>
      </c>
      <c r="K5136" s="62" t="s">
        <v>27</v>
      </c>
      <c r="L5136" s="62" t="s">
        <v>3</v>
      </c>
      <c r="M5136" s="62">
        <v>13.5</v>
      </c>
      <c r="N5136" s="62">
        <v>0</v>
      </c>
    </row>
    <row r="5137" spans="9:14">
      <c r="I5137" s="62">
        <v>2021</v>
      </c>
      <c r="J5137" s="62">
        <v>10</v>
      </c>
      <c r="K5137" s="62" t="s">
        <v>27</v>
      </c>
      <c r="L5137" s="62" t="s">
        <v>3</v>
      </c>
      <c r="M5137" s="62">
        <v>13.5</v>
      </c>
      <c r="N5137" s="62">
        <v>0</v>
      </c>
    </row>
    <row r="5138" spans="9:14">
      <c r="I5138" s="62">
        <v>2021</v>
      </c>
      <c r="J5138" s="62">
        <v>11</v>
      </c>
      <c r="K5138" s="62" t="s">
        <v>27</v>
      </c>
      <c r="L5138" s="62" t="s">
        <v>3</v>
      </c>
      <c r="M5138" s="62">
        <v>13.5</v>
      </c>
      <c r="N5138" s="62">
        <v>0</v>
      </c>
    </row>
    <row r="5139" spans="9:14">
      <c r="I5139" s="62">
        <v>2021</v>
      </c>
      <c r="J5139" s="62">
        <v>12</v>
      </c>
      <c r="K5139" s="62" t="s">
        <v>27</v>
      </c>
      <c r="L5139" s="62" t="s">
        <v>3</v>
      </c>
      <c r="M5139" s="62">
        <v>13.5</v>
      </c>
      <c r="N5139" s="62">
        <v>0</v>
      </c>
    </row>
    <row r="5140" spans="9:14">
      <c r="I5140" s="62">
        <v>2022</v>
      </c>
      <c r="J5140" s="62">
        <v>1</v>
      </c>
      <c r="K5140" s="62" t="s">
        <v>27</v>
      </c>
      <c r="L5140" s="62" t="s">
        <v>3</v>
      </c>
      <c r="M5140" s="62">
        <v>13.5</v>
      </c>
      <c r="N5140" s="62">
        <v>0</v>
      </c>
    </row>
    <row r="5141" spans="9:14">
      <c r="I5141" s="62">
        <v>2022</v>
      </c>
      <c r="J5141" s="62">
        <v>2</v>
      </c>
      <c r="K5141" s="62" t="s">
        <v>27</v>
      </c>
      <c r="L5141" s="62" t="s">
        <v>3</v>
      </c>
      <c r="M5141" s="62">
        <v>13.5</v>
      </c>
      <c r="N5141" s="62">
        <v>0</v>
      </c>
    </row>
    <row r="5142" spans="9:14">
      <c r="I5142" s="62">
        <v>2022</v>
      </c>
      <c r="J5142" s="62">
        <v>3</v>
      </c>
      <c r="K5142" s="62" t="s">
        <v>27</v>
      </c>
      <c r="L5142" s="62" t="s">
        <v>3</v>
      </c>
      <c r="M5142" s="62">
        <v>13.5</v>
      </c>
      <c r="N5142" s="62">
        <v>0</v>
      </c>
    </row>
    <row r="5143" spans="9:14">
      <c r="I5143" s="62">
        <v>2022</v>
      </c>
      <c r="J5143" s="62">
        <v>4</v>
      </c>
      <c r="K5143" s="62" t="s">
        <v>27</v>
      </c>
      <c r="L5143" s="62" t="s">
        <v>3</v>
      </c>
      <c r="M5143" s="62">
        <v>13.5</v>
      </c>
      <c r="N5143" s="62">
        <v>0</v>
      </c>
    </row>
    <row r="5144" spans="9:14">
      <c r="I5144" s="62">
        <v>2022</v>
      </c>
      <c r="J5144" s="62">
        <v>5</v>
      </c>
      <c r="K5144" s="62" t="s">
        <v>27</v>
      </c>
      <c r="L5144" s="62" t="s">
        <v>3</v>
      </c>
      <c r="M5144" s="62">
        <v>13.5</v>
      </c>
      <c r="N5144" s="62">
        <v>0</v>
      </c>
    </row>
    <row r="5145" spans="9:14">
      <c r="I5145" s="62">
        <v>2022</v>
      </c>
      <c r="J5145" s="62">
        <v>6</v>
      </c>
      <c r="K5145" s="62" t="s">
        <v>27</v>
      </c>
      <c r="L5145" s="62" t="s">
        <v>3</v>
      </c>
      <c r="M5145" s="62">
        <v>13.5</v>
      </c>
      <c r="N5145" s="62">
        <v>0</v>
      </c>
    </row>
    <row r="5146" spans="9:14">
      <c r="I5146" s="62">
        <v>2022</v>
      </c>
      <c r="J5146" s="62">
        <v>7</v>
      </c>
      <c r="K5146" s="62" t="s">
        <v>27</v>
      </c>
      <c r="L5146" s="62" t="s">
        <v>3</v>
      </c>
      <c r="M5146" s="62">
        <v>13.5</v>
      </c>
      <c r="N5146" s="62">
        <v>0</v>
      </c>
    </row>
    <row r="5147" spans="9:14">
      <c r="I5147" s="62">
        <v>2022</v>
      </c>
      <c r="J5147" s="62">
        <v>8</v>
      </c>
      <c r="K5147" s="62" t="s">
        <v>27</v>
      </c>
      <c r="L5147" s="62" t="s">
        <v>3</v>
      </c>
      <c r="M5147" s="62">
        <v>13.5</v>
      </c>
      <c r="N5147" s="62">
        <v>0</v>
      </c>
    </row>
    <row r="5148" spans="9:14">
      <c r="I5148" s="62">
        <v>2022</v>
      </c>
      <c r="J5148" s="62">
        <v>9</v>
      </c>
      <c r="K5148" s="62" t="s">
        <v>27</v>
      </c>
      <c r="L5148" s="62" t="s">
        <v>3</v>
      </c>
      <c r="M5148" s="62">
        <v>13.5</v>
      </c>
      <c r="N5148" s="62">
        <v>0</v>
      </c>
    </row>
    <row r="5149" spans="9:14">
      <c r="I5149" s="62">
        <v>2022</v>
      </c>
      <c r="J5149" s="62">
        <v>10</v>
      </c>
      <c r="K5149" s="62" t="s">
        <v>27</v>
      </c>
      <c r="L5149" s="62" t="s">
        <v>3</v>
      </c>
      <c r="M5149" s="62">
        <v>13.5</v>
      </c>
      <c r="N5149" s="62">
        <v>0</v>
      </c>
    </row>
    <row r="5150" spans="9:14">
      <c r="I5150" s="62">
        <v>2022</v>
      </c>
      <c r="J5150" s="62">
        <v>11</v>
      </c>
      <c r="K5150" s="62" t="s">
        <v>27</v>
      </c>
      <c r="L5150" s="62" t="s">
        <v>3</v>
      </c>
      <c r="M5150" s="62">
        <v>13.5</v>
      </c>
      <c r="N5150" s="62">
        <v>0</v>
      </c>
    </row>
    <row r="5151" spans="9:14">
      <c r="I5151" s="62">
        <v>2022</v>
      </c>
      <c r="J5151" s="62">
        <v>12</v>
      </c>
      <c r="K5151" s="62" t="s">
        <v>27</v>
      </c>
      <c r="L5151" s="62" t="s">
        <v>3</v>
      </c>
      <c r="M5151" s="62">
        <v>15.8997</v>
      </c>
      <c r="N5151" s="62">
        <v>0</v>
      </c>
    </row>
    <row r="5152" spans="9:14">
      <c r="I5152" s="62">
        <v>2023</v>
      </c>
      <c r="J5152" s="62">
        <v>1</v>
      </c>
      <c r="K5152" s="62" t="s">
        <v>27</v>
      </c>
      <c r="L5152" s="62" t="s">
        <v>3</v>
      </c>
      <c r="M5152" s="62">
        <v>14.6088</v>
      </c>
      <c r="N5152" s="62">
        <v>0</v>
      </c>
    </row>
    <row r="5153" spans="9:14">
      <c r="I5153" s="62">
        <v>2023</v>
      </c>
      <c r="J5153" s="62">
        <v>2</v>
      </c>
      <c r="K5153" s="62" t="s">
        <v>27</v>
      </c>
      <c r="L5153" s="62" t="s">
        <v>3</v>
      </c>
      <c r="M5153" s="62">
        <v>13.5</v>
      </c>
      <c r="N5153" s="62">
        <v>0</v>
      </c>
    </row>
    <row r="5154" spans="9:14">
      <c r="I5154" s="62">
        <v>2023</v>
      </c>
      <c r="J5154" s="62">
        <v>3</v>
      </c>
      <c r="K5154" s="62" t="s">
        <v>27</v>
      </c>
      <c r="L5154" s="62" t="s">
        <v>3</v>
      </c>
      <c r="M5154" s="62">
        <v>9.18</v>
      </c>
      <c r="N5154" s="62">
        <v>0</v>
      </c>
    </row>
    <row r="5155" spans="9:14">
      <c r="I5155" s="62">
        <v>2023</v>
      </c>
      <c r="J5155" s="62">
        <v>6</v>
      </c>
      <c r="K5155" s="62" t="s">
        <v>27</v>
      </c>
      <c r="L5155" s="62" t="s">
        <v>3</v>
      </c>
      <c r="M5155" s="62">
        <v>2.2869</v>
      </c>
      <c r="N5155" s="62">
        <v>0</v>
      </c>
    </row>
    <row r="5156" spans="9:14">
      <c r="I5156" s="62">
        <v>2023</v>
      </c>
      <c r="J5156" s="62">
        <v>8</v>
      </c>
      <c r="K5156" s="62" t="s">
        <v>27</v>
      </c>
      <c r="L5156" s="62" t="s">
        <v>3</v>
      </c>
      <c r="M5156" s="62">
        <v>0.105</v>
      </c>
      <c r="N5156" s="62">
        <v>0</v>
      </c>
    </row>
    <row r="5157" spans="9:14">
      <c r="I5157" s="62">
        <v>2023</v>
      </c>
      <c r="J5157" s="62">
        <v>11</v>
      </c>
      <c r="K5157" s="62" t="s">
        <v>27</v>
      </c>
      <c r="L5157" s="62" t="s">
        <v>3</v>
      </c>
      <c r="M5157" s="62">
        <v>0.54</v>
      </c>
      <c r="N5157" s="62">
        <v>0</v>
      </c>
    </row>
    <row r="5158" spans="9:14">
      <c r="I5158" s="62">
        <v>2023</v>
      </c>
      <c r="J5158" s="62">
        <v>12</v>
      </c>
      <c r="K5158" s="62" t="s">
        <v>27</v>
      </c>
      <c r="L5158" s="62" t="s">
        <v>3</v>
      </c>
      <c r="M5158" s="62">
        <v>0.105</v>
      </c>
      <c r="N5158" s="62">
        <v>0</v>
      </c>
    </row>
    <row r="5159" spans="9:14">
      <c r="I5159" s="62">
        <v>2025</v>
      </c>
      <c r="J5159" s="62">
        <v>5</v>
      </c>
      <c r="K5159" s="62" t="s">
        <v>27</v>
      </c>
      <c r="L5159" s="62" t="s">
        <v>3</v>
      </c>
      <c r="M5159" s="62">
        <v>1.728</v>
      </c>
      <c r="N5159" s="62">
        <v>0</v>
      </c>
    </row>
    <row r="5160" spans="9:14">
      <c r="I5160" s="62">
        <v>2025</v>
      </c>
      <c r="J5160" s="62">
        <v>9</v>
      </c>
      <c r="K5160" s="62" t="s">
        <v>27</v>
      </c>
      <c r="L5160" s="62" t="s">
        <v>3</v>
      </c>
      <c r="M5160" s="62">
        <v>1.833</v>
      </c>
      <c r="N5160" s="62">
        <v>0</v>
      </c>
    </row>
    <row r="5161" spans="9:14">
      <c r="I5161" s="62">
        <v>2025</v>
      </c>
      <c r="J5161" s="62">
        <v>10</v>
      </c>
      <c r="K5161" s="62" t="s">
        <v>27</v>
      </c>
      <c r="L5161" s="62" t="s">
        <v>3</v>
      </c>
      <c r="M5161" s="62">
        <v>2.256</v>
      </c>
      <c r="N5161" s="62">
        <v>0</v>
      </c>
    </row>
    <row r="5162" spans="9:14">
      <c r="I5162" s="62">
        <v>2020</v>
      </c>
      <c r="J5162" s="62">
        <v>3</v>
      </c>
      <c r="K5162" s="62" t="s">
        <v>28</v>
      </c>
      <c r="L5162" s="62" t="s">
        <v>1</v>
      </c>
      <c r="M5162" s="62">
        <v>1.623</v>
      </c>
      <c r="N5162" s="62">
        <v>0</v>
      </c>
    </row>
    <row r="5163" spans="9:14">
      <c r="I5163" s="62">
        <v>2020</v>
      </c>
      <c r="J5163" s="62">
        <v>4</v>
      </c>
      <c r="K5163" s="62" t="s">
        <v>28</v>
      </c>
      <c r="L5163" s="62" t="s">
        <v>1</v>
      </c>
      <c r="M5163" s="62">
        <v>9.32</v>
      </c>
      <c r="N5163" s="62">
        <v>0</v>
      </c>
    </row>
    <row r="5164" spans="9:14">
      <c r="I5164" s="62">
        <v>2020</v>
      </c>
      <c r="J5164" s="62">
        <v>5</v>
      </c>
      <c r="K5164" s="62" t="s">
        <v>28</v>
      </c>
      <c r="L5164" s="62" t="s">
        <v>1</v>
      </c>
      <c r="M5164" s="62">
        <v>10</v>
      </c>
      <c r="N5164" s="62">
        <v>0</v>
      </c>
    </row>
    <row r="5165" spans="9:14">
      <c r="I5165" s="62">
        <v>2020</v>
      </c>
      <c r="J5165" s="62">
        <v>6</v>
      </c>
      <c r="K5165" s="62" t="s">
        <v>28</v>
      </c>
      <c r="L5165" s="62" t="s">
        <v>1</v>
      </c>
      <c r="M5165" s="62">
        <v>10</v>
      </c>
      <c r="N5165" s="62">
        <v>0</v>
      </c>
    </row>
    <row r="5166" spans="9:14">
      <c r="I5166" s="62">
        <v>2020</v>
      </c>
      <c r="J5166" s="62">
        <v>7</v>
      </c>
      <c r="K5166" s="62" t="s">
        <v>28</v>
      </c>
      <c r="L5166" s="62" t="s">
        <v>1</v>
      </c>
      <c r="M5166" s="62">
        <v>11.52</v>
      </c>
      <c r="N5166" s="62">
        <v>0</v>
      </c>
    </row>
    <row r="5167" spans="9:14">
      <c r="I5167" s="62">
        <v>2020</v>
      </c>
      <c r="J5167" s="62">
        <v>8</v>
      </c>
      <c r="K5167" s="62" t="s">
        <v>28</v>
      </c>
      <c r="L5167" s="62" t="s">
        <v>1</v>
      </c>
      <c r="M5167" s="62">
        <v>19.5</v>
      </c>
      <c r="N5167" s="62">
        <v>0</v>
      </c>
    </row>
    <row r="5168" spans="9:14">
      <c r="I5168" s="62">
        <v>2020</v>
      </c>
      <c r="J5168" s="62">
        <v>9</v>
      </c>
      <c r="K5168" s="62" t="s">
        <v>28</v>
      </c>
      <c r="L5168" s="62" t="s">
        <v>1</v>
      </c>
      <c r="M5168" s="62">
        <v>19.5</v>
      </c>
      <c r="N5168" s="62">
        <v>0</v>
      </c>
    </row>
    <row r="5169" spans="9:14">
      <c r="I5169" s="62">
        <v>2020</v>
      </c>
      <c r="J5169" s="62">
        <v>10</v>
      </c>
      <c r="K5169" s="62" t="s">
        <v>28</v>
      </c>
      <c r="L5169" s="62" t="s">
        <v>1</v>
      </c>
      <c r="M5169" s="62">
        <v>21.45</v>
      </c>
      <c r="N5169" s="62">
        <v>0</v>
      </c>
    </row>
    <row r="5170" spans="9:14">
      <c r="I5170" s="62">
        <v>2020</v>
      </c>
      <c r="J5170" s="62">
        <v>11</v>
      </c>
      <c r="K5170" s="62" t="s">
        <v>28</v>
      </c>
      <c r="L5170" s="62" t="s">
        <v>1</v>
      </c>
      <c r="M5170" s="62">
        <v>25.8375</v>
      </c>
      <c r="N5170" s="62">
        <v>0</v>
      </c>
    </row>
    <row r="5171" spans="9:14">
      <c r="I5171" s="62">
        <v>2020</v>
      </c>
      <c r="J5171" s="62">
        <v>12</v>
      </c>
      <c r="K5171" s="62" t="s">
        <v>28</v>
      </c>
      <c r="L5171" s="62" t="s">
        <v>1</v>
      </c>
      <c r="M5171" s="62">
        <v>23.25</v>
      </c>
      <c r="N5171" s="62">
        <v>0</v>
      </c>
    </row>
    <row r="5172" spans="9:14">
      <c r="I5172" s="62">
        <v>2021</v>
      </c>
      <c r="J5172" s="62">
        <v>1</v>
      </c>
      <c r="K5172" s="62" t="s">
        <v>28</v>
      </c>
      <c r="L5172" s="62" t="s">
        <v>1</v>
      </c>
      <c r="M5172" s="62">
        <v>27.02</v>
      </c>
      <c r="N5172" s="62">
        <v>0</v>
      </c>
    </row>
    <row r="5173" spans="9:14">
      <c r="I5173" s="62">
        <v>2021</v>
      </c>
      <c r="J5173" s="62">
        <v>2</v>
      </c>
      <c r="K5173" s="62" t="s">
        <v>28</v>
      </c>
      <c r="L5173" s="62" t="s">
        <v>1</v>
      </c>
      <c r="M5173" s="62">
        <v>50.351</v>
      </c>
      <c r="N5173" s="62">
        <v>0</v>
      </c>
    </row>
    <row r="5174" spans="9:14">
      <c r="I5174" s="62">
        <v>2021</v>
      </c>
      <c r="J5174" s="62">
        <v>3</v>
      </c>
      <c r="K5174" s="62" t="s">
        <v>28</v>
      </c>
      <c r="L5174" s="62" t="s">
        <v>1</v>
      </c>
      <c r="M5174" s="62">
        <v>62.203</v>
      </c>
      <c r="N5174" s="62">
        <v>0</v>
      </c>
    </row>
    <row r="5175" spans="9:14">
      <c r="I5175" s="62">
        <v>2021</v>
      </c>
      <c r="J5175" s="62">
        <v>4</v>
      </c>
      <c r="K5175" s="62" t="s">
        <v>28</v>
      </c>
      <c r="L5175" s="62" t="s">
        <v>1</v>
      </c>
      <c r="M5175" s="62">
        <v>11.675</v>
      </c>
      <c r="N5175" s="62">
        <v>0</v>
      </c>
    </row>
    <row r="5176" spans="9:14">
      <c r="I5176" s="62">
        <v>2021</v>
      </c>
      <c r="J5176" s="62">
        <v>5</v>
      </c>
      <c r="K5176" s="62" t="s">
        <v>28</v>
      </c>
      <c r="L5176" s="62" t="s">
        <v>1</v>
      </c>
      <c r="M5176" s="62">
        <v>6.6125</v>
      </c>
      <c r="N5176" s="62">
        <v>0</v>
      </c>
    </row>
    <row r="5177" spans="9:14">
      <c r="I5177" s="62">
        <v>2021</v>
      </c>
      <c r="J5177" s="62">
        <v>6</v>
      </c>
      <c r="K5177" s="62" t="s">
        <v>28</v>
      </c>
      <c r="L5177" s="62" t="s">
        <v>1</v>
      </c>
      <c r="M5177" s="62">
        <v>6.5</v>
      </c>
      <c r="N5177" s="62">
        <v>0</v>
      </c>
    </row>
    <row r="5178" spans="9:14">
      <c r="I5178" s="62">
        <v>2021</v>
      </c>
      <c r="J5178" s="62">
        <v>7</v>
      </c>
      <c r="K5178" s="62" t="s">
        <v>28</v>
      </c>
      <c r="L5178" s="62" t="s">
        <v>1</v>
      </c>
      <c r="M5178" s="62">
        <v>6.5</v>
      </c>
      <c r="N5178" s="62">
        <v>0</v>
      </c>
    </row>
    <row r="5179" spans="9:14">
      <c r="I5179" s="62">
        <v>2021</v>
      </c>
      <c r="J5179" s="62">
        <v>8</v>
      </c>
      <c r="K5179" s="62" t="s">
        <v>28</v>
      </c>
      <c r="L5179" s="62" t="s">
        <v>1</v>
      </c>
      <c r="M5179" s="62">
        <v>8.449999999999999</v>
      </c>
      <c r="N5179" s="62">
        <v>0</v>
      </c>
    </row>
    <row r="5180" spans="9:14">
      <c r="I5180" s="62">
        <v>2021</v>
      </c>
      <c r="J5180" s="62">
        <v>9</v>
      </c>
      <c r="K5180" s="62" t="s">
        <v>28</v>
      </c>
      <c r="L5180" s="62" t="s">
        <v>1</v>
      </c>
      <c r="M5180" s="62">
        <v>15.5</v>
      </c>
      <c r="N5180" s="62">
        <v>0</v>
      </c>
    </row>
    <row r="5181" spans="9:14">
      <c r="I5181" s="62">
        <v>2021</v>
      </c>
      <c r="J5181" s="62">
        <v>10</v>
      </c>
      <c r="K5181" s="62" t="s">
        <v>28</v>
      </c>
      <c r="L5181" s="62" t="s">
        <v>1</v>
      </c>
      <c r="M5181" s="62">
        <v>6.83</v>
      </c>
      <c r="N5181" s="62">
        <v>0</v>
      </c>
    </row>
    <row r="5182" spans="9:14">
      <c r="I5182" s="62">
        <v>2021</v>
      </c>
      <c r="J5182" s="62">
        <v>11</v>
      </c>
      <c r="K5182" s="62" t="s">
        <v>28</v>
      </c>
      <c r="L5182" s="62" t="s">
        <v>1</v>
      </c>
      <c r="M5182" s="62">
        <v>6.842</v>
      </c>
      <c r="N5182" s="62">
        <v>0</v>
      </c>
    </row>
    <row r="5183" spans="9:14">
      <c r="I5183" s="62">
        <v>2021</v>
      </c>
      <c r="J5183" s="62">
        <v>12</v>
      </c>
      <c r="K5183" s="62" t="s">
        <v>28</v>
      </c>
      <c r="L5183" s="62" t="s">
        <v>1</v>
      </c>
      <c r="M5183" s="62">
        <v>6.5</v>
      </c>
      <c r="N5183" s="62">
        <v>0</v>
      </c>
    </row>
    <row r="5184" spans="9:14">
      <c r="I5184" s="62">
        <v>2022</v>
      </c>
      <c r="J5184" s="62">
        <v>4</v>
      </c>
      <c r="K5184" s="62" t="s">
        <v>28</v>
      </c>
      <c r="L5184" s="62" t="s">
        <v>1</v>
      </c>
      <c r="M5184" s="62">
        <v>1.3915</v>
      </c>
      <c r="N5184" s="62">
        <v>0</v>
      </c>
    </row>
    <row r="5185" spans="9:14">
      <c r="I5185" s="62">
        <v>2022</v>
      </c>
      <c r="J5185" s="62">
        <v>5</v>
      </c>
      <c r="K5185" s="62" t="s">
        <v>28</v>
      </c>
      <c r="L5185" s="62" t="s">
        <v>1</v>
      </c>
      <c r="M5185" s="62">
        <v>1.1495</v>
      </c>
      <c r="N5185" s="62">
        <v>0</v>
      </c>
    </row>
    <row r="5186" spans="9:14">
      <c r="I5186" s="62">
        <v>2024</v>
      </c>
      <c r="J5186" s="62">
        <v>1</v>
      </c>
      <c r="K5186" s="62" t="s">
        <v>28</v>
      </c>
      <c r="L5186" s="62" t="s">
        <v>1</v>
      </c>
      <c r="M5186" s="62">
        <v>2.04</v>
      </c>
      <c r="N5186" s="62">
        <v>0</v>
      </c>
    </row>
    <row r="5187" spans="9:14">
      <c r="I5187" s="62">
        <v>2024</v>
      </c>
      <c r="J5187" s="62">
        <v>2</v>
      </c>
      <c r="K5187" s="62" t="s">
        <v>28</v>
      </c>
      <c r="L5187" s="62" t="s">
        <v>1</v>
      </c>
      <c r="M5187" s="62">
        <v>3</v>
      </c>
      <c r="N5187" s="62">
        <v>0</v>
      </c>
    </row>
    <row r="5188" spans="9:14">
      <c r="I5188" s="62">
        <v>2024</v>
      </c>
      <c r="J5188" s="62">
        <v>3</v>
      </c>
      <c r="K5188" s="62" t="s">
        <v>28</v>
      </c>
      <c r="L5188" s="62" t="s">
        <v>1</v>
      </c>
      <c r="M5188" s="62">
        <v>0.3</v>
      </c>
      <c r="N5188" s="62">
        <v>0</v>
      </c>
    </row>
    <row r="5189" spans="9:14">
      <c r="I5189" s="62">
        <v>2024</v>
      </c>
      <c r="J5189" s="62">
        <v>9</v>
      </c>
      <c r="K5189" s="62" t="s">
        <v>28</v>
      </c>
      <c r="L5189" s="62" t="s">
        <v>1</v>
      </c>
      <c r="M5189" s="62">
        <v>0.975</v>
      </c>
      <c r="N5189" s="62">
        <v>0</v>
      </c>
    </row>
    <row r="5190" spans="9:14">
      <c r="I5190" s="62">
        <v>2024</v>
      </c>
      <c r="J5190" s="62">
        <v>10</v>
      </c>
      <c r="K5190" s="62" t="s">
        <v>28</v>
      </c>
      <c r="L5190" s="62" t="s">
        <v>1</v>
      </c>
      <c r="M5190" s="62">
        <v>7.5</v>
      </c>
      <c r="N5190" s="62">
        <v>0</v>
      </c>
    </row>
    <row r="5191" spans="9:14">
      <c r="I5191" s="62">
        <v>2024</v>
      </c>
      <c r="J5191" s="62">
        <v>11</v>
      </c>
      <c r="K5191" s="62" t="s">
        <v>28</v>
      </c>
      <c r="L5191" s="62" t="s">
        <v>1</v>
      </c>
      <c r="M5191" s="62">
        <v>5.025</v>
      </c>
      <c r="N5191" s="62">
        <v>0</v>
      </c>
    </row>
    <row r="5192" spans="9:14">
      <c r="I5192" s="62">
        <v>2026</v>
      </c>
      <c r="J5192" s="62">
        <v>2</v>
      </c>
      <c r="K5192" s="62" t="s">
        <v>28</v>
      </c>
      <c r="L5192" s="62" t="s">
        <v>1</v>
      </c>
      <c r="M5192" s="62">
        <v>0.84</v>
      </c>
      <c r="N5192" s="62">
        <v>0</v>
      </c>
    </row>
    <row r="5193" spans="9:14">
      <c r="I5193" s="62">
        <v>2021</v>
      </c>
      <c r="J5193" s="62">
        <v>1</v>
      </c>
      <c r="K5193" s="62" t="s">
        <v>28</v>
      </c>
      <c r="L5193" s="62" t="s">
        <v>2</v>
      </c>
      <c r="M5193" s="62">
        <v>3.77</v>
      </c>
      <c r="N5193" s="62">
        <v>0</v>
      </c>
    </row>
    <row r="5194" spans="9:14">
      <c r="I5194" s="62">
        <v>2021</v>
      </c>
      <c r="J5194" s="62">
        <v>2</v>
      </c>
      <c r="K5194" s="62" t="s">
        <v>28</v>
      </c>
      <c r="L5194" s="62" t="s">
        <v>2</v>
      </c>
      <c r="M5194" s="62">
        <v>32.15</v>
      </c>
      <c r="N5194" s="62">
        <v>0</v>
      </c>
    </row>
    <row r="5195" spans="9:14">
      <c r="I5195" s="62">
        <v>2021</v>
      </c>
      <c r="J5195" s="62">
        <v>3</v>
      </c>
      <c r="K5195" s="62" t="s">
        <v>28</v>
      </c>
      <c r="L5195" s="62" t="s">
        <v>2</v>
      </c>
      <c r="M5195" s="62">
        <v>54</v>
      </c>
      <c r="N5195" s="62">
        <v>0</v>
      </c>
    </row>
    <row r="5196" spans="9:14">
      <c r="I5196" s="62">
        <v>2021</v>
      </c>
      <c r="J5196" s="62">
        <v>4</v>
      </c>
      <c r="K5196" s="62" t="s">
        <v>28</v>
      </c>
      <c r="L5196" s="62" t="s">
        <v>2</v>
      </c>
      <c r="M5196" s="62">
        <v>7.925</v>
      </c>
      <c r="N5196" s="62">
        <v>0</v>
      </c>
    </row>
    <row r="5197" spans="9:14">
      <c r="I5197" s="62">
        <v>2021</v>
      </c>
      <c r="J5197" s="62">
        <v>5</v>
      </c>
      <c r="K5197" s="62" t="s">
        <v>28</v>
      </c>
      <c r="L5197" s="62" t="s">
        <v>2</v>
      </c>
      <c r="M5197" s="62">
        <v>6.5</v>
      </c>
      <c r="N5197" s="62">
        <v>0</v>
      </c>
    </row>
    <row r="5198" spans="9:14">
      <c r="I5198" s="62">
        <v>2021</v>
      </c>
      <c r="J5198" s="62">
        <v>6</v>
      </c>
      <c r="K5198" s="62" t="s">
        <v>28</v>
      </c>
      <c r="L5198" s="62" t="s">
        <v>2</v>
      </c>
      <c r="M5198" s="62">
        <v>6.5</v>
      </c>
      <c r="N5198" s="62">
        <v>0</v>
      </c>
    </row>
    <row r="5199" spans="9:14">
      <c r="I5199" s="62">
        <v>2021</v>
      </c>
      <c r="J5199" s="62">
        <v>7</v>
      </c>
      <c r="K5199" s="62" t="s">
        <v>28</v>
      </c>
      <c r="L5199" s="62" t="s">
        <v>2</v>
      </c>
      <c r="M5199" s="62">
        <v>6.5</v>
      </c>
      <c r="N5199" s="62">
        <v>0</v>
      </c>
    </row>
    <row r="5200" spans="9:14">
      <c r="I5200" s="62">
        <v>2021</v>
      </c>
      <c r="J5200" s="62">
        <v>8</v>
      </c>
      <c r="K5200" s="62" t="s">
        <v>28</v>
      </c>
      <c r="L5200" s="62" t="s">
        <v>2</v>
      </c>
      <c r="M5200" s="62">
        <v>6.5</v>
      </c>
      <c r="N5200" s="62">
        <v>0</v>
      </c>
    </row>
    <row r="5201" spans="9:14">
      <c r="I5201" s="62">
        <v>2021</v>
      </c>
      <c r="J5201" s="62">
        <v>9</v>
      </c>
      <c r="K5201" s="62" t="s">
        <v>28</v>
      </c>
      <c r="L5201" s="62" t="s">
        <v>2</v>
      </c>
      <c r="M5201" s="62">
        <v>6.5</v>
      </c>
      <c r="N5201" s="62">
        <v>0</v>
      </c>
    </row>
    <row r="5202" spans="9:14">
      <c r="I5202" s="62">
        <v>2021</v>
      </c>
      <c r="J5202" s="62">
        <v>10</v>
      </c>
      <c r="K5202" s="62" t="s">
        <v>28</v>
      </c>
      <c r="L5202" s="62" t="s">
        <v>2</v>
      </c>
      <c r="M5202" s="62">
        <v>6.83</v>
      </c>
      <c r="N5202" s="62">
        <v>0</v>
      </c>
    </row>
    <row r="5203" spans="9:14">
      <c r="I5203" s="62">
        <v>2021</v>
      </c>
      <c r="J5203" s="62">
        <v>11</v>
      </c>
      <c r="K5203" s="62" t="s">
        <v>28</v>
      </c>
      <c r="L5203" s="62" t="s">
        <v>2</v>
      </c>
      <c r="M5203" s="62">
        <v>6.842</v>
      </c>
      <c r="N5203" s="62">
        <v>0</v>
      </c>
    </row>
    <row r="5204" spans="9:14">
      <c r="I5204" s="62">
        <v>2021</v>
      </c>
      <c r="J5204" s="62">
        <v>12</v>
      </c>
      <c r="K5204" s="62" t="s">
        <v>28</v>
      </c>
      <c r="L5204" s="62" t="s">
        <v>2</v>
      </c>
      <c r="M5204" s="62">
        <v>6.5</v>
      </c>
      <c r="N5204" s="62">
        <v>0</v>
      </c>
    </row>
    <row r="5205" spans="9:14">
      <c r="I5205" s="62">
        <v>2024</v>
      </c>
      <c r="J5205" s="62">
        <v>1</v>
      </c>
      <c r="K5205" s="62" t="s">
        <v>28</v>
      </c>
      <c r="L5205" s="62" t="s">
        <v>2</v>
      </c>
      <c r="M5205" s="62">
        <v>2.04</v>
      </c>
      <c r="N5205" s="62">
        <v>0</v>
      </c>
    </row>
    <row r="5206" spans="9:14">
      <c r="I5206" s="62">
        <v>2024</v>
      </c>
      <c r="J5206" s="62">
        <v>2</v>
      </c>
      <c r="K5206" s="62" t="s">
        <v>28</v>
      </c>
      <c r="L5206" s="62" t="s">
        <v>2</v>
      </c>
      <c r="M5206" s="62">
        <v>3</v>
      </c>
      <c r="N5206" s="62">
        <v>0</v>
      </c>
    </row>
    <row r="5207" spans="9:14">
      <c r="I5207" s="62">
        <v>2024</v>
      </c>
      <c r="J5207" s="62">
        <v>3</v>
      </c>
      <c r="K5207" s="62" t="s">
        <v>28</v>
      </c>
      <c r="L5207" s="62" t="s">
        <v>2</v>
      </c>
      <c r="M5207" s="62">
        <v>0.3</v>
      </c>
      <c r="N5207" s="62">
        <v>0</v>
      </c>
    </row>
    <row r="5208" spans="9:14">
      <c r="I5208" s="62">
        <v>2024</v>
      </c>
      <c r="J5208" s="62">
        <v>9</v>
      </c>
      <c r="K5208" s="62" t="s">
        <v>28</v>
      </c>
      <c r="L5208" s="62" t="s">
        <v>2</v>
      </c>
      <c r="M5208" s="62">
        <v>0.975</v>
      </c>
      <c r="N5208" s="62">
        <v>0</v>
      </c>
    </row>
    <row r="5209" spans="9:14">
      <c r="I5209" s="62">
        <v>2024</v>
      </c>
      <c r="J5209" s="62">
        <v>10</v>
      </c>
      <c r="K5209" s="62" t="s">
        <v>28</v>
      </c>
      <c r="L5209" s="62" t="s">
        <v>2</v>
      </c>
      <c r="M5209" s="62">
        <v>7.5</v>
      </c>
      <c r="N5209" s="62">
        <v>0</v>
      </c>
    </row>
    <row r="5210" spans="9:14">
      <c r="I5210" s="62">
        <v>2024</v>
      </c>
      <c r="J5210" s="62">
        <v>11</v>
      </c>
      <c r="K5210" s="62" t="s">
        <v>28</v>
      </c>
      <c r="L5210" s="62" t="s">
        <v>2</v>
      </c>
      <c r="M5210" s="62">
        <v>5.025</v>
      </c>
      <c r="N5210" s="62">
        <v>0</v>
      </c>
    </row>
    <row r="5211" spans="9:14">
      <c r="I5211" s="62">
        <v>2020</v>
      </c>
      <c r="J5211" s="62">
        <v>3</v>
      </c>
      <c r="K5211" s="62" t="s">
        <v>28</v>
      </c>
      <c r="L5211" s="62" t="s">
        <v>3</v>
      </c>
      <c r="M5211" s="62">
        <v>1.623</v>
      </c>
      <c r="N5211" s="62">
        <v>0</v>
      </c>
    </row>
    <row r="5212" spans="9:14">
      <c r="I5212" s="62">
        <v>2020</v>
      </c>
      <c r="J5212" s="62">
        <v>4</v>
      </c>
      <c r="K5212" s="62" t="s">
        <v>28</v>
      </c>
      <c r="L5212" s="62" t="s">
        <v>3</v>
      </c>
      <c r="M5212" s="62">
        <v>9.32</v>
      </c>
      <c r="N5212" s="62">
        <v>0</v>
      </c>
    </row>
    <row r="5213" spans="9:14">
      <c r="I5213" s="62">
        <v>2020</v>
      </c>
      <c r="J5213" s="62">
        <v>5</v>
      </c>
      <c r="K5213" s="62" t="s">
        <v>28</v>
      </c>
      <c r="L5213" s="62" t="s">
        <v>3</v>
      </c>
      <c r="M5213" s="62">
        <v>10</v>
      </c>
      <c r="N5213" s="62">
        <v>0</v>
      </c>
    </row>
    <row r="5214" spans="9:14">
      <c r="I5214" s="62">
        <v>2020</v>
      </c>
      <c r="J5214" s="62">
        <v>6</v>
      </c>
      <c r="K5214" s="62" t="s">
        <v>28</v>
      </c>
      <c r="L5214" s="62" t="s">
        <v>3</v>
      </c>
      <c r="M5214" s="62">
        <v>10</v>
      </c>
      <c r="N5214" s="62">
        <v>0</v>
      </c>
    </row>
    <row r="5215" spans="9:14">
      <c r="I5215" s="62">
        <v>2020</v>
      </c>
      <c r="J5215" s="62">
        <v>7</v>
      </c>
      <c r="K5215" s="62" t="s">
        <v>28</v>
      </c>
      <c r="L5215" s="62" t="s">
        <v>3</v>
      </c>
      <c r="M5215" s="62">
        <v>11.52</v>
      </c>
      <c r="N5215" s="62">
        <v>0</v>
      </c>
    </row>
    <row r="5216" spans="9:14">
      <c r="I5216" s="62">
        <v>2020</v>
      </c>
      <c r="J5216" s="62">
        <v>8</v>
      </c>
      <c r="K5216" s="62" t="s">
        <v>28</v>
      </c>
      <c r="L5216" s="62" t="s">
        <v>3</v>
      </c>
      <c r="M5216" s="62">
        <v>19.5</v>
      </c>
      <c r="N5216" s="62">
        <v>0</v>
      </c>
    </row>
    <row r="5217" spans="9:14">
      <c r="I5217" s="62">
        <v>2020</v>
      </c>
      <c r="J5217" s="62">
        <v>9</v>
      </c>
      <c r="K5217" s="62" t="s">
        <v>28</v>
      </c>
      <c r="L5217" s="62" t="s">
        <v>3</v>
      </c>
      <c r="M5217" s="62">
        <v>19.5</v>
      </c>
      <c r="N5217" s="62">
        <v>0</v>
      </c>
    </row>
    <row r="5218" spans="9:14">
      <c r="I5218" s="62">
        <v>2020</v>
      </c>
      <c r="J5218" s="62">
        <v>10</v>
      </c>
      <c r="K5218" s="62" t="s">
        <v>28</v>
      </c>
      <c r="L5218" s="62" t="s">
        <v>3</v>
      </c>
      <c r="M5218" s="62">
        <v>21.45</v>
      </c>
      <c r="N5218" s="62">
        <v>0</v>
      </c>
    </row>
    <row r="5219" spans="9:14">
      <c r="I5219" s="62">
        <v>2020</v>
      </c>
      <c r="J5219" s="62">
        <v>11</v>
      </c>
      <c r="K5219" s="62" t="s">
        <v>28</v>
      </c>
      <c r="L5219" s="62" t="s">
        <v>3</v>
      </c>
      <c r="M5219" s="62">
        <v>25.8375</v>
      </c>
      <c r="N5219" s="62">
        <v>0</v>
      </c>
    </row>
    <row r="5220" spans="9:14">
      <c r="I5220" s="62">
        <v>2020</v>
      </c>
      <c r="J5220" s="62">
        <v>12</v>
      </c>
      <c r="K5220" s="62" t="s">
        <v>28</v>
      </c>
      <c r="L5220" s="62" t="s">
        <v>3</v>
      </c>
      <c r="M5220" s="62">
        <v>23.25</v>
      </c>
      <c r="N5220" s="62">
        <v>0</v>
      </c>
    </row>
    <row r="5221" spans="9:14">
      <c r="I5221" s="62">
        <v>2021</v>
      </c>
      <c r="J5221" s="62">
        <v>1</v>
      </c>
      <c r="K5221" s="62" t="s">
        <v>28</v>
      </c>
      <c r="L5221" s="62" t="s">
        <v>3</v>
      </c>
      <c r="M5221" s="62">
        <v>23.25</v>
      </c>
      <c r="N5221" s="62">
        <v>0</v>
      </c>
    </row>
    <row r="5222" spans="9:14">
      <c r="I5222" s="62">
        <v>2021</v>
      </c>
      <c r="J5222" s="62">
        <v>2</v>
      </c>
      <c r="K5222" s="62" t="s">
        <v>28</v>
      </c>
      <c r="L5222" s="62" t="s">
        <v>3</v>
      </c>
      <c r="M5222" s="62">
        <v>18.201</v>
      </c>
      <c r="N5222" s="62">
        <v>0</v>
      </c>
    </row>
    <row r="5223" spans="9:14">
      <c r="I5223" s="62">
        <v>2021</v>
      </c>
      <c r="J5223" s="62">
        <v>3</v>
      </c>
      <c r="K5223" s="62" t="s">
        <v>28</v>
      </c>
      <c r="L5223" s="62" t="s">
        <v>3</v>
      </c>
      <c r="M5223" s="62">
        <v>8.202999999999999</v>
      </c>
      <c r="N5223" s="62">
        <v>0</v>
      </c>
    </row>
    <row r="5224" spans="9:14">
      <c r="I5224" s="62">
        <v>2021</v>
      </c>
      <c r="J5224" s="62">
        <v>4</v>
      </c>
      <c r="K5224" s="62" t="s">
        <v>28</v>
      </c>
      <c r="L5224" s="62" t="s">
        <v>3</v>
      </c>
      <c r="M5224" s="62">
        <v>3.75</v>
      </c>
      <c r="N5224" s="62">
        <v>0</v>
      </c>
    </row>
    <row r="5225" spans="9:14">
      <c r="I5225" s="62">
        <v>2021</v>
      </c>
      <c r="J5225" s="62">
        <v>5</v>
      </c>
      <c r="K5225" s="62" t="s">
        <v>28</v>
      </c>
      <c r="L5225" s="62" t="s">
        <v>3</v>
      </c>
      <c r="M5225" s="62">
        <v>0.1125</v>
      </c>
      <c r="N5225" s="62">
        <v>0</v>
      </c>
    </row>
    <row r="5226" spans="9:14">
      <c r="I5226" s="62">
        <v>2021</v>
      </c>
      <c r="J5226" s="62">
        <v>8</v>
      </c>
      <c r="K5226" s="62" t="s">
        <v>28</v>
      </c>
      <c r="L5226" s="62" t="s">
        <v>3</v>
      </c>
      <c r="M5226" s="62">
        <v>1.95</v>
      </c>
      <c r="N5226" s="62">
        <v>0</v>
      </c>
    </row>
    <row r="5227" spans="9:14">
      <c r="I5227" s="62">
        <v>2021</v>
      </c>
      <c r="J5227" s="62">
        <v>9</v>
      </c>
      <c r="K5227" s="62" t="s">
        <v>28</v>
      </c>
      <c r="L5227" s="62" t="s">
        <v>3</v>
      </c>
      <c r="M5227" s="62">
        <v>9</v>
      </c>
      <c r="N5227" s="62">
        <v>0</v>
      </c>
    </row>
    <row r="5228" spans="9:14">
      <c r="I5228" s="62">
        <v>2022</v>
      </c>
      <c r="J5228" s="62">
        <v>4</v>
      </c>
      <c r="K5228" s="62" t="s">
        <v>28</v>
      </c>
      <c r="L5228" s="62" t="s">
        <v>3</v>
      </c>
      <c r="M5228" s="62">
        <v>1.3915</v>
      </c>
      <c r="N5228" s="62">
        <v>0</v>
      </c>
    </row>
    <row r="5229" spans="9:14">
      <c r="I5229" s="62">
        <v>2022</v>
      </c>
      <c r="J5229" s="62">
        <v>5</v>
      </c>
      <c r="K5229" s="62" t="s">
        <v>28</v>
      </c>
      <c r="L5229" s="62" t="s">
        <v>3</v>
      </c>
      <c r="M5229" s="62">
        <v>1.1495</v>
      </c>
      <c r="N5229" s="62">
        <v>0</v>
      </c>
    </row>
    <row r="5230" spans="9:14">
      <c r="I5230" s="62">
        <v>2026</v>
      </c>
      <c r="J5230" s="62">
        <v>2</v>
      </c>
      <c r="K5230" s="62" t="s">
        <v>28</v>
      </c>
      <c r="L5230" s="62" t="s">
        <v>3</v>
      </c>
      <c r="M5230" s="62">
        <v>0.84</v>
      </c>
      <c r="N5230" s="62">
        <v>0</v>
      </c>
    </row>
    <row r="5231" spans="9:14">
      <c r="I5231" s="62">
        <v>2019</v>
      </c>
      <c r="J5231" s="62">
        <v>6</v>
      </c>
      <c r="K5231" s="62" t="s">
        <v>29</v>
      </c>
      <c r="L5231" s="62" t="s">
        <v>1</v>
      </c>
      <c r="M5231" s="62">
        <v>3.445</v>
      </c>
      <c r="N5231" s="62">
        <v>0</v>
      </c>
    </row>
    <row r="5232" spans="9:14">
      <c r="I5232" s="62">
        <v>2019</v>
      </c>
      <c r="J5232" s="62">
        <v>9</v>
      </c>
      <c r="K5232" s="62" t="s">
        <v>29</v>
      </c>
      <c r="L5232" s="62" t="s">
        <v>1</v>
      </c>
      <c r="M5232" s="62">
        <v>2.1</v>
      </c>
      <c r="N5232" s="62">
        <v>0</v>
      </c>
    </row>
    <row r="5233" spans="9:14">
      <c r="I5233" s="62">
        <v>2019</v>
      </c>
      <c r="J5233" s="62">
        <v>10</v>
      </c>
      <c r="K5233" s="62" t="s">
        <v>29</v>
      </c>
      <c r="L5233" s="62" t="s">
        <v>1</v>
      </c>
      <c r="M5233" s="62">
        <v>0.48</v>
      </c>
      <c r="N5233" s="62">
        <v>0</v>
      </c>
    </row>
    <row r="5234" spans="9:14">
      <c r="I5234" s="62">
        <v>2020</v>
      </c>
      <c r="J5234" s="62">
        <v>1</v>
      </c>
      <c r="K5234" s="62" t="s">
        <v>29</v>
      </c>
      <c r="L5234" s="62" t="s">
        <v>1</v>
      </c>
      <c r="M5234" s="62">
        <v>10.36</v>
      </c>
      <c r="N5234" s="62">
        <v>0</v>
      </c>
    </row>
    <row r="5235" spans="9:14">
      <c r="I5235" s="62">
        <v>2020</v>
      </c>
      <c r="J5235" s="62">
        <v>2</v>
      </c>
      <c r="K5235" s="62" t="s">
        <v>29</v>
      </c>
      <c r="L5235" s="62" t="s">
        <v>1</v>
      </c>
      <c r="M5235" s="62">
        <v>24.216</v>
      </c>
      <c r="N5235" s="62">
        <v>0</v>
      </c>
    </row>
    <row r="5236" spans="9:14">
      <c r="I5236" s="62">
        <v>2020</v>
      </c>
      <c r="J5236" s="62">
        <v>3</v>
      </c>
      <c r="K5236" s="62" t="s">
        <v>29</v>
      </c>
      <c r="L5236" s="62" t="s">
        <v>1</v>
      </c>
      <c r="M5236" s="62">
        <v>10.088</v>
      </c>
      <c r="N5236" s="62">
        <v>0</v>
      </c>
    </row>
    <row r="5237" spans="9:14">
      <c r="I5237" s="62">
        <v>2020</v>
      </c>
      <c r="J5237" s="62">
        <v>4</v>
      </c>
      <c r="K5237" s="62" t="s">
        <v>29</v>
      </c>
      <c r="L5237" s="62" t="s">
        <v>1</v>
      </c>
      <c r="M5237" s="62">
        <v>13.747</v>
      </c>
      <c r="N5237" s="62">
        <v>0</v>
      </c>
    </row>
    <row r="5238" spans="9:14">
      <c r="I5238" s="62">
        <v>2020</v>
      </c>
      <c r="J5238" s="62">
        <v>5</v>
      </c>
      <c r="K5238" s="62" t="s">
        <v>29</v>
      </c>
      <c r="L5238" s="62" t="s">
        <v>1</v>
      </c>
      <c r="M5238" s="62">
        <v>24.825</v>
      </c>
      <c r="N5238" s="62">
        <v>0</v>
      </c>
    </row>
    <row r="5239" spans="9:14">
      <c r="I5239" s="62">
        <v>2020</v>
      </c>
      <c r="J5239" s="62">
        <v>6</v>
      </c>
      <c r="K5239" s="62" t="s">
        <v>29</v>
      </c>
      <c r="L5239" s="62" t="s">
        <v>1</v>
      </c>
      <c r="M5239" s="62">
        <v>64.455</v>
      </c>
      <c r="N5239" s="62">
        <v>0</v>
      </c>
    </row>
    <row r="5240" spans="9:14">
      <c r="I5240" s="62">
        <v>2020</v>
      </c>
      <c r="J5240" s="62">
        <v>7</v>
      </c>
      <c r="K5240" s="62" t="s">
        <v>29</v>
      </c>
      <c r="L5240" s="62" t="s">
        <v>1</v>
      </c>
      <c r="M5240" s="62">
        <v>58.29799999999999</v>
      </c>
      <c r="N5240" s="62">
        <v>0</v>
      </c>
    </row>
    <row r="5241" spans="9:14">
      <c r="I5241" s="62">
        <v>2020</v>
      </c>
      <c r="J5241" s="62">
        <v>8</v>
      </c>
      <c r="K5241" s="62" t="s">
        <v>29</v>
      </c>
      <c r="L5241" s="62" t="s">
        <v>1</v>
      </c>
      <c r="M5241" s="62">
        <v>12.6</v>
      </c>
      <c r="N5241" s="62">
        <v>0</v>
      </c>
    </row>
    <row r="5242" spans="9:14">
      <c r="I5242" s="62">
        <v>2020</v>
      </c>
      <c r="J5242" s="62">
        <v>9</v>
      </c>
      <c r="K5242" s="62" t="s">
        <v>29</v>
      </c>
      <c r="L5242" s="62" t="s">
        <v>1</v>
      </c>
      <c r="M5242" s="62">
        <v>12.6</v>
      </c>
      <c r="N5242" s="62">
        <v>0</v>
      </c>
    </row>
    <row r="5243" spans="9:14">
      <c r="I5243" s="62">
        <v>2020</v>
      </c>
      <c r="J5243" s="62">
        <v>10</v>
      </c>
      <c r="K5243" s="62" t="s">
        <v>29</v>
      </c>
      <c r="L5243" s="62" t="s">
        <v>1</v>
      </c>
      <c r="M5243" s="62">
        <v>11.92</v>
      </c>
      <c r="N5243" s="62">
        <v>0</v>
      </c>
    </row>
    <row r="5244" spans="9:14">
      <c r="I5244" s="62">
        <v>2020</v>
      </c>
      <c r="J5244" s="62">
        <v>11</v>
      </c>
      <c r="K5244" s="62" t="s">
        <v>29</v>
      </c>
      <c r="L5244" s="62" t="s">
        <v>1</v>
      </c>
      <c r="M5244" s="62">
        <v>6.100000000000001</v>
      </c>
      <c r="N5244" s="62">
        <v>0</v>
      </c>
    </row>
    <row r="5245" spans="9:14">
      <c r="I5245" s="62">
        <v>2020</v>
      </c>
      <c r="J5245" s="62">
        <v>12</v>
      </c>
      <c r="K5245" s="62" t="s">
        <v>29</v>
      </c>
      <c r="L5245" s="62" t="s">
        <v>1</v>
      </c>
      <c r="M5245" s="62">
        <v>6.100000000000001</v>
      </c>
      <c r="N5245" s="62">
        <v>0</v>
      </c>
    </row>
    <row r="5246" spans="9:14">
      <c r="I5246" s="62">
        <v>2021</v>
      </c>
      <c r="J5246" s="62">
        <v>1</v>
      </c>
      <c r="K5246" s="62" t="s">
        <v>29</v>
      </c>
      <c r="L5246" s="62" t="s">
        <v>1</v>
      </c>
      <c r="M5246" s="62">
        <v>6.100000000000001</v>
      </c>
      <c r="N5246" s="62">
        <v>0</v>
      </c>
    </row>
    <row r="5247" spans="9:14">
      <c r="I5247" s="62">
        <v>2021</v>
      </c>
      <c r="J5247" s="62">
        <v>2</v>
      </c>
      <c r="K5247" s="62" t="s">
        <v>29</v>
      </c>
      <c r="L5247" s="62" t="s">
        <v>1</v>
      </c>
      <c r="M5247" s="62">
        <v>6.100000000000001</v>
      </c>
      <c r="N5247" s="62">
        <v>0</v>
      </c>
    </row>
    <row r="5248" spans="9:14">
      <c r="I5248" s="62">
        <v>2021</v>
      </c>
      <c r="J5248" s="62">
        <v>3</v>
      </c>
      <c r="K5248" s="62" t="s">
        <v>29</v>
      </c>
      <c r="L5248" s="62" t="s">
        <v>1</v>
      </c>
      <c r="M5248" s="62">
        <v>6.100000000000001</v>
      </c>
      <c r="N5248" s="62">
        <v>0</v>
      </c>
    </row>
    <row r="5249" spans="9:14">
      <c r="I5249" s="62">
        <v>2025</v>
      </c>
      <c r="J5249" s="62">
        <v>4</v>
      </c>
      <c r="K5249" s="62" t="s">
        <v>29</v>
      </c>
      <c r="L5249" s="62" t="s">
        <v>1</v>
      </c>
      <c r="M5249" s="62">
        <v>6.305</v>
      </c>
      <c r="N5249" s="62">
        <v>0</v>
      </c>
    </row>
    <row r="5250" spans="9:14">
      <c r="I5250" s="62">
        <v>2025</v>
      </c>
      <c r="J5250" s="62">
        <v>5</v>
      </c>
      <c r="K5250" s="62" t="s">
        <v>29</v>
      </c>
      <c r="L5250" s="62" t="s">
        <v>1</v>
      </c>
      <c r="M5250" s="62">
        <v>6.5</v>
      </c>
      <c r="N5250" s="62">
        <v>0</v>
      </c>
    </row>
    <row r="5251" spans="9:14">
      <c r="I5251" s="62">
        <v>2025</v>
      </c>
      <c r="J5251" s="62">
        <v>6</v>
      </c>
      <c r="K5251" s="62" t="s">
        <v>29</v>
      </c>
      <c r="L5251" s="62" t="s">
        <v>1</v>
      </c>
      <c r="M5251" s="62">
        <v>1.105</v>
      </c>
      <c r="N5251" s="62">
        <v>0</v>
      </c>
    </row>
    <row r="5252" spans="9:14">
      <c r="I5252" s="62">
        <v>2025</v>
      </c>
      <c r="J5252" s="62">
        <v>7</v>
      </c>
      <c r="K5252" s="62" t="s">
        <v>29</v>
      </c>
      <c r="L5252" s="62" t="s">
        <v>1</v>
      </c>
      <c r="M5252" s="62">
        <v>1.56</v>
      </c>
      <c r="N5252" s="62">
        <v>0</v>
      </c>
    </row>
    <row r="5253" spans="9:14">
      <c r="I5253" s="62">
        <v>2019</v>
      </c>
      <c r="J5253" s="62">
        <v>9</v>
      </c>
      <c r="K5253" s="62" t="s">
        <v>29</v>
      </c>
      <c r="L5253" s="62" t="s">
        <v>2</v>
      </c>
      <c r="M5253" s="62">
        <v>2.1</v>
      </c>
      <c r="N5253" s="62">
        <v>0</v>
      </c>
    </row>
    <row r="5254" spans="9:14">
      <c r="I5254" s="62">
        <v>2019</v>
      </c>
      <c r="J5254" s="62">
        <v>10</v>
      </c>
      <c r="K5254" s="62" t="s">
        <v>29</v>
      </c>
      <c r="L5254" s="62" t="s">
        <v>2</v>
      </c>
      <c r="M5254" s="62">
        <v>0.48</v>
      </c>
      <c r="N5254" s="62">
        <v>0</v>
      </c>
    </row>
    <row r="5255" spans="9:14">
      <c r="I5255" s="62">
        <v>2020</v>
      </c>
      <c r="J5255" s="62">
        <v>1</v>
      </c>
      <c r="K5255" s="62" t="s">
        <v>29</v>
      </c>
      <c r="L5255" s="62" t="s">
        <v>2</v>
      </c>
      <c r="M5255" s="62">
        <v>10.36</v>
      </c>
      <c r="N5255" s="62">
        <v>0</v>
      </c>
    </row>
    <row r="5256" spans="9:14">
      <c r="I5256" s="62">
        <v>2020</v>
      </c>
      <c r="J5256" s="62">
        <v>2</v>
      </c>
      <c r="K5256" s="62" t="s">
        <v>29</v>
      </c>
      <c r="L5256" s="62" t="s">
        <v>2</v>
      </c>
      <c r="M5256" s="62">
        <v>19.9</v>
      </c>
      <c r="N5256" s="62">
        <v>0</v>
      </c>
    </row>
    <row r="5257" spans="9:14">
      <c r="I5257" s="62">
        <v>2020</v>
      </c>
      <c r="J5257" s="62">
        <v>3</v>
      </c>
      <c r="K5257" s="62" t="s">
        <v>29</v>
      </c>
      <c r="L5257" s="62" t="s">
        <v>2</v>
      </c>
      <c r="M5257" s="62">
        <v>4.94</v>
      </c>
      <c r="N5257" s="62">
        <v>0</v>
      </c>
    </row>
    <row r="5258" spans="9:14">
      <c r="I5258" s="62">
        <v>2020</v>
      </c>
      <c r="J5258" s="62">
        <v>5</v>
      </c>
      <c r="K5258" s="62" t="s">
        <v>29</v>
      </c>
      <c r="L5258" s="62" t="s">
        <v>2</v>
      </c>
      <c r="M5258" s="62">
        <v>10.925</v>
      </c>
      <c r="N5258" s="62">
        <v>0</v>
      </c>
    </row>
    <row r="5259" spans="9:14">
      <c r="I5259" s="62">
        <v>2020</v>
      </c>
      <c r="J5259" s="62">
        <v>6</v>
      </c>
      <c r="K5259" s="62" t="s">
        <v>29</v>
      </c>
      <c r="L5259" s="62" t="s">
        <v>2</v>
      </c>
      <c r="M5259" s="62">
        <v>47.5</v>
      </c>
      <c r="N5259" s="62">
        <v>0</v>
      </c>
    </row>
    <row r="5260" spans="9:14">
      <c r="I5260" s="62">
        <v>2020</v>
      </c>
      <c r="J5260" s="62">
        <v>7</v>
      </c>
      <c r="K5260" s="62" t="s">
        <v>29</v>
      </c>
      <c r="L5260" s="62" t="s">
        <v>2</v>
      </c>
      <c r="M5260" s="62">
        <v>39.9</v>
      </c>
      <c r="N5260" s="62">
        <v>0</v>
      </c>
    </row>
    <row r="5261" spans="9:14">
      <c r="I5261" s="62">
        <v>2019</v>
      </c>
      <c r="J5261" s="62">
        <v>6</v>
      </c>
      <c r="K5261" s="62" t="s">
        <v>29</v>
      </c>
      <c r="L5261" s="62" t="s">
        <v>3</v>
      </c>
      <c r="M5261" s="62">
        <v>3.445</v>
      </c>
      <c r="N5261" s="62">
        <v>0</v>
      </c>
    </row>
    <row r="5262" spans="9:14">
      <c r="I5262" s="62">
        <v>2020</v>
      </c>
      <c r="J5262" s="62">
        <v>2</v>
      </c>
      <c r="K5262" s="62" t="s">
        <v>29</v>
      </c>
      <c r="L5262" s="62" t="s">
        <v>3</v>
      </c>
      <c r="M5262" s="62">
        <v>4.316</v>
      </c>
      <c r="N5262" s="62">
        <v>0</v>
      </c>
    </row>
    <row r="5263" spans="9:14">
      <c r="I5263" s="62">
        <v>2020</v>
      </c>
      <c r="J5263" s="62">
        <v>3</v>
      </c>
      <c r="K5263" s="62" t="s">
        <v>29</v>
      </c>
      <c r="L5263" s="62" t="s">
        <v>3</v>
      </c>
      <c r="M5263" s="62">
        <v>5.148</v>
      </c>
      <c r="N5263" s="62">
        <v>0</v>
      </c>
    </row>
    <row r="5264" spans="9:14">
      <c r="I5264" s="62">
        <v>2020</v>
      </c>
      <c r="J5264" s="62">
        <v>4</v>
      </c>
      <c r="K5264" s="62" t="s">
        <v>29</v>
      </c>
      <c r="L5264" s="62" t="s">
        <v>3</v>
      </c>
      <c r="M5264" s="62">
        <v>13.747</v>
      </c>
      <c r="N5264" s="62">
        <v>0</v>
      </c>
    </row>
    <row r="5265" spans="9:14">
      <c r="I5265" s="62">
        <v>2020</v>
      </c>
      <c r="J5265" s="62">
        <v>5</v>
      </c>
      <c r="K5265" s="62" t="s">
        <v>29</v>
      </c>
      <c r="L5265" s="62" t="s">
        <v>3</v>
      </c>
      <c r="M5265" s="62">
        <v>13.9</v>
      </c>
      <c r="N5265" s="62">
        <v>0</v>
      </c>
    </row>
    <row r="5266" spans="9:14">
      <c r="I5266" s="62">
        <v>2020</v>
      </c>
      <c r="J5266" s="62">
        <v>6</v>
      </c>
      <c r="K5266" s="62" t="s">
        <v>29</v>
      </c>
      <c r="L5266" s="62" t="s">
        <v>3</v>
      </c>
      <c r="M5266" s="62">
        <v>16.955</v>
      </c>
      <c r="N5266" s="62">
        <v>0</v>
      </c>
    </row>
    <row r="5267" spans="9:14">
      <c r="I5267" s="62">
        <v>2020</v>
      </c>
      <c r="J5267" s="62">
        <v>7</v>
      </c>
      <c r="K5267" s="62" t="s">
        <v>29</v>
      </c>
      <c r="L5267" s="62" t="s">
        <v>3</v>
      </c>
      <c r="M5267" s="62">
        <v>18.398</v>
      </c>
      <c r="N5267" s="62">
        <v>0</v>
      </c>
    </row>
    <row r="5268" spans="9:14">
      <c r="I5268" s="62">
        <v>2020</v>
      </c>
      <c r="J5268" s="62">
        <v>8</v>
      </c>
      <c r="K5268" s="62" t="s">
        <v>29</v>
      </c>
      <c r="L5268" s="62" t="s">
        <v>3</v>
      </c>
      <c r="M5268" s="62">
        <v>12.6</v>
      </c>
      <c r="N5268" s="62">
        <v>0</v>
      </c>
    </row>
    <row r="5269" spans="9:14">
      <c r="I5269" s="62">
        <v>2020</v>
      </c>
      <c r="J5269" s="62">
        <v>9</v>
      </c>
      <c r="K5269" s="62" t="s">
        <v>29</v>
      </c>
      <c r="L5269" s="62" t="s">
        <v>3</v>
      </c>
      <c r="M5269" s="62">
        <v>12.6</v>
      </c>
      <c r="N5269" s="62">
        <v>0</v>
      </c>
    </row>
    <row r="5270" spans="9:14">
      <c r="I5270" s="62">
        <v>2020</v>
      </c>
      <c r="J5270" s="62">
        <v>10</v>
      </c>
      <c r="K5270" s="62" t="s">
        <v>29</v>
      </c>
      <c r="L5270" s="62" t="s">
        <v>3</v>
      </c>
      <c r="M5270" s="62">
        <v>11.92</v>
      </c>
      <c r="N5270" s="62">
        <v>0</v>
      </c>
    </row>
    <row r="5271" spans="9:14">
      <c r="I5271" s="62">
        <v>2020</v>
      </c>
      <c r="J5271" s="62">
        <v>11</v>
      </c>
      <c r="K5271" s="62" t="s">
        <v>29</v>
      </c>
      <c r="L5271" s="62" t="s">
        <v>3</v>
      </c>
      <c r="M5271" s="62">
        <v>6.100000000000001</v>
      </c>
      <c r="N5271" s="62">
        <v>0</v>
      </c>
    </row>
    <row r="5272" spans="9:14">
      <c r="I5272" s="62">
        <v>2020</v>
      </c>
      <c r="J5272" s="62">
        <v>12</v>
      </c>
      <c r="K5272" s="62" t="s">
        <v>29</v>
      </c>
      <c r="L5272" s="62" t="s">
        <v>3</v>
      </c>
      <c r="M5272" s="62">
        <v>6.100000000000001</v>
      </c>
      <c r="N5272" s="62">
        <v>0</v>
      </c>
    </row>
    <row r="5273" spans="9:14">
      <c r="I5273" s="62">
        <v>2021</v>
      </c>
      <c r="J5273" s="62">
        <v>1</v>
      </c>
      <c r="K5273" s="62" t="s">
        <v>29</v>
      </c>
      <c r="L5273" s="62" t="s">
        <v>3</v>
      </c>
      <c r="M5273" s="62">
        <v>6.100000000000001</v>
      </c>
      <c r="N5273" s="62">
        <v>0</v>
      </c>
    </row>
    <row r="5274" spans="9:14">
      <c r="I5274" s="62">
        <v>2021</v>
      </c>
      <c r="J5274" s="62">
        <v>2</v>
      </c>
      <c r="K5274" s="62" t="s">
        <v>29</v>
      </c>
      <c r="L5274" s="62" t="s">
        <v>3</v>
      </c>
      <c r="M5274" s="62">
        <v>6.100000000000001</v>
      </c>
      <c r="N5274" s="62">
        <v>0</v>
      </c>
    </row>
    <row r="5275" spans="9:14">
      <c r="I5275" s="62">
        <v>2021</v>
      </c>
      <c r="J5275" s="62">
        <v>3</v>
      </c>
      <c r="K5275" s="62" t="s">
        <v>29</v>
      </c>
      <c r="L5275" s="62" t="s">
        <v>3</v>
      </c>
      <c r="M5275" s="62">
        <v>6.100000000000001</v>
      </c>
      <c r="N5275" s="62">
        <v>0</v>
      </c>
    </row>
    <row r="5276" spans="9:14">
      <c r="I5276" s="62">
        <v>2025</v>
      </c>
      <c r="J5276" s="62">
        <v>4</v>
      </c>
      <c r="K5276" s="62" t="s">
        <v>29</v>
      </c>
      <c r="L5276" s="62" t="s">
        <v>3</v>
      </c>
      <c r="M5276" s="62">
        <v>6.305</v>
      </c>
      <c r="N5276" s="62">
        <v>0</v>
      </c>
    </row>
    <row r="5277" spans="9:14">
      <c r="I5277" s="62">
        <v>2025</v>
      </c>
      <c r="J5277" s="62">
        <v>5</v>
      </c>
      <c r="K5277" s="62" t="s">
        <v>29</v>
      </c>
      <c r="L5277" s="62" t="s">
        <v>3</v>
      </c>
      <c r="M5277" s="62">
        <v>6.5</v>
      </c>
      <c r="N5277" s="62">
        <v>0</v>
      </c>
    </row>
    <row r="5278" spans="9:14">
      <c r="I5278" s="62">
        <v>2025</v>
      </c>
      <c r="J5278" s="62">
        <v>6</v>
      </c>
      <c r="K5278" s="62" t="s">
        <v>29</v>
      </c>
      <c r="L5278" s="62" t="s">
        <v>3</v>
      </c>
      <c r="M5278" s="62">
        <v>1.105</v>
      </c>
      <c r="N5278" s="62">
        <v>0</v>
      </c>
    </row>
    <row r="5279" spans="9:14">
      <c r="I5279" s="62">
        <v>2025</v>
      </c>
      <c r="J5279" s="62">
        <v>7</v>
      </c>
      <c r="K5279" s="62" t="s">
        <v>29</v>
      </c>
      <c r="L5279" s="62" t="s">
        <v>3</v>
      </c>
      <c r="M5279" s="62">
        <v>1.56</v>
      </c>
      <c r="N5279" s="62">
        <v>0</v>
      </c>
    </row>
    <row r="5280" spans="9:14">
      <c r="I5280" s="62">
        <v>2020</v>
      </c>
      <c r="J5280" s="62">
        <v>3</v>
      </c>
      <c r="K5280" s="62" t="s">
        <v>30</v>
      </c>
      <c r="L5280" s="62" t="s">
        <v>1</v>
      </c>
      <c r="M5280" s="62">
        <v>0.9440000000000001</v>
      </c>
      <c r="N5280" s="62">
        <v>0</v>
      </c>
    </row>
    <row r="5281" spans="9:14">
      <c r="I5281" s="62">
        <v>2020</v>
      </c>
      <c r="J5281" s="62">
        <v>4</v>
      </c>
      <c r="K5281" s="62" t="s">
        <v>30</v>
      </c>
      <c r="L5281" s="62" t="s">
        <v>1</v>
      </c>
      <c r="M5281" s="62">
        <v>3.4</v>
      </c>
      <c r="N5281" s="62">
        <v>0</v>
      </c>
    </row>
    <row r="5282" spans="9:14">
      <c r="I5282" s="62">
        <v>2020</v>
      </c>
      <c r="J5282" s="62">
        <v>5</v>
      </c>
      <c r="K5282" s="62" t="s">
        <v>30</v>
      </c>
      <c r="L5282" s="62" t="s">
        <v>1</v>
      </c>
      <c r="M5282" s="62">
        <v>3.4</v>
      </c>
      <c r="N5282" s="62">
        <v>0</v>
      </c>
    </row>
    <row r="5283" spans="9:14">
      <c r="I5283" s="62">
        <v>2020</v>
      </c>
      <c r="J5283" s="62">
        <v>6</v>
      </c>
      <c r="K5283" s="62" t="s">
        <v>30</v>
      </c>
      <c r="L5283" s="62" t="s">
        <v>1</v>
      </c>
      <c r="M5283" s="62">
        <v>3.4</v>
      </c>
      <c r="N5283" s="62">
        <v>0</v>
      </c>
    </row>
    <row r="5284" spans="9:14">
      <c r="I5284" s="62">
        <v>2020</v>
      </c>
      <c r="J5284" s="62">
        <v>7</v>
      </c>
      <c r="K5284" s="62" t="s">
        <v>30</v>
      </c>
      <c r="L5284" s="62" t="s">
        <v>1</v>
      </c>
      <c r="M5284" s="62">
        <v>3.6736</v>
      </c>
      <c r="N5284" s="62">
        <v>0</v>
      </c>
    </row>
    <row r="5285" spans="9:14">
      <c r="I5285" s="62">
        <v>2020</v>
      </c>
      <c r="J5285" s="62">
        <v>8</v>
      </c>
      <c r="K5285" s="62" t="s">
        <v>30</v>
      </c>
      <c r="L5285" s="62" t="s">
        <v>1</v>
      </c>
      <c r="M5285" s="62">
        <v>3.97</v>
      </c>
      <c r="N5285" s="62">
        <v>0</v>
      </c>
    </row>
    <row r="5286" spans="9:14">
      <c r="I5286" s="62">
        <v>2020</v>
      </c>
      <c r="J5286" s="62">
        <v>9</v>
      </c>
      <c r="K5286" s="62" t="s">
        <v>30</v>
      </c>
      <c r="L5286" s="62" t="s">
        <v>1</v>
      </c>
      <c r="M5286" s="62">
        <v>4.87</v>
      </c>
      <c r="N5286" s="62">
        <v>0</v>
      </c>
    </row>
    <row r="5287" spans="9:14">
      <c r="I5287" s="62">
        <v>2020</v>
      </c>
      <c r="J5287" s="62">
        <v>10</v>
      </c>
      <c r="K5287" s="62" t="s">
        <v>30</v>
      </c>
      <c r="L5287" s="62" t="s">
        <v>1</v>
      </c>
      <c r="M5287" s="62">
        <v>5.4015</v>
      </c>
      <c r="N5287" s="62">
        <v>0</v>
      </c>
    </row>
    <row r="5288" spans="9:14">
      <c r="I5288" s="62">
        <v>2020</v>
      </c>
      <c r="J5288" s="62">
        <v>11</v>
      </c>
      <c r="K5288" s="62" t="s">
        <v>30</v>
      </c>
      <c r="L5288" s="62" t="s">
        <v>1</v>
      </c>
      <c r="M5288" s="62">
        <v>6.359999999999999</v>
      </c>
      <c r="N5288" s="62">
        <v>0</v>
      </c>
    </row>
    <row r="5289" spans="9:14">
      <c r="I5289" s="62">
        <v>2020</v>
      </c>
      <c r="J5289" s="62">
        <v>12</v>
      </c>
      <c r="K5289" s="62" t="s">
        <v>30</v>
      </c>
      <c r="L5289" s="62" t="s">
        <v>1</v>
      </c>
      <c r="M5289" s="62">
        <v>6.359999999999999</v>
      </c>
      <c r="N5289" s="62">
        <v>0</v>
      </c>
    </row>
    <row r="5290" spans="9:14">
      <c r="I5290" s="62">
        <v>2021</v>
      </c>
      <c r="J5290" s="62">
        <v>1</v>
      </c>
      <c r="K5290" s="62" t="s">
        <v>30</v>
      </c>
      <c r="L5290" s="62" t="s">
        <v>1</v>
      </c>
      <c r="M5290" s="62">
        <v>6.359999999999999</v>
      </c>
      <c r="N5290" s="62">
        <v>0</v>
      </c>
    </row>
    <row r="5291" spans="9:14">
      <c r="I5291" s="62">
        <v>2021</v>
      </c>
      <c r="J5291" s="62">
        <v>2</v>
      </c>
      <c r="K5291" s="62" t="s">
        <v>30</v>
      </c>
      <c r="L5291" s="62" t="s">
        <v>1</v>
      </c>
      <c r="M5291" s="62">
        <v>6.5175</v>
      </c>
      <c r="N5291" s="62">
        <v>0</v>
      </c>
    </row>
    <row r="5292" spans="9:14">
      <c r="I5292" s="62">
        <v>2021</v>
      </c>
      <c r="J5292" s="62">
        <v>3</v>
      </c>
      <c r="K5292" s="62" t="s">
        <v>30</v>
      </c>
      <c r="L5292" s="62" t="s">
        <v>1</v>
      </c>
      <c r="M5292" s="62">
        <v>4.779199999999999</v>
      </c>
      <c r="N5292" s="62">
        <v>0</v>
      </c>
    </row>
    <row r="5293" spans="9:14">
      <c r="I5293" s="62">
        <v>2021</v>
      </c>
      <c r="J5293" s="62">
        <v>4</v>
      </c>
      <c r="K5293" s="62" t="s">
        <v>30</v>
      </c>
      <c r="L5293" s="62" t="s">
        <v>1</v>
      </c>
      <c r="M5293" s="62">
        <v>2.499</v>
      </c>
      <c r="N5293" s="62">
        <v>0</v>
      </c>
    </row>
    <row r="5294" spans="9:14">
      <c r="I5294" s="62">
        <v>2021</v>
      </c>
      <c r="J5294" s="62">
        <v>5</v>
      </c>
      <c r="K5294" s="62" t="s">
        <v>30</v>
      </c>
      <c r="L5294" s="62" t="s">
        <v>1</v>
      </c>
      <c r="M5294" s="62">
        <v>0.1817</v>
      </c>
      <c r="N5294" s="62">
        <v>0</v>
      </c>
    </row>
    <row r="5295" spans="9:14">
      <c r="I5295" s="62">
        <v>2021</v>
      </c>
      <c r="J5295" s="62">
        <v>8</v>
      </c>
      <c r="K5295" s="62" t="s">
        <v>30</v>
      </c>
      <c r="L5295" s="62" t="s">
        <v>1</v>
      </c>
      <c r="M5295" s="62">
        <v>0.42</v>
      </c>
      <c r="N5295" s="62">
        <v>0</v>
      </c>
    </row>
    <row r="5296" spans="9:14">
      <c r="I5296" s="62">
        <v>2021</v>
      </c>
      <c r="J5296" s="62">
        <v>9</v>
      </c>
      <c r="K5296" s="62" t="s">
        <v>30</v>
      </c>
      <c r="L5296" s="62" t="s">
        <v>1</v>
      </c>
      <c r="M5296" s="62">
        <v>2.1</v>
      </c>
      <c r="N5296" s="62">
        <v>0</v>
      </c>
    </row>
    <row r="5297" spans="9:14">
      <c r="I5297" s="62">
        <v>2022</v>
      </c>
      <c r="J5297" s="62">
        <v>5</v>
      </c>
      <c r="K5297" s="62" t="s">
        <v>30</v>
      </c>
      <c r="L5297" s="62" t="s">
        <v>1</v>
      </c>
      <c r="M5297" s="62">
        <v>2.03</v>
      </c>
      <c r="N5297" s="62">
        <v>0</v>
      </c>
    </row>
    <row r="5298" spans="9:14">
      <c r="I5298" s="62">
        <v>2022</v>
      </c>
      <c r="J5298" s="62">
        <v>12</v>
      </c>
      <c r="K5298" s="62" t="s">
        <v>30</v>
      </c>
      <c r="L5298" s="62" t="s">
        <v>1</v>
      </c>
      <c r="M5298" s="62">
        <v>0.171</v>
      </c>
      <c r="N5298" s="62">
        <v>0</v>
      </c>
    </row>
    <row r="5299" spans="9:14">
      <c r="I5299" s="62">
        <v>2023</v>
      </c>
      <c r="J5299" s="62">
        <v>6</v>
      </c>
      <c r="K5299" s="62" t="s">
        <v>30</v>
      </c>
      <c r="L5299" s="62" t="s">
        <v>1</v>
      </c>
      <c r="M5299" s="62">
        <v>2.268</v>
      </c>
      <c r="N5299" s="62">
        <v>0</v>
      </c>
    </row>
    <row r="5300" spans="9:14">
      <c r="I5300" s="62">
        <v>2023</v>
      </c>
      <c r="J5300" s="62">
        <v>9</v>
      </c>
      <c r="K5300" s="62" t="s">
        <v>30</v>
      </c>
      <c r="L5300" s="62" t="s">
        <v>1</v>
      </c>
      <c r="M5300" s="62">
        <v>2.8</v>
      </c>
      <c r="N5300" s="62">
        <v>0</v>
      </c>
    </row>
    <row r="5301" spans="9:14">
      <c r="I5301" s="62">
        <v>2023</v>
      </c>
      <c r="J5301" s="62">
        <v>10</v>
      </c>
      <c r="K5301" s="62" t="s">
        <v>30</v>
      </c>
      <c r="L5301" s="62" t="s">
        <v>1</v>
      </c>
      <c r="M5301" s="62">
        <v>2.94</v>
      </c>
      <c r="N5301" s="62">
        <v>0</v>
      </c>
    </row>
    <row r="5302" spans="9:14">
      <c r="I5302" s="62">
        <v>2024</v>
      </c>
      <c r="J5302" s="62">
        <v>9</v>
      </c>
      <c r="K5302" s="62" t="s">
        <v>30</v>
      </c>
      <c r="L5302" s="62" t="s">
        <v>1</v>
      </c>
      <c r="M5302" s="62">
        <v>0.35</v>
      </c>
      <c r="N5302" s="62">
        <v>0</v>
      </c>
    </row>
    <row r="5303" spans="9:14">
      <c r="I5303" s="62">
        <v>2024</v>
      </c>
      <c r="J5303" s="62">
        <v>10</v>
      </c>
      <c r="K5303" s="62" t="s">
        <v>30</v>
      </c>
      <c r="L5303" s="62" t="s">
        <v>1</v>
      </c>
      <c r="M5303" s="62">
        <v>1.17</v>
      </c>
      <c r="N5303" s="62">
        <v>0</v>
      </c>
    </row>
    <row r="5304" spans="9:14">
      <c r="I5304" s="62">
        <v>2024</v>
      </c>
      <c r="J5304" s="62">
        <v>11</v>
      </c>
      <c r="K5304" s="62" t="s">
        <v>30</v>
      </c>
      <c r="L5304" s="62" t="s">
        <v>1</v>
      </c>
      <c r="M5304" s="62">
        <v>1.8</v>
      </c>
      <c r="N5304" s="62">
        <v>0</v>
      </c>
    </row>
    <row r="5305" spans="9:14">
      <c r="I5305" s="62">
        <v>2024</v>
      </c>
      <c r="J5305" s="62">
        <v>12</v>
      </c>
      <c r="K5305" s="62" t="s">
        <v>30</v>
      </c>
      <c r="L5305" s="62" t="s">
        <v>1</v>
      </c>
      <c r="M5305" s="62">
        <v>0.054</v>
      </c>
      <c r="N5305" s="62">
        <v>0</v>
      </c>
    </row>
    <row r="5306" spans="9:14">
      <c r="I5306" s="62">
        <v>2026</v>
      </c>
      <c r="J5306" s="62">
        <v>9</v>
      </c>
      <c r="K5306" s="62" t="s">
        <v>30</v>
      </c>
      <c r="L5306" s="62" t="s">
        <v>1</v>
      </c>
      <c r="M5306" s="62">
        <v>0.36</v>
      </c>
      <c r="N5306" s="62">
        <v>0</v>
      </c>
    </row>
    <row r="5307" spans="9:14">
      <c r="I5307" s="62">
        <v>2026</v>
      </c>
      <c r="J5307" s="62">
        <v>10</v>
      </c>
      <c r="K5307" s="62" t="s">
        <v>30</v>
      </c>
      <c r="L5307" s="62" t="s">
        <v>1</v>
      </c>
      <c r="M5307" s="62">
        <v>3.492</v>
      </c>
      <c r="N5307" s="62">
        <v>0</v>
      </c>
    </row>
    <row r="5308" spans="9:14">
      <c r="I5308" s="62">
        <v>2027</v>
      </c>
      <c r="J5308" s="62">
        <v>1</v>
      </c>
      <c r="K5308" s="62" t="s">
        <v>30</v>
      </c>
      <c r="L5308" s="62" t="s">
        <v>1</v>
      </c>
      <c r="M5308" s="62">
        <v>3.645</v>
      </c>
      <c r="N5308" s="62">
        <v>0</v>
      </c>
    </row>
    <row r="5309" spans="9:14">
      <c r="I5309" s="62">
        <v>2027</v>
      </c>
      <c r="J5309" s="62">
        <v>2</v>
      </c>
      <c r="K5309" s="62" t="s">
        <v>30</v>
      </c>
      <c r="L5309" s="62" t="s">
        <v>1</v>
      </c>
      <c r="M5309" s="62">
        <v>3.555</v>
      </c>
      <c r="N5309" s="62">
        <v>0</v>
      </c>
    </row>
    <row r="5310" spans="9:14">
      <c r="I5310" s="62">
        <v>2023</v>
      </c>
      <c r="J5310" s="62">
        <v>6</v>
      </c>
      <c r="K5310" s="62" t="s">
        <v>30</v>
      </c>
      <c r="L5310" s="62" t="s">
        <v>2</v>
      </c>
      <c r="M5310" s="62">
        <v>2.268</v>
      </c>
      <c r="N5310" s="62">
        <v>0</v>
      </c>
    </row>
    <row r="5311" spans="9:14">
      <c r="I5311" s="62">
        <v>2023</v>
      </c>
      <c r="J5311" s="62">
        <v>9</v>
      </c>
      <c r="K5311" s="62" t="s">
        <v>30</v>
      </c>
      <c r="L5311" s="62" t="s">
        <v>2</v>
      </c>
      <c r="M5311" s="62">
        <v>2.8</v>
      </c>
      <c r="N5311" s="62">
        <v>0</v>
      </c>
    </row>
    <row r="5312" spans="9:14">
      <c r="I5312" s="62">
        <v>2023</v>
      </c>
      <c r="J5312" s="62">
        <v>10</v>
      </c>
      <c r="K5312" s="62" t="s">
        <v>30</v>
      </c>
      <c r="L5312" s="62" t="s">
        <v>2</v>
      </c>
      <c r="M5312" s="62">
        <v>2.94</v>
      </c>
      <c r="N5312" s="62">
        <v>0</v>
      </c>
    </row>
    <row r="5313" spans="9:14">
      <c r="I5313" s="62">
        <v>2024</v>
      </c>
      <c r="J5313" s="62">
        <v>10</v>
      </c>
      <c r="K5313" s="62" t="s">
        <v>30</v>
      </c>
      <c r="L5313" s="62" t="s">
        <v>2</v>
      </c>
      <c r="M5313" s="62">
        <v>1.17</v>
      </c>
      <c r="N5313" s="62">
        <v>0</v>
      </c>
    </row>
    <row r="5314" spans="9:14">
      <c r="I5314" s="62">
        <v>2024</v>
      </c>
      <c r="J5314" s="62">
        <v>11</v>
      </c>
      <c r="K5314" s="62" t="s">
        <v>30</v>
      </c>
      <c r="L5314" s="62" t="s">
        <v>2</v>
      </c>
      <c r="M5314" s="62">
        <v>1.8</v>
      </c>
      <c r="N5314" s="62">
        <v>0</v>
      </c>
    </row>
    <row r="5315" spans="9:14">
      <c r="I5315" s="62">
        <v>2024</v>
      </c>
      <c r="J5315" s="62">
        <v>12</v>
      </c>
      <c r="K5315" s="62" t="s">
        <v>30</v>
      </c>
      <c r="L5315" s="62" t="s">
        <v>2</v>
      </c>
      <c r="M5315" s="62">
        <v>0.054</v>
      </c>
      <c r="N5315" s="62">
        <v>0</v>
      </c>
    </row>
    <row r="5316" spans="9:14">
      <c r="I5316" s="62">
        <v>2026</v>
      </c>
      <c r="J5316" s="62">
        <v>9</v>
      </c>
      <c r="K5316" s="62" t="s">
        <v>30</v>
      </c>
      <c r="L5316" s="62" t="s">
        <v>2</v>
      </c>
      <c r="M5316" s="62">
        <v>0.36</v>
      </c>
      <c r="N5316" s="62">
        <v>0</v>
      </c>
    </row>
    <row r="5317" spans="9:14">
      <c r="I5317" s="62">
        <v>2026</v>
      </c>
      <c r="J5317" s="62">
        <v>10</v>
      </c>
      <c r="K5317" s="62" t="s">
        <v>30</v>
      </c>
      <c r="L5317" s="62" t="s">
        <v>2</v>
      </c>
      <c r="M5317" s="62">
        <v>3.492</v>
      </c>
      <c r="N5317" s="62">
        <v>0</v>
      </c>
    </row>
    <row r="5318" spans="9:14">
      <c r="I5318" s="62">
        <v>2027</v>
      </c>
      <c r="J5318" s="62">
        <v>1</v>
      </c>
      <c r="K5318" s="62" t="s">
        <v>30</v>
      </c>
      <c r="L5318" s="62" t="s">
        <v>2</v>
      </c>
      <c r="M5318" s="62">
        <v>3.645</v>
      </c>
      <c r="N5318" s="62">
        <v>0</v>
      </c>
    </row>
    <row r="5319" spans="9:14">
      <c r="I5319" s="62">
        <v>2027</v>
      </c>
      <c r="J5319" s="62">
        <v>2</v>
      </c>
      <c r="K5319" s="62" t="s">
        <v>30</v>
      </c>
      <c r="L5319" s="62" t="s">
        <v>2</v>
      </c>
      <c r="M5319" s="62">
        <v>3.555</v>
      </c>
      <c r="N5319" s="62">
        <v>0</v>
      </c>
    </row>
    <row r="5320" spans="9:14">
      <c r="I5320" s="62">
        <v>2020</v>
      </c>
      <c r="J5320" s="62">
        <v>3</v>
      </c>
      <c r="K5320" s="62" t="s">
        <v>30</v>
      </c>
      <c r="L5320" s="62" t="s">
        <v>3</v>
      </c>
      <c r="M5320" s="62">
        <v>0.9440000000000001</v>
      </c>
      <c r="N5320" s="62">
        <v>0</v>
      </c>
    </row>
    <row r="5321" spans="9:14">
      <c r="I5321" s="62">
        <v>2020</v>
      </c>
      <c r="J5321" s="62">
        <v>4</v>
      </c>
      <c r="K5321" s="62" t="s">
        <v>30</v>
      </c>
      <c r="L5321" s="62" t="s">
        <v>3</v>
      </c>
      <c r="M5321" s="62">
        <v>3.4</v>
      </c>
      <c r="N5321" s="62">
        <v>0</v>
      </c>
    </row>
    <row r="5322" spans="9:14">
      <c r="I5322" s="62">
        <v>2020</v>
      </c>
      <c r="J5322" s="62">
        <v>5</v>
      </c>
      <c r="K5322" s="62" t="s">
        <v>30</v>
      </c>
      <c r="L5322" s="62" t="s">
        <v>3</v>
      </c>
      <c r="M5322" s="62">
        <v>3.4</v>
      </c>
      <c r="N5322" s="62">
        <v>0</v>
      </c>
    </row>
    <row r="5323" spans="9:14">
      <c r="I5323" s="62">
        <v>2020</v>
      </c>
      <c r="J5323" s="62">
        <v>6</v>
      </c>
      <c r="K5323" s="62" t="s">
        <v>30</v>
      </c>
      <c r="L5323" s="62" t="s">
        <v>3</v>
      </c>
      <c r="M5323" s="62">
        <v>3.4</v>
      </c>
      <c r="N5323" s="62">
        <v>0</v>
      </c>
    </row>
    <row r="5324" spans="9:14">
      <c r="I5324" s="62">
        <v>2020</v>
      </c>
      <c r="J5324" s="62">
        <v>7</v>
      </c>
      <c r="K5324" s="62" t="s">
        <v>30</v>
      </c>
      <c r="L5324" s="62" t="s">
        <v>3</v>
      </c>
      <c r="M5324" s="62">
        <v>3.6736</v>
      </c>
      <c r="N5324" s="62">
        <v>0</v>
      </c>
    </row>
    <row r="5325" spans="9:14">
      <c r="I5325" s="62">
        <v>2020</v>
      </c>
      <c r="J5325" s="62">
        <v>8</v>
      </c>
      <c r="K5325" s="62" t="s">
        <v>30</v>
      </c>
      <c r="L5325" s="62" t="s">
        <v>3</v>
      </c>
      <c r="M5325" s="62">
        <v>3.97</v>
      </c>
      <c r="N5325" s="62">
        <v>0</v>
      </c>
    </row>
    <row r="5326" spans="9:14">
      <c r="I5326" s="62">
        <v>2020</v>
      </c>
      <c r="J5326" s="62">
        <v>9</v>
      </c>
      <c r="K5326" s="62" t="s">
        <v>30</v>
      </c>
      <c r="L5326" s="62" t="s">
        <v>3</v>
      </c>
      <c r="M5326" s="62">
        <v>4.87</v>
      </c>
      <c r="N5326" s="62">
        <v>0</v>
      </c>
    </row>
    <row r="5327" spans="9:14">
      <c r="I5327" s="62">
        <v>2020</v>
      </c>
      <c r="J5327" s="62">
        <v>10</v>
      </c>
      <c r="K5327" s="62" t="s">
        <v>30</v>
      </c>
      <c r="L5327" s="62" t="s">
        <v>3</v>
      </c>
      <c r="M5327" s="62">
        <v>5.4015</v>
      </c>
      <c r="N5327" s="62">
        <v>0</v>
      </c>
    </row>
    <row r="5328" spans="9:14">
      <c r="I5328" s="62">
        <v>2020</v>
      </c>
      <c r="J5328" s="62">
        <v>11</v>
      </c>
      <c r="K5328" s="62" t="s">
        <v>30</v>
      </c>
      <c r="L5328" s="62" t="s">
        <v>3</v>
      </c>
      <c r="M5328" s="62">
        <v>6.359999999999999</v>
      </c>
      <c r="N5328" s="62">
        <v>0</v>
      </c>
    </row>
    <row r="5329" spans="9:14">
      <c r="I5329" s="62">
        <v>2020</v>
      </c>
      <c r="J5329" s="62">
        <v>12</v>
      </c>
      <c r="K5329" s="62" t="s">
        <v>30</v>
      </c>
      <c r="L5329" s="62" t="s">
        <v>3</v>
      </c>
      <c r="M5329" s="62">
        <v>6.359999999999999</v>
      </c>
      <c r="N5329" s="62">
        <v>0</v>
      </c>
    </row>
    <row r="5330" spans="9:14">
      <c r="I5330" s="62">
        <v>2021</v>
      </c>
      <c r="J5330" s="62">
        <v>1</v>
      </c>
      <c r="K5330" s="62" t="s">
        <v>30</v>
      </c>
      <c r="L5330" s="62" t="s">
        <v>3</v>
      </c>
      <c r="M5330" s="62">
        <v>6.359999999999999</v>
      </c>
      <c r="N5330" s="62">
        <v>0</v>
      </c>
    </row>
    <row r="5331" spans="9:14">
      <c r="I5331" s="62">
        <v>2021</v>
      </c>
      <c r="J5331" s="62">
        <v>2</v>
      </c>
      <c r="K5331" s="62" t="s">
        <v>30</v>
      </c>
      <c r="L5331" s="62" t="s">
        <v>3</v>
      </c>
      <c r="M5331" s="62">
        <v>6.5175</v>
      </c>
      <c r="N5331" s="62">
        <v>0</v>
      </c>
    </row>
    <row r="5332" spans="9:14">
      <c r="I5332" s="62">
        <v>2021</v>
      </c>
      <c r="J5332" s="62">
        <v>3</v>
      </c>
      <c r="K5332" s="62" t="s">
        <v>30</v>
      </c>
      <c r="L5332" s="62" t="s">
        <v>3</v>
      </c>
      <c r="M5332" s="62">
        <v>4.779199999999999</v>
      </c>
      <c r="N5332" s="62">
        <v>0</v>
      </c>
    </row>
    <row r="5333" spans="9:14">
      <c r="I5333" s="62">
        <v>2021</v>
      </c>
      <c r="J5333" s="62">
        <v>4</v>
      </c>
      <c r="K5333" s="62" t="s">
        <v>30</v>
      </c>
      <c r="L5333" s="62" t="s">
        <v>3</v>
      </c>
      <c r="M5333" s="62">
        <v>2.499</v>
      </c>
      <c r="N5333" s="62">
        <v>0</v>
      </c>
    </row>
    <row r="5334" spans="9:14">
      <c r="I5334" s="62">
        <v>2021</v>
      </c>
      <c r="J5334" s="62">
        <v>5</v>
      </c>
      <c r="K5334" s="62" t="s">
        <v>30</v>
      </c>
      <c r="L5334" s="62" t="s">
        <v>3</v>
      </c>
      <c r="M5334" s="62">
        <v>0.1817</v>
      </c>
      <c r="N5334" s="62">
        <v>0</v>
      </c>
    </row>
    <row r="5335" spans="9:14">
      <c r="I5335" s="62">
        <v>2021</v>
      </c>
      <c r="J5335" s="62">
        <v>8</v>
      </c>
      <c r="K5335" s="62" t="s">
        <v>30</v>
      </c>
      <c r="L5335" s="62" t="s">
        <v>3</v>
      </c>
      <c r="M5335" s="62">
        <v>0.42</v>
      </c>
      <c r="N5335" s="62">
        <v>0</v>
      </c>
    </row>
    <row r="5336" spans="9:14">
      <c r="I5336" s="62">
        <v>2021</v>
      </c>
      <c r="J5336" s="62">
        <v>9</v>
      </c>
      <c r="K5336" s="62" t="s">
        <v>30</v>
      </c>
      <c r="L5336" s="62" t="s">
        <v>3</v>
      </c>
      <c r="M5336" s="62">
        <v>2.1</v>
      </c>
      <c r="N5336" s="62">
        <v>0</v>
      </c>
    </row>
    <row r="5337" spans="9:14">
      <c r="I5337" s="62">
        <v>2022</v>
      </c>
      <c r="J5337" s="62">
        <v>5</v>
      </c>
      <c r="K5337" s="62" t="s">
        <v>30</v>
      </c>
      <c r="L5337" s="62" t="s">
        <v>3</v>
      </c>
      <c r="M5337" s="62">
        <v>2.03</v>
      </c>
      <c r="N5337" s="62">
        <v>0</v>
      </c>
    </row>
    <row r="5338" spans="9:14">
      <c r="I5338" s="62">
        <v>2022</v>
      </c>
      <c r="J5338" s="62">
        <v>12</v>
      </c>
      <c r="K5338" s="62" t="s">
        <v>30</v>
      </c>
      <c r="L5338" s="62" t="s">
        <v>3</v>
      </c>
      <c r="M5338" s="62">
        <v>0.171</v>
      </c>
      <c r="N5338" s="62">
        <v>0</v>
      </c>
    </row>
    <row r="5339" spans="9:14">
      <c r="I5339" s="62">
        <v>2024</v>
      </c>
      <c r="J5339" s="62">
        <v>9</v>
      </c>
      <c r="K5339" s="62" t="s">
        <v>30</v>
      </c>
      <c r="L5339" s="62" t="s">
        <v>3</v>
      </c>
      <c r="M5339" s="62">
        <v>0.35</v>
      </c>
      <c r="N5339" s="62">
        <v>0</v>
      </c>
    </row>
    <row r="5340" spans="9:14">
      <c r="I5340" s="62">
        <v>2016</v>
      </c>
      <c r="J5340" s="62">
        <v>7</v>
      </c>
      <c r="K5340" s="62" t="s">
        <v>31</v>
      </c>
      <c r="L5340" s="62" t="s">
        <v>1</v>
      </c>
      <c r="M5340" s="62">
        <v>9.315</v>
      </c>
      <c r="N5340" s="62">
        <v>1.863</v>
      </c>
    </row>
    <row r="5341" spans="9:14">
      <c r="I5341" s="62">
        <v>2016</v>
      </c>
      <c r="J5341" s="62">
        <v>8</v>
      </c>
      <c r="K5341" s="62" t="s">
        <v>31</v>
      </c>
      <c r="L5341" s="62" t="s">
        <v>1</v>
      </c>
      <c r="M5341" s="62">
        <v>4.025</v>
      </c>
      <c r="N5341" s="62">
        <v>0.8050000000000002</v>
      </c>
    </row>
    <row r="5342" spans="9:14">
      <c r="I5342" s="62">
        <v>2018</v>
      </c>
      <c r="J5342" s="62">
        <v>8</v>
      </c>
      <c r="K5342" s="62" t="s">
        <v>31</v>
      </c>
      <c r="L5342" s="62" t="s">
        <v>1</v>
      </c>
      <c r="M5342" s="62">
        <v>1.15</v>
      </c>
      <c r="N5342" s="62">
        <v>0.23</v>
      </c>
    </row>
    <row r="5343" spans="9:14">
      <c r="I5343" s="62">
        <v>2016</v>
      </c>
      <c r="J5343" s="62">
        <v>7</v>
      </c>
      <c r="K5343" s="62" t="s">
        <v>31</v>
      </c>
      <c r="L5343" s="62" t="s">
        <v>2</v>
      </c>
      <c r="M5343" s="62">
        <v>9.315</v>
      </c>
      <c r="N5343" s="62">
        <v>1.863</v>
      </c>
    </row>
    <row r="5344" spans="9:14">
      <c r="I5344" s="62">
        <v>2016</v>
      </c>
      <c r="J5344" s="62">
        <v>8</v>
      </c>
      <c r="K5344" s="62" t="s">
        <v>31</v>
      </c>
      <c r="L5344" s="62" t="s">
        <v>2</v>
      </c>
      <c r="M5344" s="62">
        <v>4.025</v>
      </c>
      <c r="N5344" s="62">
        <v>0.8050000000000002</v>
      </c>
    </row>
    <row r="5345" spans="9:14">
      <c r="I5345" s="62">
        <v>2018</v>
      </c>
      <c r="J5345" s="62">
        <v>8</v>
      </c>
      <c r="K5345" s="62" t="s">
        <v>31</v>
      </c>
      <c r="L5345" s="62" t="s">
        <v>3</v>
      </c>
      <c r="M5345" s="62">
        <v>1.15</v>
      </c>
      <c r="N5345" s="62">
        <v>0.23</v>
      </c>
    </row>
    <row r="5346" spans="9:14">
      <c r="I5346" s="62">
        <v>2014</v>
      </c>
      <c r="J5346" s="62">
        <v>1</v>
      </c>
      <c r="K5346" s="62" t="s">
        <v>32</v>
      </c>
      <c r="L5346" s="62" t="s">
        <v>1</v>
      </c>
      <c r="M5346" s="62">
        <v>0.16</v>
      </c>
      <c r="N5346" s="62">
        <v>0</v>
      </c>
    </row>
    <row r="5347" spans="9:14">
      <c r="I5347" s="62">
        <v>2014</v>
      </c>
      <c r="J5347" s="62">
        <v>2</v>
      </c>
      <c r="K5347" s="62" t="s">
        <v>32</v>
      </c>
      <c r="L5347" s="62" t="s">
        <v>1</v>
      </c>
      <c r="M5347" s="62">
        <v>1</v>
      </c>
      <c r="N5347" s="62">
        <v>0</v>
      </c>
    </row>
    <row r="5348" spans="9:14">
      <c r="I5348" s="62">
        <v>2014</v>
      </c>
      <c r="J5348" s="62">
        <v>3</v>
      </c>
      <c r="K5348" s="62" t="s">
        <v>32</v>
      </c>
      <c r="L5348" s="62" t="s">
        <v>1</v>
      </c>
      <c r="M5348" s="62">
        <v>0.32</v>
      </c>
      <c r="N5348" s="62">
        <v>0</v>
      </c>
    </row>
    <row r="5349" spans="9:14">
      <c r="I5349" s="62">
        <v>2014</v>
      </c>
      <c r="J5349" s="62">
        <v>7</v>
      </c>
      <c r="K5349" s="62" t="s">
        <v>32</v>
      </c>
      <c r="L5349" s="62" t="s">
        <v>1</v>
      </c>
      <c r="M5349" s="62">
        <v>0.19</v>
      </c>
      <c r="N5349" s="62">
        <v>0</v>
      </c>
    </row>
    <row r="5350" spans="9:14">
      <c r="I5350" s="62">
        <v>2015</v>
      </c>
      <c r="J5350" s="62">
        <v>8</v>
      </c>
      <c r="K5350" s="62" t="s">
        <v>32</v>
      </c>
      <c r="L5350" s="62" t="s">
        <v>1</v>
      </c>
      <c r="M5350" s="62">
        <v>0.16</v>
      </c>
      <c r="N5350" s="62">
        <v>0</v>
      </c>
    </row>
    <row r="5351" spans="9:14">
      <c r="I5351" s="62">
        <v>2016</v>
      </c>
      <c r="J5351" s="62">
        <v>4</v>
      </c>
      <c r="K5351" s="62" t="s">
        <v>32</v>
      </c>
      <c r="L5351" s="62" t="s">
        <v>1</v>
      </c>
      <c r="M5351" s="62">
        <v>1.036</v>
      </c>
      <c r="N5351" s="62">
        <v>0</v>
      </c>
    </row>
    <row r="5352" spans="9:14">
      <c r="I5352" s="62">
        <v>2016</v>
      </c>
      <c r="J5352" s="62">
        <v>5</v>
      </c>
      <c r="K5352" s="62" t="s">
        <v>32</v>
      </c>
      <c r="L5352" s="62" t="s">
        <v>1</v>
      </c>
      <c r="M5352" s="62">
        <v>2.268</v>
      </c>
      <c r="N5352" s="62">
        <v>0</v>
      </c>
    </row>
    <row r="5353" spans="9:14">
      <c r="I5353" s="62">
        <v>2016</v>
      </c>
      <c r="J5353" s="62">
        <v>7</v>
      </c>
      <c r="K5353" s="62" t="s">
        <v>32</v>
      </c>
      <c r="L5353" s="62" t="s">
        <v>1</v>
      </c>
      <c r="M5353" s="62">
        <v>0.06</v>
      </c>
      <c r="N5353" s="62">
        <v>0</v>
      </c>
    </row>
    <row r="5354" spans="9:14">
      <c r="I5354" s="62">
        <v>2016</v>
      </c>
      <c r="J5354" s="62">
        <v>11</v>
      </c>
      <c r="K5354" s="62" t="s">
        <v>32</v>
      </c>
      <c r="L5354" s="62" t="s">
        <v>1</v>
      </c>
      <c r="M5354" s="62">
        <v>0.13</v>
      </c>
      <c r="N5354" s="62">
        <v>0</v>
      </c>
    </row>
    <row r="5355" spans="9:14">
      <c r="I5355" s="62">
        <v>2017</v>
      </c>
      <c r="J5355" s="62">
        <v>8</v>
      </c>
      <c r="K5355" s="62" t="s">
        <v>32</v>
      </c>
      <c r="L5355" s="62" t="s">
        <v>1</v>
      </c>
      <c r="M5355" s="62">
        <v>0.16</v>
      </c>
      <c r="N5355" s="62">
        <v>0</v>
      </c>
    </row>
    <row r="5356" spans="9:14">
      <c r="I5356" s="62">
        <v>2017</v>
      </c>
      <c r="J5356" s="62">
        <v>9</v>
      </c>
      <c r="K5356" s="62" t="s">
        <v>32</v>
      </c>
      <c r="L5356" s="62" t="s">
        <v>1</v>
      </c>
      <c r="M5356" s="62">
        <v>0.43</v>
      </c>
      <c r="N5356" s="62">
        <v>0</v>
      </c>
    </row>
    <row r="5357" spans="9:14">
      <c r="I5357" s="62">
        <v>2019</v>
      </c>
      <c r="J5357" s="62">
        <v>5</v>
      </c>
      <c r="K5357" s="62" t="s">
        <v>32</v>
      </c>
      <c r="L5357" s="62" t="s">
        <v>1</v>
      </c>
      <c r="M5357" s="62">
        <v>0.18</v>
      </c>
      <c r="N5357" s="62">
        <v>0</v>
      </c>
    </row>
    <row r="5358" spans="9:14">
      <c r="I5358" s="62">
        <v>2014</v>
      </c>
      <c r="J5358" s="62">
        <v>1</v>
      </c>
      <c r="K5358" s="62" t="s">
        <v>32</v>
      </c>
      <c r="L5358" s="62" t="s">
        <v>2</v>
      </c>
      <c r="M5358" s="62">
        <v>0.16</v>
      </c>
      <c r="N5358" s="62">
        <v>0</v>
      </c>
    </row>
    <row r="5359" spans="9:14">
      <c r="I5359" s="62">
        <v>2014</v>
      </c>
      <c r="J5359" s="62">
        <v>2</v>
      </c>
      <c r="K5359" s="62" t="s">
        <v>32</v>
      </c>
      <c r="L5359" s="62" t="s">
        <v>2</v>
      </c>
      <c r="M5359" s="62">
        <v>1</v>
      </c>
      <c r="N5359" s="62">
        <v>0</v>
      </c>
    </row>
    <row r="5360" spans="9:14">
      <c r="I5360" s="62">
        <v>2014</v>
      </c>
      <c r="J5360" s="62">
        <v>3</v>
      </c>
      <c r="K5360" s="62" t="s">
        <v>32</v>
      </c>
      <c r="L5360" s="62" t="s">
        <v>2</v>
      </c>
      <c r="M5360" s="62">
        <v>0.32</v>
      </c>
      <c r="N5360" s="62">
        <v>0</v>
      </c>
    </row>
    <row r="5361" spans="9:14">
      <c r="I5361" s="62">
        <v>2016</v>
      </c>
      <c r="J5361" s="62">
        <v>4</v>
      </c>
      <c r="K5361" s="62" t="s">
        <v>32</v>
      </c>
      <c r="L5361" s="62" t="s">
        <v>2</v>
      </c>
      <c r="M5361" s="62">
        <v>1.036</v>
      </c>
      <c r="N5361" s="62">
        <v>0</v>
      </c>
    </row>
    <row r="5362" spans="9:14">
      <c r="I5362" s="62">
        <v>2016</v>
      </c>
      <c r="J5362" s="62">
        <v>5</v>
      </c>
      <c r="K5362" s="62" t="s">
        <v>32</v>
      </c>
      <c r="L5362" s="62" t="s">
        <v>2</v>
      </c>
      <c r="M5362" s="62">
        <v>2.268</v>
      </c>
      <c r="N5362" s="62">
        <v>0</v>
      </c>
    </row>
    <row r="5363" spans="9:14">
      <c r="I5363" s="62">
        <v>2014</v>
      </c>
      <c r="J5363" s="62">
        <v>7</v>
      </c>
      <c r="K5363" s="62" t="s">
        <v>32</v>
      </c>
      <c r="L5363" s="62" t="s">
        <v>3</v>
      </c>
      <c r="M5363" s="62">
        <v>0.19</v>
      </c>
      <c r="N5363" s="62">
        <v>0</v>
      </c>
    </row>
    <row r="5364" spans="9:14">
      <c r="I5364" s="62">
        <v>2015</v>
      </c>
      <c r="J5364" s="62">
        <v>8</v>
      </c>
      <c r="K5364" s="62" t="s">
        <v>32</v>
      </c>
      <c r="L5364" s="62" t="s">
        <v>3</v>
      </c>
      <c r="M5364" s="62">
        <v>0.16</v>
      </c>
      <c r="N5364" s="62">
        <v>0</v>
      </c>
    </row>
    <row r="5365" spans="9:14">
      <c r="I5365" s="62">
        <v>2016</v>
      </c>
      <c r="J5365" s="62">
        <v>7</v>
      </c>
      <c r="K5365" s="62" t="s">
        <v>32</v>
      </c>
      <c r="L5365" s="62" t="s">
        <v>3</v>
      </c>
      <c r="M5365" s="62">
        <v>0.06</v>
      </c>
      <c r="N5365" s="62">
        <v>0</v>
      </c>
    </row>
    <row r="5366" spans="9:14">
      <c r="I5366" s="62">
        <v>2016</v>
      </c>
      <c r="J5366" s="62">
        <v>11</v>
      </c>
      <c r="K5366" s="62" t="s">
        <v>32</v>
      </c>
      <c r="L5366" s="62" t="s">
        <v>3</v>
      </c>
      <c r="M5366" s="62">
        <v>0.13</v>
      </c>
      <c r="N5366" s="62">
        <v>0</v>
      </c>
    </row>
    <row r="5367" spans="9:14">
      <c r="I5367" s="62">
        <v>2017</v>
      </c>
      <c r="J5367" s="62">
        <v>8</v>
      </c>
      <c r="K5367" s="62" t="s">
        <v>32</v>
      </c>
      <c r="L5367" s="62" t="s">
        <v>3</v>
      </c>
      <c r="M5367" s="62">
        <v>0.16</v>
      </c>
      <c r="N5367" s="62">
        <v>0</v>
      </c>
    </row>
    <row r="5368" spans="9:14">
      <c r="I5368" s="62">
        <v>2017</v>
      </c>
      <c r="J5368" s="62">
        <v>9</v>
      </c>
      <c r="K5368" s="62" t="s">
        <v>32</v>
      </c>
      <c r="L5368" s="62" t="s">
        <v>3</v>
      </c>
      <c r="M5368" s="62">
        <v>0.43</v>
      </c>
      <c r="N5368" s="62">
        <v>0</v>
      </c>
    </row>
    <row r="5369" spans="9:14">
      <c r="I5369" s="62">
        <v>2019</v>
      </c>
      <c r="J5369" s="62">
        <v>5</v>
      </c>
      <c r="K5369" s="62" t="s">
        <v>32</v>
      </c>
      <c r="L5369" s="62" t="s">
        <v>3</v>
      </c>
      <c r="M5369" s="62">
        <v>0.18</v>
      </c>
      <c r="N5369" s="62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Cover</vt:lpstr>
      <vt:lpstr>Dashboard</vt:lpstr>
      <vt:lpstr>Explorer</vt:lpstr>
      <vt:lpstr>Trends</vt:lpstr>
      <vt:lpstr>PADD</vt:lpstr>
      <vt:lpstr>Units &amp; Refineries</vt:lpstr>
      <vt:lpstr>Events &amp; TAs</vt:lpstr>
      <vt:lpstr>Model</vt:lpstr>
      <vt:lpstr>Data</vt:lpstr>
      <vt:lpstr>Dashboard!Print_Titles</vt:lpstr>
      <vt:lpstr>'Events &amp; TAs'!Print_Titles</vt:lpstr>
      <vt:lpstr>Explorer!Print_Titles</vt:lpstr>
      <vt:lpstr>Model!Print_Titles</vt:lpstr>
      <vt:lpstr>PADD!Print_Titles</vt:lpstr>
      <vt:lpstr>Trends!Print_Titles</vt:lpstr>
      <vt:lpstr>'Units &amp; Refineries'!Print_Titles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2026-06-24T03:12:17Z</dcterms:created>
  <dcterms:modified xsi:type="dcterms:W3CDTF">2026-06-24T03:12:17Z</dcterms:modified>
</cp:coreProperties>
</file>