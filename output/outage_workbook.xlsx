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23%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46%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22%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<sst xmlns="http://schemas.openxmlformats.org/spreadsheetml/2006/main" count="17443" uniqueCount="432">
  <si>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</si>
  <si>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</si>
  <si>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</si>
  <si>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</si>
  <si>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</si>
  <si>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</si>
  <si>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</si>
  <si>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</si>
  <si>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</si>
  <si>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</si>
  <si>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</si>
  <si>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</si>
  <si>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</si>
  <si>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</si>
  <si>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</si>
  <si>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</si>
  <si>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</si>
  <si>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</si>
  <si>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</si>
  <si>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</si>
  <si>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</si>
  <si>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</si>
  <si>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</si>
  <si>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</si>
  <si>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</si>
  <si>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</si>
  <si>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</si>
  <si>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</si>
  <si>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</si>
  <si>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</si>
  <si>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</si>
  <si>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</si>
  <si>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</si>
  <si>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</si>
  <si>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</si>
  <si>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</si>
  <si>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</si>
  <si>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</si>
  <si>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46,460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</si>
  <si>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</si>
  <si>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</si>
  <si>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</si>
  <si>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</si>
  <si>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</si>
  <si>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</si>
  <si>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</si>
  <si>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</si>
  <si>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~36,887 kbd (15,379 planned + ~21,508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</si>
  <si>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</si>
  <si>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</si>
  <si>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</si>
  <si>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</si>
  <si>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</si>
  <si>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</si>
  <si>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</si>
  <si>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</si>
  <si>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</si>
  <si>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</si>
  <si>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</si>
  <si>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</si>
  <si>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</si>
  <si>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</si>
  <si>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</si>
  <si>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</si>
  <si>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</si>
  <si>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</si>
  <si>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</si>
  <si>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</si>
  <si>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</si>
  <si>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</si>
  <si>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</si>
  <si>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</si>
  <si>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</si>
  <si>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</si>
  <si>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</si>
  <si>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</si>
  <si>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</si>
  <si>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</si>
  <si>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</si>
  <si>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</si>
  <si>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</si>
  <si>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</si>
  <si>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</si>
  <si>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</si>
  <si>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</si>
  <si>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</si>
  <si>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</si>
  <si>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46,460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</si>
  <si>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</si>
  <si>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</si>
  <si>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</si>
  <si>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</si>
  <si>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</si>
  <si>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</si>
  <si>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</si>
  <si>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</si>
  <si>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</si>
  <si>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</si>
  <si>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</si>
  <si>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</si>
  <si>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</si>
  <si>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</si>
  <si>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</si>
  <si>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</si>
  <si>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</si>
  <si>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</si>
  <si>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</si>
  <si>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</si>
  <si>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</si>
  <si>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</si>
  <si>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</si>
  <si>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</si>
  <si>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</si>
  <si>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</si>
  <si>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</si>
  <si>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</si>
  <si>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</si>
  <si>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</si>
  <si>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</si>
  <si>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</si>
  <si>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</si>
  <si>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</si>
  <si>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</si>
  <si>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</si>
  <si>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</si>
  <si>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</si>
  <si>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2023-2025;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</si>
  <si>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</si>
  <si>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</si>
  <si>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</si>
  <si>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</si>
  <si>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</si>
  <si>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</si>
  <si>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</si>
  <si>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</si>
  <si>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</si>
  <si>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</si>
  <si>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</si>
  <si>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</si>
  <si>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</si>
  <si>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</si>
  <si>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</si>
  <si>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</si>
  <si>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</si>
  <si>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</si>
  <si>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</si>
  <si>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</si>
  <si>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</si>
  <si>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</si>
  <si>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</si>
  <si>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</si>
  <si>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</si>
  <si>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</si>
  <si>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</si>
  <si>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</si>
  <si>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</si>
  <si>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</si>
  <si>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</si>
  <si>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</si>
  <si>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</si>
  <si>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</si>
  <si>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</si>
  <si>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</si>
  <si>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</si>
  <si>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</si>
  <si>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</si>
  <si>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</si>
  <si>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</si>
  <si>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</si>
  <si>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</si>
  <si>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</si>
  <si>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</si>
  <si>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</si>
  <si>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</si>
  <si>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</si>
  <si>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</si>
  <si>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</si>
  <si>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</si>
  <si>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</si>
  <si>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</si>
  <si>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</si>
  <si>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</si>
  <si>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</si>
  <si>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</si>
  <si>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</si>
  <si>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</si>
  <si>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</si>
  <si>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</si>
  <si>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</si>
  <si>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</si>
  <si>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</si>
  <si>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</si>
  <si>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</si>
  <si>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</si>
  <si>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</si>
  <si>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</si>
  <si>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</si>
  <si>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</si>
  <si>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</si>
  <si>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</si>
  <si>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</si>
  <si>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</si>
  <si>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</si>
  <si>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</si>
  <si>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</si>
  <si>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</si>
  <si>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</si>
  <si>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</si>
  <si>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</si>
  <si>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</si>
  <si>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</si>
  <si>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</si>
  <si>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</si>
  <si>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</si>
  <si>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</si>
  <si>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</si>
  <si>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</si>
  <si>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</si>
  <si>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</si>
  <si>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</si>
  <si>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</si>
  <si>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</si>
  <si>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</si>
  <si>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</si>
  <si>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</si>
  <si>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</si>
  <si>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</si>
  <si>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</si>
  <si>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</si>
  <si>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</si>
  <si>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</si>
  <si>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</si>
  <si>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</si>
  <si>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</si>
  <si>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</si>
  <si>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</si>
  <si>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</si>
  <si>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</si>
  <si>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</si>
  <si>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</si>
  <si>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</si>
  <si>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</si>
  <si>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</si>
  <si>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</si>
  <si>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</si>
  <si>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</si>
  <si>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</si>
  <si>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</si>
  <si>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</si>
  <si>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</si>
  <si>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</si>
  <si>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</si>
  <si>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</si>
  <si>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</si>
  <si>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</si>
  <si>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</si>
  <si>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</si>
  <si>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</si>
  <si>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</si>
  <si>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</si>
  <si>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</si>
  <si>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</si>
  <si>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</si>
  <si>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</si>
  <si>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</si>
  <si>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</si>
  <si>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</si>
  <si>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</si>
  <si>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</si>
  <si>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</si>
  <si>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</si>
  <si>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Deer Park Refinery</t>
  </si>
  <si>
    <t>Deer Park</t>
  </si>
  <si>
    <t>Pascagoula Refinery</t>
  </si>
  <si>
    <t>Joliet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</si>
  <si>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</si>
  <si>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</si>
  <si>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</si>
  <si>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</si>
  <si>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</si>
  <si>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</si>
  <si>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</si>
  <si>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</si>
  <si>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</si>
  <si>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</si>
  <si>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</si>
  <si>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</si>
  <si>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</si>
  <si>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</si>
  <si>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</si>
  <si>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</si>
  <si>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</si>
  <si>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</si>
  <si>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</si>
  <si>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</si>
  <si>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</si>
  <si>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</si>
  <si>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</si>
  <si>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</si>
  <si>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</si>
  <si>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</si>
  <si>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</si>
  <si>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</si>
  <si>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</si>
  <si>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</si>
  <si>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</si>
  <si>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</si>
  <si>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</si>
  <si>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</si>
  <si>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</si>
  <si>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</si>
  <si>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</si>
  <si>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</si>
  <si>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</si>
  <si>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</si>
  <si>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</si>
  <si>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</si>
  <si>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</si>
  <si>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</si>
  <si>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</si>
  <si>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</si>
  <si>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</si>
  <si>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</si>
  <si>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</si>
  <si>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</si>
  <si>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</si>
  <si>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</si>
  <si>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</si>
  <si>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</si>
  <si>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</si>
  <si>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</si>
  <si>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</si>
  <si>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</si>
  <si>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</si>
  <si>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</si>
  <si>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</si>
  <si>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</si>
  <si>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</si>
  <si>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</si>
  <si>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</si>
  <si>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</si>
  <si>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</si>
  <si>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(1,833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</si>
  <si>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</si>
  <si>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</si>
  <si>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</si>
  <si>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</si>
  <si>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</si>
  <si>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</si>
  <si>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</si>
  <si>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</si>
  <si>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</si>
  <si>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</si>
  <si>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</si>
  <si>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</si>
  <si>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</si>
  <si>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</si>
  <si>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</si>
  <si>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</si>
  <si>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</si>
  <si>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</si>
  <si>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</si>
  <si>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</si>
  <si>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</si>
  <si>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</si>
  <si>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</si>
  <si>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</si>
  <si>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</si>
  <si>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</si>
  <si>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</si>
  <si>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</si>
  <si>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</si>
  <si>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</si>
  <si>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</si>
  <si>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</si>
  <si>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</si>
  <si>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</si>
  <si>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</si>
  <si>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</si>
  <si>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</si>
  <si>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</si>
  <si>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Memphis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</si>
  <si>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</si>
  <si>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</si>
  <si>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</si>
  <si>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</si>
  <si>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</si>
  <si>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</si>
  <si>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</si>
  <si>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</si>
  <si>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</si>
  <si>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</si>
  <si>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2023-2025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</si>
  <si>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</si>
  <si>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</si>
  <si>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</si>
  <si>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</si>
  <si>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</si>
  <si>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</si>
  <si>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2022-2025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</si>
  <si>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</si>
  <si>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</si>
  <si>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</si>
  <si>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</si>
  <si>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</si>
  <si>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</si>
  <si>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</si>
  <si>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</si>
  <si>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</si>
  <si>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</si>
  <si>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</si>
  <si>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</si>
  <si>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</si>
  <si>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</si>
  <si>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</si>
  <si>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</si>
  <si>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</si>
  <si>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</si>
  <si>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</si>
  <si>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</si>
  <si>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</si>
  <si>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</si>
  <si>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</si>
  <si>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</si>
  <si>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</si>
  <si>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~17,207 | Average ~21,508 | Active ~27,961 kbd.  Add 2027 booked planned (15,379 kbd) for implied totals of ~32,586 / ~36,887 / ~43,340 kbd. Active vs Conservative spans ~10,754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</si>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</sst>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1295.816366666667</c:v>
                </c:pt>
                <c:pt idx="7">
                  <c:v>1211.909366666667</c:v>
                </c:pt>
                <c:pt idx="8">
                  <c:v>1618.613966666667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2331.3456</c:v>
                </c:pt>
                <c:pt idx="1">
                  <c:v>3242.643133333333</c:v>
                </c:pt>
                <c:pt idx="2">
                  <c:v>2452.0467</c:v>
                </c:pt>
                <c:pt idx="3">
                  <c:v>2323.8248</c:v>
                </c:pt>
                <c:pt idx="4">
                  <c:v>1480.8669</c:v>
                </c:pt>
                <c:pt idx="5">
                  <c:v>1371.5984</c:v>
                </c:pt>
                <c:pt idx="6">
                  <c:v>1295.816366666667</c:v>
                </c:pt>
                <c:pt idx="7">
                  <c:v>1211.909366666667</c:v>
                </c:pt>
                <c:pt idx="8">
                  <c:v>1618.613966666667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63.34571088212303</c:v>
                </c:pt>
                <c:pt idx="7">
                  <c:v>59.24393481283408</c:v>
                </c:pt>
                <c:pt idx="8">
                  <c:v>79.12560375046426</c:v>
                </c:pt>
                <c:pt idx="9">
                  <c:v>104.2492995186205</c:v>
                </c:pt>
                <c:pt idx="10">
                  <c:v>60.64938555948226</c:v>
                </c:pt>
                <c:pt idx="11">
                  <c:v>39.41665509248838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302.8551195415979</c:v>
                </c:pt>
                <c:pt idx="7">
                  <c:v>283.2445750469753</c:v>
                </c:pt>
                <c:pt idx="8">
                  <c:v>378.2986069450015</c:v>
                </c:pt>
                <c:pt idx="9">
                  <c:v>498.4147091914599</c:v>
                </c:pt>
                <c:pt idx="10">
                  <c:v>289.9640189991954</c:v>
                </c:pt>
                <c:pt idx="11">
                  <c:v>188.4505773749936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866.01</c:v>
                </c:pt>
                <c:pt idx="4">
                  <c:v>403.67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945.4159999999999</c:v>
                </c:pt>
                <c:pt idx="9">
                  <c:v>427.23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596.2773132018669</c:v>
                </c:pt>
                <c:pt idx="7">
                  <c:v>557.6670272031417</c:v>
                </c:pt>
                <c:pt idx="8">
                  <c:v>744.8144752467751</c:v>
                </c:pt>
                <c:pt idx="9">
                  <c:v>981.3054641665166</c:v>
                </c:pt>
                <c:pt idx="10">
                  <c:v>570.8966268615685</c:v>
                </c:pt>
                <c:pt idx="11">
                  <c:v>371.0315484135892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45.25951087290547</c:v>
                </c:pt>
                <c:pt idx="7">
                  <c:v>42.32885659464402</c:v>
                </c:pt>
                <c:pt idx="8">
                  <c:v>56.53399533132406</c:v>
                </c:pt>
                <c:pt idx="9">
                  <c:v>74.48447952278548</c:v>
                </c:pt>
                <c:pt idx="10">
                  <c:v>43.33302897606421</c:v>
                </c:pt>
                <c:pt idx="11">
                  <c:v>28.16257809548876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288.0787121681732</c:v>
                </c:pt>
                <c:pt idx="7">
                  <c:v>269.4249730090715</c:v>
                </c:pt>
                <c:pt idx="8">
                  <c:v>359.8412853931014</c:v>
                </c:pt>
                <c:pt idx="9">
                  <c:v>474.0968809339506</c:v>
                </c:pt>
                <c:pt idx="10">
                  <c:v>275.8165729370229</c:v>
                </c:pt>
                <c:pt idx="11">
                  <c:v>179.2560076901066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3334.2477475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540.37</c:v>
                </c:pt>
                <c:pt idx="4">
                  <c:v>234.2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1908.9524</c:v>
                </c:pt>
                <c:pt idx="4">
                  <c:v>831.572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2763.7719</c:v>
                </c:pt>
                <c:pt idx="9">
                  <c:v>2799.5469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1865.07648</c:v>
                </c:pt>
                <c:pt idx="1">
                  <c:v>2594.114506666667</c:v>
                </c:pt>
                <c:pt idx="2">
                  <c:v>1961.63736</c:v>
                </c:pt>
                <c:pt idx="3">
                  <c:v>1859.05984</c:v>
                </c:pt>
                <c:pt idx="4">
                  <c:v>1184.69352</c:v>
                </c:pt>
                <c:pt idx="5">
                  <c:v>1097.27872</c:v>
                </c:pt>
                <c:pt idx="6">
                  <c:v>1036.653093333333</c:v>
                </c:pt>
                <c:pt idx="7">
                  <c:v>969.5274933333335</c:v>
                </c:pt>
                <c:pt idx="8">
                  <c:v>1294.891173333333</c:v>
                </c:pt>
                <c:pt idx="9">
                  <c:v>1706.040666666667</c:v>
                </c:pt>
                <c:pt idx="10">
                  <c:v>992.5277066666667</c:v>
                </c:pt>
                <c:pt idx="11">
                  <c:v>645.0538933333333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2331.3456</c:v>
                </c:pt>
                <c:pt idx="1">
                  <c:v>3242.643133333333</c:v>
                </c:pt>
                <c:pt idx="2">
                  <c:v>2452.0467</c:v>
                </c:pt>
                <c:pt idx="3">
                  <c:v>2323.8248</c:v>
                </c:pt>
                <c:pt idx="4">
                  <c:v>1480.8669</c:v>
                </c:pt>
                <c:pt idx="5">
                  <c:v>1371.5984</c:v>
                </c:pt>
                <c:pt idx="6">
                  <c:v>1295.816366666667</c:v>
                </c:pt>
                <c:pt idx="7">
                  <c:v>1211.909366666667</c:v>
                </c:pt>
                <c:pt idx="8">
                  <c:v>1618.613966666667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3030.74928</c:v>
                </c:pt>
                <c:pt idx="1">
                  <c:v>4215.436073333333</c:v>
                </c:pt>
                <c:pt idx="2">
                  <c:v>3187.660710000001</c:v>
                </c:pt>
                <c:pt idx="3">
                  <c:v>3020.97224</c:v>
                </c:pt>
                <c:pt idx="4">
                  <c:v>1925.12697</c:v>
                </c:pt>
                <c:pt idx="5">
                  <c:v>1783.07792</c:v>
                </c:pt>
                <c:pt idx="6">
                  <c:v>1684.561276666667</c:v>
                </c:pt>
                <c:pt idx="7">
                  <c:v>1575.482176666667</c:v>
                </c:pt>
                <c:pt idx="8">
                  <c:v>2104.198156666667</c:v>
                </c:pt>
                <c:pt idx="9">
                  <c:v>2772.316083333333</c:v>
                </c:pt>
                <c:pt idx="10">
                  <c:v>1612.857523333334</c:v>
                </c:pt>
                <c:pt idx="11">
                  <c:v>1048.212576666667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15379.0296</c:v>
                </c:pt>
                <c:pt idx="1">
                  <c:v>15379.0296</c:v>
                </c:pt>
                <c:pt idx="2">
                  <c:v>15379.0296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17206.55445333333</c:v>
                </c:pt>
                <c:pt idx="1">
                  <c:v>21508.19306666667</c:v>
                </c:pt>
                <c:pt idx="2">
                  <c:v>27960.65098666667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15379.0296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15379.0296</v>
      </c>
      <c r="D19" s="37">
        <v>0</v>
      </c>
      <c r="E19" s="37">
        <f>C19+D19</f>
        <v>0</v>
      </c>
      <c r="F19" s="37">
        <v>293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15379.0296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15379.0296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15379.0296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9046.7148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1908.9524</v>
      </c>
      <c r="G47" s="37">
        <v>831.572</v>
      </c>
      <c r="H47" s="37">
        <v>215.305</v>
      </c>
      <c r="I47" s="37">
        <v>167.5</v>
      </c>
      <c r="J47" s="37">
        <v>51.06</v>
      </c>
      <c r="K47" s="37">
        <v>2763.7719</v>
      </c>
      <c r="L47" s="37">
        <v>2799.5469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1908.9524</v>
      </c>
      <c r="G62" s="37">
        <v>831.572</v>
      </c>
      <c r="H62" s="37">
        <v>215.305</v>
      </c>
      <c r="I62" s="37">
        <v>167.5</v>
      </c>
      <c r="J62" s="37">
        <v>51.06</v>
      </c>
      <c r="K62" s="37">
        <v>2763.7719</v>
      </c>
      <c r="L62" s="37">
        <v>2799.5469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1295.816366666667</v>
      </c>
      <c r="J126" s="27">
        <v>1211.909366666667</v>
      </c>
      <c r="K126" s="27">
        <v>1618.613966666667</v>
      </c>
      <c r="L126" s="27">
        <v>2132.550833333333</v>
      </c>
      <c r="M126" s="27">
        <v>1240.659633333333</v>
      </c>
      <c r="N126" s="27">
        <v>806.3173666666667</v>
      </c>
    </row>
    <row r="127" spans="2:14">
      <c r="B127" s="28" t="s">
        <v>212</v>
      </c>
      <c r="C127" s="27">
        <v>2331.3456</v>
      </c>
      <c r="D127" s="27">
        <v>3242.643133333333</v>
      </c>
      <c r="E127" s="27">
        <v>2452.0467</v>
      </c>
      <c r="F127" s="27">
        <v>2323.8248</v>
      </c>
      <c r="G127" s="27">
        <v>1480.8669</v>
      </c>
      <c r="H127" s="27">
        <v>1371.5984</v>
      </c>
      <c r="I127" s="27">
        <v>1295.816366666667</v>
      </c>
      <c r="J127" s="27">
        <v>1211.909366666667</v>
      </c>
      <c r="K127" s="27">
        <v>1618.613966666667</v>
      </c>
      <c r="L127" s="27">
        <v>2132.550833333333</v>
      </c>
      <c r="M127" s="27">
        <v>1240.659633333333</v>
      </c>
      <c r="N127" s="27">
        <v>806.3173666666667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63.34571088212303</v>
      </c>
      <c r="J9" s="27">
        <v>59.24393481283408</v>
      </c>
      <c r="K9" s="27">
        <v>79.12560375046426</v>
      </c>
      <c r="L9" s="27">
        <v>104.2492995186205</v>
      </c>
      <c r="M9" s="27">
        <v>60.64938555948226</v>
      </c>
      <c r="N9" s="27">
        <v>39.41665509248838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302.8551195415979</v>
      </c>
      <c r="X9" s="27">
        <v>283.2445750469753</v>
      </c>
      <c r="Y9" s="27">
        <v>378.2986069450015</v>
      </c>
      <c r="Z9" s="27">
        <v>498.4147091914599</v>
      </c>
      <c r="AA9" s="27">
        <v>289.9640189991954</v>
      </c>
      <c r="AB9" s="27">
        <v>188.4505773749936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866.01</v>
      </c>
      <c r="U13" s="27">
        <v>403.67</v>
      </c>
      <c r="V13" s="27">
        <v>0</v>
      </c>
      <c r="W13" s="27">
        <v>0</v>
      </c>
      <c r="X13" s="27">
        <v>0</v>
      </c>
      <c r="Y13" s="27">
        <v>945.4159999999999</v>
      </c>
      <c r="Z13" s="27">
        <v>427.23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596.2773132018669</v>
      </c>
      <c r="J33" s="27">
        <v>557.6670272031417</v>
      </c>
      <c r="K33" s="27">
        <v>744.8144752467751</v>
      </c>
      <c r="L33" s="27">
        <v>981.3054641665166</v>
      </c>
      <c r="M33" s="27">
        <v>570.8966268615685</v>
      </c>
      <c r="N33" s="27">
        <v>371.0315484135892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45.25951087290547</v>
      </c>
      <c r="X33" s="27">
        <v>42.32885659464402</v>
      </c>
      <c r="Y33" s="27">
        <v>56.53399533132406</v>
      </c>
      <c r="Z33" s="27">
        <v>74.48447952278548</v>
      </c>
      <c r="AA33" s="27">
        <v>43.33302897606421</v>
      </c>
      <c r="AB33" s="27">
        <v>28.16257809548876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288.0787121681732</v>
      </c>
      <c r="J57" s="27">
        <v>269.4249730090715</v>
      </c>
      <c r="K57" s="27">
        <v>359.8412853931014</v>
      </c>
      <c r="L57" s="27">
        <v>474.0968809339506</v>
      </c>
      <c r="M57" s="27">
        <v>275.8165729370229</v>
      </c>
      <c r="N57" s="27">
        <v>179.2560076901066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3451.347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3451.347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6676.29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1899.8915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272</v>
      </c>
      <c r="D40" s="28" t="s">
        <v>6</v>
      </c>
      <c r="E40" s="27">
        <v>13290.7522</v>
      </c>
      <c r="F40" s="27">
        <v>5579.9005</v>
      </c>
      <c r="G40" s="27">
        <v>7710.851700000001</v>
      </c>
      <c r="H40" s="42">
        <f>IF(E40=0,0,G40/E40)</f>
        <v>0</v>
      </c>
      <c r="I40" s="27">
        <v>329</v>
      </c>
    </row>
    <row r="41" spans="2:11" x14ac:dyDescent="0.25">
      <c r="B41" s="28" t="s">
        <v>273</v>
      </c>
      <c r="C41" s="28" t="s">
        <v>270</v>
      </c>
      <c r="D41" s="28" t="s">
        <v>6</v>
      </c>
      <c r="E41" s="27">
        <v>12949.1048</v>
      </c>
      <c r="F41" s="27">
        <v>3578.835</v>
      </c>
      <c r="G41" s="27">
        <v>9370.269799999998</v>
      </c>
      <c r="H41" s="42">
        <f>IF(E41=0,0,G41/E41)</f>
        <v>0</v>
      </c>
      <c r="I41" s="27">
        <v>174</v>
      </c>
    </row>
    <row r="42" spans="2:11" x14ac:dyDescent="0.25">
      <c r="B42" s="28" t="s">
        <v>274</v>
      </c>
      <c r="C42" s="28" t="s">
        <v>265</v>
      </c>
      <c r="D42" s="28" t="s">
        <v>5</v>
      </c>
      <c r="E42" s="27">
        <v>12747.2989</v>
      </c>
      <c r="F42" s="27">
        <v>7381.667</v>
      </c>
      <c r="G42" s="27">
        <v>5365.631899999999</v>
      </c>
      <c r="H42" s="42">
        <f>IF(E42=0,0,G42/E42)</f>
        <v>0</v>
      </c>
      <c r="I42" s="27">
        <v>194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1833.4075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3334.2477475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274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274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274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274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274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274</v>
      </c>
      <c r="C48" s="27">
        <v>774.5699999999999</v>
      </c>
      <c r="D48" s="42">
        <f>IF(C48=0,0,C48/1833.4075)</f>
        <v>0</v>
      </c>
      <c r="F48" s="28" t="s">
        <v>235</v>
      </c>
      <c r="G48" s="27">
        <v>474.45</v>
      </c>
      <c r="H48" s="42">
        <f>IF(G48=0,0,G48/1833.4075)</f>
        <v>0</v>
      </c>
    </row>
    <row r="49" spans="2:14" x14ac:dyDescent="0.25">
      <c r="B49" s="28" t="s">
        <v>266</v>
      </c>
      <c r="C49" s="27">
        <v>382.2</v>
      </c>
      <c r="D49" s="42">
        <f>IF(C49=0,0,C49/1833.4075)</f>
        <v>0</v>
      </c>
      <c r="F49" s="28" t="s">
        <v>234</v>
      </c>
      <c r="G49" s="27">
        <v>402.8</v>
      </c>
      <c r="H49" s="42">
        <f>IF(G49=0,0,G49/1833.4075)</f>
        <v>0</v>
      </c>
    </row>
    <row r="50" spans="2:14" x14ac:dyDescent="0.25">
      <c r="B50" s="28" t="s">
        <v>264</v>
      </c>
      <c r="C50" s="27">
        <v>374.85</v>
      </c>
      <c r="D50" s="42">
        <f>IF(C50=0,0,C50/1833.4075)</f>
        <v>0</v>
      </c>
      <c r="F50" s="28" t="s">
        <v>111</v>
      </c>
      <c r="G50" s="27">
        <v>397.2</v>
      </c>
      <c r="H50" s="42">
        <f>IF(G50=0,0,G50/1833.4075)</f>
        <v>0</v>
      </c>
    </row>
    <row r="51" spans="2:14" x14ac:dyDescent="0.25">
      <c r="B51" s="28" t="s">
        <v>268</v>
      </c>
      <c r="C51" s="27">
        <v>301.7875</v>
      </c>
      <c r="D51" s="42">
        <f>IF(C51=0,0,C51/1833.4075)</f>
        <v>0</v>
      </c>
      <c r="F51" s="28" t="s">
        <v>237</v>
      </c>
      <c r="G51" s="27">
        <v>226.795</v>
      </c>
      <c r="H51" s="42">
        <f>IF(G51=0,0,G51/1833.4075)</f>
        <v>0</v>
      </c>
    </row>
    <row r="52" spans="2:14" x14ac:dyDescent="0.25">
      <c r="F52" s="28" t="s">
        <v>236</v>
      </c>
      <c r="G52" s="27">
        <v>163.83</v>
      </c>
      <c r="H52" s="42">
        <f>IF(G52=0,0,G52/1833.4075)</f>
        <v>0</v>
      </c>
    </row>
    <row r="53" spans="2:14" x14ac:dyDescent="0.25">
      <c r="F53" s="28" t="s">
        <v>239</v>
      </c>
      <c r="G53" s="27">
        <v>161.1325</v>
      </c>
      <c r="H53" s="42">
        <f>IF(G53=0,0,G53/1833.4075)</f>
        <v>0</v>
      </c>
    </row>
    <row r="54" spans="2:14" x14ac:dyDescent="0.25">
      <c r="F54" s="28" t="s">
        <v>245</v>
      </c>
      <c r="G54" s="27">
        <v>7.2</v>
      </c>
      <c r="H54" s="42">
        <f>IF(G54=0,0,G54/1833.4075)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540.37</v>
      </c>
      <c r="G57" s="27">
        <v>234.2</v>
      </c>
      <c r="H57" s="27">
        <v>0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274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274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274</v>
      </c>
      <c r="D136" s="28" t="s">
        <v>234</v>
      </c>
      <c r="E136" s="27">
        <v>161.25</v>
      </c>
      <c r="F136" s="42">
        <v>0.04672088897465251</v>
      </c>
      <c r="G136" s="53">
        <v>46482</v>
      </c>
      <c r="H136" s="53">
        <v>46520</v>
      </c>
    </row>
    <row r="137" spans="2:9" x14ac:dyDescent="0.25">
      <c r="B137" s="54" t="s">
        <v>265</v>
      </c>
      <c r="C137" s="54" t="s">
        <v>274</v>
      </c>
      <c r="D137" s="54" t="s">
        <v>236</v>
      </c>
      <c r="E137" s="45">
        <v>81.91499999999999</v>
      </c>
      <c r="F137" s="42">
        <v>0.02373421159912347</v>
      </c>
      <c r="G137" s="55">
        <v>46482</v>
      </c>
      <c r="H137" s="55">
        <v>46520</v>
      </c>
    </row>
    <row r="138" spans="2:9" x14ac:dyDescent="0.25">
      <c r="B138" s="28" t="s">
        <v>256</v>
      </c>
      <c r="C138" s="28" t="s">
        <v>366</v>
      </c>
      <c r="D138" s="28" t="s">
        <v>234</v>
      </c>
      <c r="E138" s="27">
        <v>114.625</v>
      </c>
      <c r="F138" s="42">
        <v>0.0332116706897336</v>
      </c>
      <c r="G138" s="53">
        <v>46486</v>
      </c>
      <c r="H138" s="53">
        <v>46525</v>
      </c>
    </row>
    <row r="139" spans="2:9" x14ac:dyDescent="0.25">
      <c r="B139" s="54" t="s">
        <v>252</v>
      </c>
      <c r="C139" s="54" t="s">
        <v>380</v>
      </c>
      <c r="D139" s="54" t="s">
        <v>234</v>
      </c>
      <c r="E139" s="45">
        <v>62.7</v>
      </c>
      <c r="F139" s="42">
        <v>0.01816682008502767</v>
      </c>
      <c r="G139" s="55">
        <v>46631</v>
      </c>
      <c r="H139" s="55">
        <v>46670</v>
      </c>
    </row>
    <row r="140" spans="2:9" x14ac:dyDescent="0.25">
      <c r="B140" s="28" t="s">
        <v>262</v>
      </c>
      <c r="C140" s="28" t="s">
        <v>381</v>
      </c>
      <c r="D140" s="28" t="s">
        <v>234</v>
      </c>
      <c r="E140" s="27">
        <v>56.65</v>
      </c>
      <c r="F140" s="42">
        <v>0.01641388130489342</v>
      </c>
      <c r="G140" s="53">
        <v>46631</v>
      </c>
      <c r="H140" s="53">
        <v>46661</v>
      </c>
    </row>
    <row r="141" spans="2:9" x14ac:dyDescent="0.25">
      <c r="B141" s="54" t="s">
        <v>262</v>
      </c>
      <c r="C141" s="54" t="s">
        <v>382</v>
      </c>
      <c r="D141" s="54" t="s">
        <v>234</v>
      </c>
      <c r="E141" s="45">
        <v>67.71000000000001</v>
      </c>
      <c r="F141" s="42">
        <v>0.01961842724014711</v>
      </c>
      <c r="G141" s="55">
        <v>46633</v>
      </c>
      <c r="H141" s="55">
        <v>46677</v>
      </c>
    </row>
    <row r="142" spans="2:9" x14ac:dyDescent="0.25">
      <c r="B142" s="28" t="s">
        <v>260</v>
      </c>
      <c r="C142" s="28" t="s">
        <v>259</v>
      </c>
      <c r="D142" s="28" t="s">
        <v>237</v>
      </c>
      <c r="E142" s="27">
        <v>50.49</v>
      </c>
      <c r="F142" s="42">
        <v>0.01462907091057492</v>
      </c>
      <c r="G142" s="53">
        <v>46633</v>
      </c>
      <c r="H142" s="53">
        <v>46662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0.0208701124517471</v>
      </c>
      <c r="G143" s="55">
        <v>46640</v>
      </c>
      <c r="H143" s="55">
        <v>46684</v>
      </c>
    </row>
    <row r="145" spans="2:9" ht="19" customHeight="1" x14ac:dyDescent="0.25">
      <c r="B145" s="44" t="s">
        <v>383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384</v>
      </c>
      <c r="C149" s="28" t="s">
        <v>385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384</v>
      </c>
      <c r="C150" s="54" t="s">
        <v>385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386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387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387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390</v>
      </c>
      <c r="C6" s="19"/>
      <c r="D6" s="19"/>
      <c r="E6" s="19"/>
    </row>
    <row r="7" spans="2:14">
      <c r="B7" s="30" t="s">
        <v>391</v>
      </c>
      <c r="C7" s="31" t="s">
        <v>392</v>
      </c>
      <c r="D7" s="31"/>
      <c r="E7" s="31"/>
    </row>
    <row r="8" spans="2:14">
      <c r="B8" s="30" t="s">
        <v>393</v>
      </c>
      <c r="C8" s="56">
        <v>0</v>
      </c>
      <c r="D8" s="56"/>
      <c r="E8" s="56"/>
    </row>
    <row r="9" spans="2:14">
      <c r="B9" s="30" t="s">
        <v>394</v>
      </c>
      <c r="C9" s="57">
        <v>1</v>
      </c>
      <c r="D9" s="57"/>
      <c r="E9" s="57"/>
    </row>
    <row r="10" spans="2:14">
      <c r="B10" s="30" t="s">
        <v>395</v>
      </c>
      <c r="C10" s="58">
        <v>0</v>
      </c>
      <c r="D10" s="58"/>
      <c r="E10" s="58"/>
    </row>
    <row r="11" spans="2:14">
      <c r="B11" s="30" t="s">
        <v>396</v>
      </c>
      <c r="C11" s="31" t="s">
        <v>163</v>
      </c>
      <c r="D11" s="31"/>
      <c r="E11" s="31"/>
    </row>
    <row r="13" spans="2:14" ht="19" customHeight="1">
      <c r="B13" s="8" t="s">
        <v>397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398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399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392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400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401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402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403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404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405</v>
      </c>
      <c r="C25" s="19"/>
      <c r="D25" s="19"/>
      <c r="E25" s="19"/>
      <c r="G25" s="5" t="s">
        <v>412</v>
      </c>
      <c r="H25" s="5"/>
      <c r="I25" s="5"/>
      <c r="J25" s="5"/>
    </row>
    <row r="26" spans="2:14">
      <c r="B26" s="28" t="s">
        <v>406</v>
      </c>
      <c r="C26" s="27">
        <f>SUM(C22:N22)</f>
        <v>0</v>
      </c>
      <c r="G26" s="15" t="s">
        <v>63</v>
      </c>
      <c r="H26" s="16" t="s">
        <v>413</v>
      </c>
      <c r="I26" s="16" t="s">
        <v>414</v>
      </c>
      <c r="J26" s="16" t="s">
        <v>415</v>
      </c>
    </row>
    <row r="27" spans="2:14">
      <c r="B27" s="17" t="s">
        <v>407</v>
      </c>
      <c r="C27" s="32">
        <f>SUM(C23:N23)</f>
        <v>0</v>
      </c>
      <c r="G27" s="28" t="s">
        <v>4</v>
      </c>
      <c r="H27" s="27">
        <v>1051.4235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408</v>
      </c>
      <c r="C28" s="60">
        <v>15379.0296</v>
      </c>
      <c r="G28" s="28" t="s">
        <v>5</v>
      </c>
      <c r="H28" s="27">
        <v>5026.843733333332</v>
      </c>
      <c r="I28" s="32">
        <f>H28*(1+$C$8)*$C$9</f>
        <v>0</v>
      </c>
      <c r="J28" s="59">
        <f>IF($I$32=0,0,I28/$I$32)</f>
        <v>0</v>
      </c>
    </row>
    <row r="29" spans="2:14">
      <c r="B29" s="17" t="s">
        <v>409</v>
      </c>
      <c r="C29" s="32">
        <f>$C$27+$C$28</f>
        <v>0</v>
      </c>
      <c r="G29" s="28" t="s">
        <v>6</v>
      </c>
      <c r="H29" s="27">
        <v>9897.118066666666</v>
      </c>
      <c r="I29" s="32">
        <f>H29*(1+$C$8)*$C$9</f>
        <v>0</v>
      </c>
      <c r="J29" s="59">
        <f>IF($I$32=0,0,I29/$I$32)</f>
        <v>0</v>
      </c>
    </row>
    <row r="30" spans="2:14">
      <c r="B30" s="28" t="s">
        <v>410</v>
      </c>
      <c r="C30" s="27">
        <v>20420.06015</v>
      </c>
      <c r="D30" s="27">
        <v>21582.5668</v>
      </c>
      <c r="E30" s="27">
        <v>23264.08048</v>
      </c>
      <c r="G30" s="28" t="s">
        <v>7</v>
      </c>
      <c r="H30" s="27">
        <v>751.2255</v>
      </c>
      <c r="I30" s="32">
        <f>H30*(1+$C$8)*$C$9</f>
        <v>0</v>
      </c>
      <c r="J30" s="59">
        <f>IF($I$32=0,0,I30/$I$32)</f>
        <v>0</v>
      </c>
    </row>
    <row r="31" spans="2:14">
      <c r="B31" s="28" t="s">
        <v>411</v>
      </c>
      <c r="C31" s="27">
        <f>D30+$C$28</f>
        <v>0</v>
      </c>
      <c r="D31" s="27">
        <f>E30+$C$28</f>
        <v>0</v>
      </c>
      <c r="G31" s="28" t="s">
        <v>8</v>
      </c>
      <c r="H31" s="27">
        <v>4781.582266666667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416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417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1908.9524</v>
      </c>
      <c r="G37" s="27">
        <v>831.572</v>
      </c>
      <c r="H37" s="27">
        <v>215.305</v>
      </c>
      <c r="I37" s="27">
        <v>167.5</v>
      </c>
      <c r="J37" s="27">
        <v>51.06</v>
      </c>
      <c r="K37" s="27">
        <v>2763.7719</v>
      </c>
      <c r="L37" s="27">
        <v>2799.5469</v>
      </c>
      <c r="M37" s="27">
        <v>546.936</v>
      </c>
      <c r="N37" s="27">
        <v>3.5</v>
      </c>
    </row>
    <row r="38" spans="2:15">
      <c r="B38" s="28" t="s">
        <v>418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419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420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414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421</v>
      </c>
      <c r="C43" s="27">
        <v>1865.07648</v>
      </c>
      <c r="D43" s="27">
        <v>2594.114506666667</v>
      </c>
      <c r="E43" s="27">
        <v>1961.63736</v>
      </c>
      <c r="F43" s="27">
        <v>1859.05984</v>
      </c>
      <c r="G43" s="27">
        <v>1184.69352</v>
      </c>
      <c r="H43" s="27">
        <v>1097.27872</v>
      </c>
      <c r="I43" s="27">
        <v>1036.653093333333</v>
      </c>
      <c r="J43" s="27">
        <v>969.5274933333335</v>
      </c>
      <c r="K43" s="27">
        <v>1294.891173333333</v>
      </c>
      <c r="L43" s="27">
        <v>1706.040666666667</v>
      </c>
      <c r="M43" s="27">
        <v>992.5277066666667</v>
      </c>
      <c r="N43" s="27">
        <v>645.0538933333333</v>
      </c>
      <c r="O43" s="35">
        <f>SUM(C43:N43)</f>
        <v>0</v>
      </c>
    </row>
    <row r="44" spans="2:15">
      <c r="B44" s="28" t="s">
        <v>422</v>
      </c>
      <c r="C44" s="27">
        <v>2331.3456</v>
      </c>
      <c r="D44" s="27">
        <v>3242.643133333333</v>
      </c>
      <c r="E44" s="27">
        <v>2452.0467</v>
      </c>
      <c r="F44" s="27">
        <v>2323.8248</v>
      </c>
      <c r="G44" s="27">
        <v>1480.8669</v>
      </c>
      <c r="H44" s="27">
        <v>1371.5984</v>
      </c>
      <c r="I44" s="27">
        <v>1295.816366666667</v>
      </c>
      <c r="J44" s="27">
        <v>1211.909366666667</v>
      </c>
      <c r="K44" s="27">
        <v>1618.613966666667</v>
      </c>
      <c r="L44" s="27">
        <v>2132.550833333333</v>
      </c>
      <c r="M44" s="27">
        <v>1240.659633333333</v>
      </c>
      <c r="N44" s="27">
        <v>806.3173666666667</v>
      </c>
      <c r="O44" s="35">
        <f>SUM(C44:N44)</f>
        <v>0</v>
      </c>
    </row>
    <row r="45" spans="2:15">
      <c r="B45" s="28" t="s">
        <v>423</v>
      </c>
      <c r="C45" s="27">
        <v>3030.74928</v>
      </c>
      <c r="D45" s="27">
        <v>4215.436073333333</v>
      </c>
      <c r="E45" s="27">
        <v>3187.660710000001</v>
      </c>
      <c r="F45" s="27">
        <v>3020.97224</v>
      </c>
      <c r="G45" s="27">
        <v>1925.12697</v>
      </c>
      <c r="H45" s="27">
        <v>1783.07792</v>
      </c>
      <c r="I45" s="27">
        <v>1684.561276666667</v>
      </c>
      <c r="J45" s="27">
        <v>1575.482176666667</v>
      </c>
      <c r="K45" s="27">
        <v>2104.198156666667</v>
      </c>
      <c r="L45" s="27">
        <v>2772.316083333333</v>
      </c>
      <c r="M45" s="27">
        <v>1612.857523333334</v>
      </c>
      <c r="N45" s="27">
        <v>1048.212576666667</v>
      </c>
      <c r="O45" s="35">
        <f>SUM(C45:N45)</f>
        <v>0</v>
      </c>
    </row>
    <row r="46" spans="2:15">
      <c r="B46" s="28" t="s">
        <v>424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426</v>
      </c>
      <c r="C49" s="19"/>
      <c r="D49" s="19"/>
      <c r="E49" s="19"/>
      <c r="F49" s="19"/>
      <c r="H49" s="19" t="s">
        <v>430</v>
      </c>
      <c r="I49" s="19"/>
      <c r="J49" s="19"/>
      <c r="K49" s="19"/>
      <c r="L49" s="19"/>
      <c r="M49" s="19"/>
      <c r="N49" s="19"/>
    </row>
    <row r="50" spans="2:14">
      <c r="B50" s="15" t="s">
        <v>414</v>
      </c>
      <c r="C50" s="16" t="s">
        <v>427</v>
      </c>
      <c r="D50" s="16" t="s">
        <v>3</v>
      </c>
      <c r="E50" s="16" t="s">
        <v>428</v>
      </c>
      <c r="F50" s="16" t="s">
        <v>429</v>
      </c>
      <c r="H50" s="61" t="s">
        <v>431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421</v>
      </c>
      <c r="C51" s="63">
        <v>0.8</v>
      </c>
      <c r="D51" s="27">
        <v>17206.55445333333</v>
      </c>
      <c r="E51" s="27">
        <v>15379.0296</v>
      </c>
      <c r="F51" s="35">
        <f>D51+E51</f>
        <v>32585.584053333332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422</v>
      </c>
      <c r="C52" s="63">
        <v>1</v>
      </c>
      <c r="D52" s="27">
        <v>21508.19306666667</v>
      </c>
      <c r="E52" s="27">
        <v>15379.0296</v>
      </c>
      <c r="F52" s="35">
        <f>D52+E52</f>
        <v>36887.22266666667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423</v>
      </c>
      <c r="C53" s="63">
        <v>1.3</v>
      </c>
      <c r="D53" s="27">
        <v>27960.65098666667</v>
      </c>
      <c r="E53" s="27">
        <v>15379.0296</v>
      </c>
      <c r="F53" s="35">
        <f>D53+E53</f>
        <v>43339.68058666667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1908.9524</v>
      </c>
      <c r="F161" s="67">
        <v>366.0717175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1908.9524</v>
      </c>
      <c r="N161" s="67">
        <v>366.0717175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831.572</v>
      </c>
      <c r="F162" s="67">
        <v>134.1199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831.572</v>
      </c>
      <c r="N162" s="67">
        <v>134.1199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2763.7719</v>
      </c>
      <c r="F166" s="67">
        <v>528.1740575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2763.7719</v>
      </c>
      <c r="N166" s="67">
        <v>528.1740575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2799.5469</v>
      </c>
      <c r="F167" s="67">
        <v>553.0107575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2799.5469</v>
      </c>
      <c r="N167" s="67">
        <v>553.0107575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1908.9524</v>
      </c>
      <c r="F329" s="67">
        <v>366.0717175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1908.9524</v>
      </c>
      <c r="N329" s="67">
        <v>366.0717175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831.572</v>
      </c>
      <c r="F330" s="67">
        <v>134.1199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831.572</v>
      </c>
      <c r="N330" s="67">
        <v>134.1199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2763.7719</v>
      </c>
      <c r="F334" s="67">
        <v>528.1740575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2763.7719</v>
      </c>
      <c r="N334" s="67">
        <v>528.1740575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2799.5469</v>
      </c>
      <c r="F335" s="67">
        <v>553.0107575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2799.5469</v>
      </c>
      <c r="N335" s="67">
        <v>553.0107575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1396.235</v>
      </c>
      <c r="N656" s="67">
        <v>244.341125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1587.815</v>
      </c>
      <c r="N657" s="67">
        <v>277.867625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1396.235</v>
      </c>
      <c r="N822" s="67">
        <v>244.341125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1587.815</v>
      </c>
      <c r="N823" s="67">
        <v>277.867625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866.01</v>
      </c>
      <c r="F1050" s="67">
        <v>125.1705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403.67</v>
      </c>
      <c r="F1051" s="67">
        <v>60.5605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945.4159999999999</v>
      </c>
      <c r="F1052" s="67">
        <v>255.149625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427.23</v>
      </c>
      <c r="F1053" s="67">
        <v>158.785375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866.01</v>
      </c>
      <c r="F1198" s="67">
        <v>125.1705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403.67</v>
      </c>
      <c r="F1199" s="67">
        <v>60.5605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945.4159999999999</v>
      </c>
      <c r="F1200" s="67">
        <v>255.149625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427.23</v>
      </c>
      <c r="F1201" s="67">
        <v>158.785375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150.455</v>
      </c>
      <c r="N1615" s="67">
        <v>97.79575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23.3</v>
      </c>
      <c r="N1616" s="67">
        <v>15.145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150.455</v>
      </c>
      <c r="N1774" s="67">
        <v>97.79575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23.3</v>
      </c>
      <c r="N1775" s="67">
        <v>15.145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2026-06-25T21:39:13Z</dcterms:created>
  <dcterms:modified xsi:type="dcterms:W3CDTF">2026-06-25T21:39:13Z</dcterms:modified>
</cp:coreProperties>
</file>