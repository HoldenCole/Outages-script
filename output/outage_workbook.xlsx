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5% share of the national forecast); prior-year totals &amp; 2027 plan on the right axis.</t>
        </r>
      </text>
    </comment>
    <comment ref="P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25% share of the national forecast); prior-year totals &amp; 2027 plan on the right axis.</t>
        </r>
      </text>
    </comment>
    <comment ref="B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47% share of the national forecast); prior-year totals &amp; 2027 plan on the right axis.</t>
        </r>
      </text>
    </comment>
    <comment ref="P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3% share of the national forecast); prior-year totals &amp; 2027 plan on the right axis.</t>
        </r>
      </text>
    </comment>
    <comment ref="B55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20% share of the national forecast); prior-year totals &amp; 2027 plan on the right axis.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1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<sst xmlns="http://schemas.openxmlformats.org/spreadsheetml/2006/main" count="17443" uniqueCount="431">
  <si>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</si>
  <si>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</si>
  <si>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</si>
  <si>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</si>
  <si>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</si>
  <si>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</si>
  <si>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</si>
  <si>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</si>
  <si>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</si>
  <si>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</si>
  <si>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</si>
  <si>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</si>
  <si>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</si>
  <si>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</si>
  <si>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</si>
  <si>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</si>
  <si>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</si>
  <si>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</si>
  <si>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</si>
  <si>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</si>
  <si>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</si>
  <si>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</si>
  <si>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</si>
  <si>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</si>
  <si>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</si>
  <si>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</si>
  <si>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</si>
  <si>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</si>
  <si>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</si>
  <si>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</si>
  <si>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</si>
  <si>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</si>
  <si>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</si>
  <si>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</si>
  <si>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</si>
  <si>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</si>
  <si>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</si>
  <si>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</si>
  <si>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</si>
  <si>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</si>
  <si>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</si>
  <si>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</si>
  <si>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</si>
  <si>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</si>
  <si>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</si>
  <si>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</si>
  <si>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</si>
  <si>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</si>
  <si>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</si>
  <si>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</si>
  <si>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</si>
  <si>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</si>
  <si>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</si>
  <si>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</si>
  <si>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</si>
  <si>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</si>
  <si>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</si>
  <si>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</si>
  <si>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</si>
  <si>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</si>
  <si>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</si>
  <si>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</si>
  <si>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</si>
  <si>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</si>
  <si>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</si>
  <si>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</si>
  <si>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</si>
  <si>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</si>
  <si>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</si>
  <si>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</si>
  <si>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</si>
  <si>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</si>
  <si>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</si>
  <si>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</si>
  <si>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</si>
  <si>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</si>
  <si>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</si>
  <si>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</si>
  <si>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</si>
  <si>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</si>
  <si>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</si>
  <si>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</si>
  <si>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</si>
  <si>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</si>
  <si>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</si>
  <si>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</si>
  <si>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</si>
  <si>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</si>
  <si>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</si>
  <si>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</si>
  <si>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</si>
  <si>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</si>
  <si>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</si>
  <si>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</si>
  <si>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</si>
  <si>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</si>
  <si>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</si>
  <si>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</si>
  <si>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</si>
  <si>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</si>
  <si>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</si>
  <si>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</si>
  <si>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</si>
  <si>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</si>
  <si>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</si>
  <si>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</si>
  <si>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</si>
  <si>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</si>
  <si>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</si>
  <si>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</si>
  <si>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</si>
  <si>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</si>
  <si>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</si>
  <si>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</si>
  <si>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</si>
  <si>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</si>
  <si>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</si>
  <si>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</si>
  <si>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</si>
  <si>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</si>
  <si>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</si>
  <si>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</si>
  <si>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</si>
  <si>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</si>
  <si>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</si>
  <si>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</si>
  <si>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</si>
  <si>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</si>
  <si>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</si>
  <si>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</si>
  <si>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</si>
  <si>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</si>
  <si>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</si>
  <si>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</si>
  <si>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</si>
  <si>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</si>
  <si>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</si>
  <si>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</si>
  <si>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</si>
  <si>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</si>
  <si>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</si>
  <si>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</si>
  <si>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</si>
  <si>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</si>
  <si>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</si>
  <si>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</si>
  <si>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</si>
  <si>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</si>
  <si>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</si>
  <si>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</si>
  <si>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</si>
  <si>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</si>
  <si>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</si>
  <si>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</si>
  <si>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</si>
  <si>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</si>
  <si>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</si>
  <si>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</si>
  <si>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</si>
  <si>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</si>
  <si>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</si>
  <si>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</si>
  <si>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</si>
  <si>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</si>
  <si>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</si>
  <si>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</si>
  <si>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</si>
  <si>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</si>
  <si>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</si>
  <si>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</si>
  <si>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</si>
  <si>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</si>
  <si>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</si>
  <si>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</si>
  <si>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</si>
  <si>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</si>
  <si>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</si>
  <si>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</si>
  <si>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</si>
  <si>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</si>
  <si>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</si>
  <si>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</si>
  <si>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</si>
  <si>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</si>
  <si>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</si>
  <si>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</si>
  <si>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</si>
  <si>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</si>
  <si>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</si>
  <si>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</si>
  <si>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</si>
  <si>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</si>
  <si>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</si>
  <si>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</si>
  <si>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</si>
  <si>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</si>
  <si>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</si>
  <si>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</si>
  <si>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</si>
  <si>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</si>
  <si>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</si>
  <si>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</si>
  <si>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</si>
  <si>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</si>
  <si>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</si>
  <si>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</si>
  <si>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</si>
  <si>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</si>
  <si>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</si>
  <si>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</si>
  <si>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</si>
  <si>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</si>
  <si>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</si>
  <si>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</si>
  <si>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plan), two per row; then PADD x year matrices side-by-side.</t>
  </si>
  <si>
    <t>PADD 1 - 2026 plan+unplanned (+forecast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</si>
  <si>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</si>
  <si>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</si>
  <si>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</si>
  <si>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</si>
  <si>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</si>
  <si>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</si>
  <si>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plan+unplanned (+forecast tail) vs 2023-25 totals &amp; 2027 plan</t>
  </si>
  <si>
    <t>PADD 3 - 2026 plan+unplanned (+forecast tail) vs 2023-25 totals &amp; 2027 plan</t>
  </si>
  <si>
    <t>PADD 4 - 2026 plan+unplanned (+forecast tail) vs 2023-25 totals &amp; 2027 plan</t>
  </si>
  <si>
    <t>PADD 5 - 2026 plan+unplanned (+forecast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</si>
  <si>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</si>
  <si>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</si>
  <si>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</si>
  <si>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</si>
  <si>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</si>
  <si>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</si>
  <si>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</si>
  <si>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</si>
  <si>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</si>
  <si>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</si>
  <si>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</si>
  <si>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</si>
  <si>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</si>
  <si>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</si>
  <si>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</si>
  <si>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</si>
  <si>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</si>
  <si>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</si>
  <si>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</si>
  <si>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</si>
  <si>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</si>
  <si>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</si>
  <si>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</si>
  <si>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</si>
  <si>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</si>
  <si>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</si>
  <si>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</si>
  <si>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</si>
  <si>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</si>
  <si>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</si>
  <si>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</si>
  <si>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</si>
  <si>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</si>
  <si>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</si>
  <si>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</si>
  <si>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</si>
  <si>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</si>
  <si>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</si>
  <si>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</si>
  <si>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</si>
  <si>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</si>
  <si>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</si>
  <si>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</si>
  <si>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</si>
  <si>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</si>
  <si>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</si>
  <si>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</si>
  <si>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</si>
  <si>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</si>
  <si>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</si>
  <si>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</si>
  <si>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</si>
  <si>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</si>
  <si>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</si>
  <si>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</si>
  <si>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</si>
  <si>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</si>
  <si>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</si>
  <si>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</si>
  <si>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</si>
  <si>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</si>
  <si>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</si>
  <si>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</si>
  <si>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</si>
  <si>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</si>
  <si>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</si>
  <si>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</si>
  <si>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</si>
  <si>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</si>
  <si>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</si>
  <si>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</si>
  <si>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</si>
  <si>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</si>
  <si>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</si>
  <si>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</si>
  <si>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</si>
  <si>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</si>
  <si>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</si>
  <si>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</si>
  <si>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</si>
  <si>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</si>
  <si>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</si>
  <si>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</si>
  <si>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</si>
  <si>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</si>
  <si>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</si>
  <si>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</si>
  <si>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</si>
  <si>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</si>
  <si>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</si>
  <si>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</si>
  <si>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</si>
  <si>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</si>
  <si>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</si>
  <si>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</si>
  <si>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</si>
  <si>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</si>
  <si>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</si>
  <si>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</si>
  <si>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</si>
  <si>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</si>
  <si>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</si>
  <si>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</si>
  <si>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</si>
  <si>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</si>
  <si>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</si>
  <si>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</si>
  <si>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</si>
  <si>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</si>
  <si>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</si>
  <si>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</si>
  <si>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</si>
  <si>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</si>
  <si>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</si>
  <si>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</si>
  <si>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</si>
  <si>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</si>
  <si>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</si>
  <si>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</si>
  <si>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</si>
  <si>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</si>
  <si>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</si>
  <si>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</si>
  <si>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</si>
  <si>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</si>
  <si>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</si>
  <si>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</si>
  <si>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</si>
  <si>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</si>
  <si>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</si>
  <si>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</si>
  <si>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</si>
  <si>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</si>
  <si>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</si>
  <si>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</si>
  <si>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</si>
  <si>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</si>
  <si>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</si>
  <si>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</si>
  <si>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</si>
  <si>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</si>
  <si>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</si>
  <si>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</si>
  <si>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</si>
  <si>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</si>
  <si>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</si>
  <si>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</si>
  <si>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</si>
  <si>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</si>
  <si>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</si>
  <si>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</si>
  <si>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</si>
  <si>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</si>
  <si>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</si>
  <si>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</si>
  <si>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</si>
  <si>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</si>
  <si>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</si>
  <si>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</si>
  <si>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</si>
  <si>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</si>
  <si>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</si>
  <si>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</si>
  <si>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</si>
  <si>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</si>
  <si>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</si>
  <si>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</si>
  <si>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</si>
  <si>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</si>
  <si>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</si>
  <si>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</si>
  <si>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</si>
  <si>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</si>
  <si>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</si>
  <si>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</si>
  <si>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</si>
  <si>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</si>
  <si>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</si>
  <si>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</si>
  <si>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</si>
  <si>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</si>
  <si>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</si>
  <si>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</si>
  <si>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</si>
  <si>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</si>
  <si>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</si>
  <si>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</si>
  <si>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</si>
  <si>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</si>
  <si>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</si>
  <si>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</si>
  <si>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</si>
  <si>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</si>
  <si>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</si>
  <si>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</si>
  <si>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</si>
  <si>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</si>
  <si>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</si>
  <si>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</si>
  <si>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Scenario Summary - 2027 Implied Total Offline (kbd)</t>
  </si>
  <si>
    <t>Mult</t>
  </si>
  <si>
    <t>Booked planned</t>
  </si>
  <si>
    <t>Implied total</t>
  </si>
  <si>
    <t>Sensitivity - 2027 Unplanned (kbd): Growth x Mult</t>
  </si>
  <si>
    <t>Grw \ Mult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</si>
</sst>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70" fontId="28" fillId="0" borderId="0" xfId="0" applyNumberFormat="1" applyFont="1" applyAlignment="1">
      <alignment horizontal="right"/>
    </xf>
    <xf numFmtId="168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PADD!$Q$8:$AB$8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PADD!$Q$9:$AB$9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PADD!$P$10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PADD!$Q$10:$AB$10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PADD!$P$11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PADD!$Q$11:$AB$11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PADD!$P$12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PADD!$Q$12:$AB$12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PADD!$P$13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PADD!$Q$13:$AB$13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PADD!$C$32:$N$32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PADD!$Q$32:$AB$32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PADD!$Q$33:$AB$33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PADD!$P$34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PADD!$Q$34:$AB$34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PADD!$P$35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PADD!$Q$35:$AB$35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PADD!$P$36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PADD!$Q$36:$AB$36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PADD!$P$37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PADD!$Q$37:$AB$37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PADD!$C$56:$N$56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PADD!$B$57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PADD!$C$57:$N$57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PADD!$B$58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PADD!$B$59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PADD!$B$60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PADD!$B$61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Analysis'!$B$36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Analysis'!$C$37:$N$37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Analysis'!$B$38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Analysis'!$C$38:$N$38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Analysis'!$B$39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Analysis'!$C$39:$N$39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Analysis'!$B$43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Analysis'!$C$43:$N$43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Analysis'!$B$44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Analysis'!$B$45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Analysis'!$E$51:$E$53</c:f>
              <c:numCache>
                <c:formatCode>General</c:formatCode>
                <c:ptCount val="3"/>
                <c:pt idx="0">
                  <c:v>15923.1696</c:v>
                </c:pt>
                <c:pt idx="1">
                  <c:v>15923.1696</c:v>
                </c:pt>
                <c:pt idx="2">
                  <c:v>15923.1696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Analysis'!$D$51:$D$53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8</xdr:col>
      <xdr:colOff>333375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22</xdr:col>
      <xdr:colOff>333375</xdr:colOff>
      <xdr:row>28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8</xdr:col>
      <xdr:colOff>333375</xdr:colOff>
      <xdr:row>52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37</xdr:row>
      <xdr:rowOff>0</xdr:rowOff>
    </xdr:from>
    <xdr:to>
      <xdr:col>22</xdr:col>
      <xdr:colOff>333375</xdr:colOff>
      <xdr:row>52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8</xdr:col>
      <xdr:colOff>333375</xdr:colOff>
      <xdr:row>76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34</xdr:row>
      <xdr:rowOff>0</xdr:rowOff>
    </xdr:from>
    <xdr:to>
      <xdr:col>25</xdr:col>
      <xdr:colOff>0</xdr:colOff>
      <xdr:row>47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50</xdr:row>
      <xdr:rowOff>0</xdr:rowOff>
    </xdr:from>
    <xdr:to>
      <xdr:col>25</xdr:col>
      <xdr:colOff>0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57</xdr:row>
      <xdr:rowOff>0</xdr:rowOff>
    </xdr:from>
    <xdr:to>
      <xdr:col>9</xdr:col>
      <xdr:colOff>190500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15923.1696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AB95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  <col min="15" max="15" width="2.7109375" customWidth="1"/>
    <col min="16" max="16" width="16.7109375" customWidth="1"/>
    <col min="17" max="28" width="8.28515625" customWidth="1"/>
  </cols>
  <sheetData>
    <row r="1" spans="2:28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28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28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28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P6" s="5" t="s">
        <v>222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P7" s="15" t="s">
        <v>210</v>
      </c>
      <c r="Q7" s="16" t="s">
        <v>155</v>
      </c>
      <c r="R7" s="16" t="s">
        <v>156</v>
      </c>
      <c r="S7" s="16" t="s">
        <v>157</v>
      </c>
      <c r="T7" s="16" t="s">
        <v>158</v>
      </c>
      <c r="U7" s="16" t="s">
        <v>159</v>
      </c>
      <c r="V7" s="16" t="s">
        <v>160</v>
      </c>
      <c r="W7" s="16" t="s">
        <v>161</v>
      </c>
      <c r="X7" s="16" t="s">
        <v>162</v>
      </c>
      <c r="Y7" s="16" t="s">
        <v>163</v>
      </c>
      <c r="Z7" s="16" t="s">
        <v>164</v>
      </c>
      <c r="AA7" s="16" t="s">
        <v>165</v>
      </c>
      <c r="AB7" s="16" t="s">
        <v>166</v>
      </c>
    </row>
    <row r="8" spans="2:28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  <c r="P8" s="28" t="s">
        <v>216</v>
      </c>
      <c r="Q8" s="27">
        <v>0</v>
      </c>
      <c r="R8" s="27">
        <v>152.32</v>
      </c>
      <c r="S8" s="27">
        <v>1116.623</v>
      </c>
      <c r="T8" s="27">
        <v>1226.99</v>
      </c>
      <c r="U8" s="27">
        <v>454.127</v>
      </c>
      <c r="V8" s="27">
        <v>0</v>
      </c>
      <c r="W8" s="27">
        <v>8</v>
      </c>
      <c r="X8" s="27">
        <v>0</v>
      </c>
      <c r="Y8" s="27">
        <v>572.9400000000001</v>
      </c>
      <c r="Z8" s="27">
        <v>705.146</v>
      </c>
      <c r="AA8" s="27">
        <v>397.5</v>
      </c>
      <c r="AB8" s="27">
        <v>0</v>
      </c>
    </row>
    <row r="9" spans="2:28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  <c r="P9" s="28" t="s">
        <v>217</v>
      </c>
      <c r="Q9" s="27">
        <v>161.3505</v>
      </c>
      <c r="R9" s="27">
        <v>568.1735</v>
      </c>
      <c r="S9" s="27">
        <v>119.4167</v>
      </c>
      <c r="T9" s="27">
        <v>287.843</v>
      </c>
      <c r="U9" s="27">
        <v>375.833</v>
      </c>
      <c r="V9" s="27">
        <v>138.475</v>
      </c>
      <c r="W9" s="27">
        <v>327.4526644359984</v>
      </c>
      <c r="X9" s="27">
        <v>312.2237567411152</v>
      </c>
      <c r="Y9" s="27">
        <v>379.3556205231208</v>
      </c>
      <c r="Z9" s="27">
        <v>513.9033359463359</v>
      </c>
      <c r="AA9" s="27">
        <v>337.0643009231111</v>
      </c>
      <c r="AB9" s="27">
        <v>357.237778062238</v>
      </c>
    </row>
    <row r="10" spans="2:28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  <c r="P10" s="28" t="s">
        <v>218</v>
      </c>
      <c r="Q10" s="27">
        <v>194.6489</v>
      </c>
      <c r="R10" s="27">
        <v>601.5409</v>
      </c>
      <c r="S10" s="27">
        <v>1263.025</v>
      </c>
      <c r="T10" s="27">
        <v>2161.4255</v>
      </c>
      <c r="U10" s="27">
        <v>919.8905999999999</v>
      </c>
      <c r="V10" s="27">
        <v>326.2495</v>
      </c>
      <c r="W10" s="27">
        <v>260.566</v>
      </c>
      <c r="X10" s="27">
        <v>603.6235</v>
      </c>
      <c r="Y10" s="27">
        <v>773.2645</v>
      </c>
      <c r="Z10" s="27">
        <v>1204.6989</v>
      </c>
      <c r="AA10" s="27">
        <v>328.8481</v>
      </c>
      <c r="AB10" s="27">
        <v>129.87</v>
      </c>
    </row>
    <row r="11" spans="2:28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  <c r="P11" s="28" t="s">
        <v>219</v>
      </c>
      <c r="Q11" s="27">
        <v>82.622</v>
      </c>
      <c r="R11" s="27">
        <v>1893.1044</v>
      </c>
      <c r="S11" s="27">
        <v>1347.1691</v>
      </c>
      <c r="T11" s="27">
        <v>1456.5636</v>
      </c>
      <c r="U11" s="27">
        <v>670.5625</v>
      </c>
      <c r="V11" s="27">
        <v>364.397</v>
      </c>
      <c r="W11" s="27">
        <v>802.508</v>
      </c>
      <c r="X11" s="27">
        <v>516.3492</v>
      </c>
      <c r="Y11" s="27">
        <v>1029.2768</v>
      </c>
      <c r="Z11" s="27">
        <v>1512.466</v>
      </c>
      <c r="AA11" s="27">
        <v>525.778</v>
      </c>
      <c r="AB11" s="27">
        <v>41.1286</v>
      </c>
    </row>
    <row r="12" spans="2:28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  <c r="P12" s="28" t="s">
        <v>220</v>
      </c>
      <c r="Q12" s="27">
        <v>1256.5976</v>
      </c>
      <c r="R12" s="27">
        <v>1088.065</v>
      </c>
      <c r="S12" s="27">
        <v>1877.395</v>
      </c>
      <c r="T12" s="27">
        <v>2007.8074</v>
      </c>
      <c r="U12" s="27">
        <v>1042.2436</v>
      </c>
      <c r="V12" s="27">
        <v>511.95</v>
      </c>
      <c r="W12" s="27">
        <v>453.487</v>
      </c>
      <c r="X12" s="27">
        <v>182.999</v>
      </c>
      <c r="Y12" s="27">
        <v>1481.1244</v>
      </c>
      <c r="Z12" s="27">
        <v>1816.5088</v>
      </c>
      <c r="AA12" s="27">
        <v>326.1729</v>
      </c>
      <c r="AB12" s="27">
        <v>60.5386</v>
      </c>
    </row>
    <row r="13" spans="2:28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  <c r="P13" s="28" t="s">
        <v>221</v>
      </c>
      <c r="Q13" s="27">
        <v>0</v>
      </c>
      <c r="R13" s="27">
        <v>192.48</v>
      </c>
      <c r="S13" s="27">
        <v>614.741</v>
      </c>
      <c r="T13" s="27">
        <v>961.0699999999999</v>
      </c>
      <c r="U13" s="27">
        <v>473.25</v>
      </c>
      <c r="V13" s="27">
        <v>0</v>
      </c>
      <c r="W13" s="27">
        <v>0</v>
      </c>
      <c r="X13" s="27">
        <v>0</v>
      </c>
      <c r="Y13" s="27">
        <v>1168.516</v>
      </c>
      <c r="Z13" s="27">
        <v>583.63</v>
      </c>
      <c r="AA13" s="27">
        <v>1.8</v>
      </c>
      <c r="AB13" s="27">
        <v>0</v>
      </c>
    </row>
    <row r="30" spans="2:28" ht="19" customHeight="1">
      <c r="B30" s="5" t="s">
        <v>223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P30" s="5" t="s">
        <v>224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2:28">
      <c r="B31" s="15" t="s">
        <v>210</v>
      </c>
      <c r="C31" s="16" t="s">
        <v>155</v>
      </c>
      <c r="D31" s="16" t="s">
        <v>156</v>
      </c>
      <c r="E31" s="16" t="s">
        <v>157</v>
      </c>
      <c r="F31" s="16" t="s">
        <v>158</v>
      </c>
      <c r="G31" s="16" t="s">
        <v>159</v>
      </c>
      <c r="H31" s="16" t="s">
        <v>160</v>
      </c>
      <c r="I31" s="16" t="s">
        <v>161</v>
      </c>
      <c r="J31" s="16" t="s">
        <v>162</v>
      </c>
      <c r="K31" s="16" t="s">
        <v>163</v>
      </c>
      <c r="L31" s="16" t="s">
        <v>164</v>
      </c>
      <c r="M31" s="16" t="s">
        <v>165</v>
      </c>
      <c r="N31" s="16" t="s">
        <v>166</v>
      </c>
      <c r="P31" s="15" t="s">
        <v>210</v>
      </c>
      <c r="Q31" s="16" t="s">
        <v>155</v>
      </c>
      <c r="R31" s="16" t="s">
        <v>156</v>
      </c>
      <c r="S31" s="16" t="s">
        <v>157</v>
      </c>
      <c r="T31" s="16" t="s">
        <v>158</v>
      </c>
      <c r="U31" s="16" t="s">
        <v>159</v>
      </c>
      <c r="V31" s="16" t="s">
        <v>160</v>
      </c>
      <c r="W31" s="16" t="s">
        <v>161</v>
      </c>
      <c r="X31" s="16" t="s">
        <v>162</v>
      </c>
      <c r="Y31" s="16" t="s">
        <v>163</v>
      </c>
      <c r="Z31" s="16" t="s">
        <v>164</v>
      </c>
      <c r="AA31" s="16" t="s">
        <v>165</v>
      </c>
      <c r="AB31" s="16" t="s">
        <v>166</v>
      </c>
    </row>
    <row r="32" spans="2:28">
      <c r="B32" s="28" t="s">
        <v>216</v>
      </c>
      <c r="C32" s="27">
        <v>879.5774</v>
      </c>
      <c r="D32" s="27">
        <v>1498.1345</v>
      </c>
      <c r="E32" s="27">
        <v>645.745</v>
      </c>
      <c r="F32" s="27">
        <v>229.32</v>
      </c>
      <c r="G32" s="27">
        <v>221.335</v>
      </c>
      <c r="H32" s="27">
        <v>55.65</v>
      </c>
      <c r="I32" s="27">
        <v>115.992</v>
      </c>
      <c r="J32" s="27">
        <v>156.58</v>
      </c>
      <c r="K32" s="27">
        <v>416.941</v>
      </c>
      <c r="L32" s="27">
        <v>587.8024</v>
      </c>
      <c r="M32" s="27">
        <v>121.48</v>
      </c>
      <c r="N32" s="27">
        <v>0</v>
      </c>
      <c r="P32" s="28" t="s">
        <v>216</v>
      </c>
      <c r="Q32" s="27">
        <v>0</v>
      </c>
      <c r="R32" s="27">
        <v>7.79</v>
      </c>
      <c r="S32" s="27">
        <v>173.293</v>
      </c>
      <c r="T32" s="27">
        <v>263.53</v>
      </c>
      <c r="U32" s="27">
        <v>52.98800000000001</v>
      </c>
      <c r="V32" s="27">
        <v>0</v>
      </c>
      <c r="W32" s="27">
        <v>0</v>
      </c>
      <c r="X32" s="27">
        <v>0</v>
      </c>
      <c r="Y32" s="27">
        <v>0</v>
      </c>
      <c r="Z32" s="27">
        <v>19.62</v>
      </c>
      <c r="AA32" s="27">
        <v>0</v>
      </c>
      <c r="AB32" s="27">
        <v>0</v>
      </c>
    </row>
    <row r="33" spans="2:28">
      <c r="B33" s="28" t="s">
        <v>217</v>
      </c>
      <c r="C33" s="27">
        <v>275.676</v>
      </c>
      <c r="D33" s="27">
        <v>807.2025</v>
      </c>
      <c r="E33" s="27">
        <v>652.611</v>
      </c>
      <c r="F33" s="27">
        <v>1045.263</v>
      </c>
      <c r="G33" s="27">
        <v>531.2235000000001</v>
      </c>
      <c r="H33" s="27">
        <v>671.035</v>
      </c>
      <c r="I33" s="27">
        <v>614.7037742543238</v>
      </c>
      <c r="J33" s="27">
        <v>586.1156207453603</v>
      </c>
      <c r="K33" s="27">
        <v>712.1375302344849</v>
      </c>
      <c r="L33" s="27">
        <v>964.7144595760151</v>
      </c>
      <c r="M33" s="27">
        <v>632.7470210105082</v>
      </c>
      <c r="N33" s="27">
        <v>670.6172657330958</v>
      </c>
      <c r="P33" s="28" t="s">
        <v>217</v>
      </c>
      <c r="Q33" s="27">
        <v>0</v>
      </c>
      <c r="R33" s="27">
        <v>27.512</v>
      </c>
      <c r="S33" s="27">
        <v>20.374</v>
      </c>
      <c r="T33" s="27">
        <v>34.525</v>
      </c>
      <c r="U33" s="27">
        <v>75.66640000000001</v>
      </c>
      <c r="V33" s="27">
        <v>10.17</v>
      </c>
      <c r="W33" s="27">
        <v>44.18536665359313</v>
      </c>
      <c r="X33" s="27">
        <v>42.13042881581089</v>
      </c>
      <c r="Y33" s="27">
        <v>51.1889778444347</v>
      </c>
      <c r="Z33" s="27">
        <v>69.34439627298147</v>
      </c>
      <c r="AA33" s="27">
        <v>45.48232871391296</v>
      </c>
      <c r="AB33" s="27">
        <v>48.20447020451738</v>
      </c>
    </row>
    <row r="34" spans="2:28">
      <c r="B34" s="28" t="s">
        <v>218</v>
      </c>
      <c r="C34" s="27">
        <v>2513.4756</v>
      </c>
      <c r="D34" s="27">
        <v>2916.5111</v>
      </c>
      <c r="E34" s="27">
        <v>1164.668</v>
      </c>
      <c r="F34" s="27">
        <v>951.206</v>
      </c>
      <c r="G34" s="27">
        <v>451.324</v>
      </c>
      <c r="H34" s="27">
        <v>382.749</v>
      </c>
      <c r="I34" s="27">
        <v>296.0898</v>
      </c>
      <c r="J34" s="27">
        <v>608.524</v>
      </c>
      <c r="K34" s="27">
        <v>2193.196</v>
      </c>
      <c r="L34" s="27">
        <v>3093.4153</v>
      </c>
      <c r="M34" s="27">
        <v>1683.7699</v>
      </c>
      <c r="N34" s="27">
        <v>172.694</v>
      </c>
      <c r="P34" s="28" t="s">
        <v>218</v>
      </c>
      <c r="Q34" s="27">
        <v>63.17959999999999</v>
      </c>
      <c r="R34" s="27">
        <v>36.9436</v>
      </c>
      <c r="S34" s="27">
        <v>72.16249999999999</v>
      </c>
      <c r="T34" s="27">
        <v>127.706</v>
      </c>
      <c r="U34" s="27">
        <v>75.15000000000001</v>
      </c>
      <c r="V34" s="27">
        <v>8.223000000000001</v>
      </c>
      <c r="W34" s="27">
        <v>92.11199999999999</v>
      </c>
      <c r="X34" s="27">
        <v>4.779999999999999</v>
      </c>
      <c r="Y34" s="27">
        <v>6.365</v>
      </c>
      <c r="Z34" s="27">
        <v>54.195</v>
      </c>
      <c r="AA34" s="27">
        <v>16.895</v>
      </c>
      <c r="AB34" s="27">
        <v>14.089</v>
      </c>
    </row>
    <row r="35" spans="2:28">
      <c r="B35" s="28" t="s">
        <v>219</v>
      </c>
      <c r="C35" s="27">
        <v>3897.7506</v>
      </c>
      <c r="D35" s="27">
        <v>5540.9283</v>
      </c>
      <c r="E35" s="27">
        <v>2248.1637</v>
      </c>
      <c r="F35" s="27">
        <v>2012.658</v>
      </c>
      <c r="G35" s="27">
        <v>1141.365</v>
      </c>
      <c r="H35" s="27">
        <v>1180.7915</v>
      </c>
      <c r="I35" s="27">
        <v>1019.787</v>
      </c>
      <c r="J35" s="27">
        <v>1019.9182</v>
      </c>
      <c r="K35" s="27">
        <v>1784.1745</v>
      </c>
      <c r="L35" s="27">
        <v>2036.786</v>
      </c>
      <c r="M35" s="27">
        <v>1212.9515</v>
      </c>
      <c r="N35" s="27">
        <v>324.6714</v>
      </c>
      <c r="P35" s="28" t="s">
        <v>219</v>
      </c>
      <c r="Q35" s="27">
        <v>71.7204</v>
      </c>
      <c r="R35" s="27">
        <v>226.08</v>
      </c>
      <c r="S35" s="27">
        <v>244.3878</v>
      </c>
      <c r="T35" s="27">
        <v>138.769</v>
      </c>
      <c r="U35" s="27">
        <v>31.459</v>
      </c>
      <c r="V35" s="27">
        <v>17.778</v>
      </c>
      <c r="W35" s="27">
        <v>23.131</v>
      </c>
      <c r="X35" s="27">
        <v>38.4844</v>
      </c>
      <c r="Y35" s="27">
        <v>131.881</v>
      </c>
      <c r="Z35" s="27">
        <v>58.955</v>
      </c>
      <c r="AA35" s="27">
        <v>6.975</v>
      </c>
      <c r="AB35" s="27">
        <v>44.4628</v>
      </c>
    </row>
    <row r="36" spans="2:28">
      <c r="B36" s="28" t="s">
        <v>220</v>
      </c>
      <c r="C36" s="27">
        <v>3219.0812</v>
      </c>
      <c r="D36" s="27">
        <v>3622.339</v>
      </c>
      <c r="E36" s="27">
        <v>3305.26</v>
      </c>
      <c r="F36" s="27">
        <v>2929.6089</v>
      </c>
      <c r="G36" s="27">
        <v>2020.7778</v>
      </c>
      <c r="H36" s="27">
        <v>1367.2069</v>
      </c>
      <c r="I36" s="27">
        <v>772.8094</v>
      </c>
      <c r="J36" s="27">
        <v>1367.907</v>
      </c>
      <c r="K36" s="27">
        <v>1980.1739</v>
      </c>
      <c r="L36" s="27">
        <v>3552.627</v>
      </c>
      <c r="M36" s="27">
        <v>1809.522</v>
      </c>
      <c r="N36" s="27">
        <v>541.6272</v>
      </c>
      <c r="P36" s="28" t="s">
        <v>220</v>
      </c>
      <c r="Q36" s="27">
        <v>493.348</v>
      </c>
      <c r="R36" s="27">
        <v>408.143</v>
      </c>
      <c r="S36" s="27">
        <v>357.3731</v>
      </c>
      <c r="T36" s="27">
        <v>344.0876</v>
      </c>
      <c r="U36" s="27">
        <v>228.289</v>
      </c>
      <c r="V36" s="27">
        <v>53.3175</v>
      </c>
      <c r="W36" s="27">
        <v>40.651</v>
      </c>
      <c r="X36" s="27">
        <v>76.8</v>
      </c>
      <c r="Y36" s="27">
        <v>0</v>
      </c>
      <c r="Z36" s="27">
        <v>2.726</v>
      </c>
      <c r="AA36" s="27">
        <v>18.951</v>
      </c>
      <c r="AB36" s="27">
        <v>111.2157</v>
      </c>
    </row>
    <row r="37" spans="2:28">
      <c r="B37" s="28" t="s">
        <v>221</v>
      </c>
      <c r="C37" s="27">
        <v>692.313</v>
      </c>
      <c r="D37" s="27">
        <v>1256.1221</v>
      </c>
      <c r="E37" s="27">
        <v>1565.6915</v>
      </c>
      <c r="F37" s="27">
        <v>664.0222</v>
      </c>
      <c r="G37" s="27">
        <v>134.4</v>
      </c>
      <c r="H37" s="27">
        <v>210.95</v>
      </c>
      <c r="I37" s="27">
        <v>164</v>
      </c>
      <c r="J37" s="27">
        <v>47.56</v>
      </c>
      <c r="K37" s="27">
        <v>1545.905</v>
      </c>
      <c r="L37" s="27">
        <v>1819.237</v>
      </c>
      <c r="M37" s="27">
        <v>446.133</v>
      </c>
      <c r="N37" s="27">
        <v>0</v>
      </c>
      <c r="P37" s="28" t="s">
        <v>221</v>
      </c>
      <c r="Q37" s="27">
        <v>0</v>
      </c>
      <c r="R37" s="27">
        <v>139.68</v>
      </c>
      <c r="S37" s="27">
        <v>251.725</v>
      </c>
      <c r="T37" s="27">
        <v>257.098</v>
      </c>
      <c r="U37" s="27">
        <v>242.162</v>
      </c>
      <c r="V37" s="27">
        <v>0.855</v>
      </c>
      <c r="W37" s="27">
        <v>0</v>
      </c>
      <c r="X37" s="27">
        <v>0</v>
      </c>
      <c r="Y37" s="27">
        <v>42.994</v>
      </c>
      <c r="Z37" s="27">
        <v>34.444</v>
      </c>
      <c r="AA37" s="27">
        <v>4.753</v>
      </c>
      <c r="AB37" s="27">
        <v>0</v>
      </c>
    </row>
    <row r="54" spans="2:14" ht="19" customHeight="1">
      <c r="B54" s="5" t="s">
        <v>225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2:14">
      <c r="B55" s="15" t="s">
        <v>210</v>
      </c>
      <c r="C55" s="16" t="s">
        <v>155</v>
      </c>
      <c r="D55" s="16" t="s">
        <v>156</v>
      </c>
      <c r="E55" s="16" t="s">
        <v>157</v>
      </c>
      <c r="F55" s="16" t="s">
        <v>158</v>
      </c>
      <c r="G55" s="16" t="s">
        <v>159</v>
      </c>
      <c r="H55" s="16" t="s">
        <v>160</v>
      </c>
      <c r="I55" s="16" t="s">
        <v>161</v>
      </c>
      <c r="J55" s="16" t="s">
        <v>162</v>
      </c>
      <c r="K55" s="16" t="s">
        <v>163</v>
      </c>
      <c r="L55" s="16" t="s">
        <v>164</v>
      </c>
      <c r="M55" s="16" t="s">
        <v>165</v>
      </c>
      <c r="N55" s="16" t="s">
        <v>166</v>
      </c>
    </row>
    <row r="56" spans="2:14">
      <c r="B56" s="28" t="s">
        <v>216</v>
      </c>
      <c r="C56" s="27">
        <v>179.8849</v>
      </c>
      <c r="D56" s="27">
        <v>275.9716</v>
      </c>
      <c r="E56" s="27">
        <v>85.6249</v>
      </c>
      <c r="F56" s="27">
        <v>214.89</v>
      </c>
      <c r="G56" s="27">
        <v>272.8808</v>
      </c>
      <c r="H56" s="27">
        <v>123.38</v>
      </c>
      <c r="I56" s="27">
        <v>109.58</v>
      </c>
      <c r="J56" s="27">
        <v>47.53</v>
      </c>
      <c r="K56" s="27">
        <v>110.06</v>
      </c>
      <c r="L56" s="27">
        <v>198.14</v>
      </c>
      <c r="M56" s="27">
        <v>136.196</v>
      </c>
      <c r="N56" s="27">
        <v>9.5</v>
      </c>
    </row>
    <row r="57" spans="2:14">
      <c r="B57" s="28" t="s">
        <v>217</v>
      </c>
      <c r="C57" s="27">
        <v>320.38</v>
      </c>
      <c r="D57" s="27">
        <v>364.98</v>
      </c>
      <c r="E57" s="27">
        <v>287.466</v>
      </c>
      <c r="F57" s="27">
        <v>674.1610000000001</v>
      </c>
      <c r="G57" s="27">
        <v>198.49</v>
      </c>
      <c r="H57" s="27">
        <v>0</v>
      </c>
      <c r="I57" s="27">
        <v>260.242511540384</v>
      </c>
      <c r="J57" s="27">
        <v>248.1393601021165</v>
      </c>
      <c r="K57" s="27">
        <v>301.4923076651094</v>
      </c>
      <c r="L57" s="27">
        <v>408.423901714185</v>
      </c>
      <c r="M57" s="27">
        <v>267.8813451523436</v>
      </c>
      <c r="N57" s="27">
        <v>283.9141857042183</v>
      </c>
    </row>
    <row r="58" spans="2:14">
      <c r="B58" s="28" t="s">
        <v>218</v>
      </c>
      <c r="C58" s="27">
        <v>509.283</v>
      </c>
      <c r="D58" s="27">
        <v>985.422</v>
      </c>
      <c r="E58" s="27">
        <v>1263.928</v>
      </c>
      <c r="F58" s="27">
        <v>1698.66</v>
      </c>
      <c r="G58" s="27">
        <v>942.048</v>
      </c>
      <c r="H58" s="27">
        <v>631.49</v>
      </c>
      <c r="I58" s="27">
        <v>370.407</v>
      </c>
      <c r="J58" s="27">
        <v>387.615</v>
      </c>
      <c r="K58" s="27">
        <v>563.551</v>
      </c>
      <c r="L58" s="27">
        <v>1485.9288</v>
      </c>
      <c r="M58" s="27">
        <v>1026.309</v>
      </c>
      <c r="N58" s="27">
        <v>626.7</v>
      </c>
    </row>
    <row r="59" spans="2:14">
      <c r="B59" s="28" t="s">
        <v>219</v>
      </c>
      <c r="C59" s="27">
        <v>533.6799999999999</v>
      </c>
      <c r="D59" s="27">
        <v>1069.4633</v>
      </c>
      <c r="E59" s="27">
        <v>618.688</v>
      </c>
      <c r="F59" s="27">
        <v>709.707</v>
      </c>
      <c r="G59" s="27">
        <v>615.076</v>
      </c>
      <c r="H59" s="27">
        <v>544.169</v>
      </c>
      <c r="I59" s="27">
        <v>65.27199999999999</v>
      </c>
      <c r="J59" s="27">
        <v>112.765</v>
      </c>
      <c r="K59" s="27">
        <v>533.729</v>
      </c>
      <c r="L59" s="27">
        <v>647.6950000000001</v>
      </c>
      <c r="M59" s="27">
        <v>325.03</v>
      </c>
      <c r="N59" s="27">
        <v>171.0665</v>
      </c>
    </row>
    <row r="60" spans="2:14">
      <c r="B60" s="28" t="s">
        <v>220</v>
      </c>
      <c r="C60" s="27">
        <v>617.2497999999999</v>
      </c>
      <c r="D60" s="27">
        <v>1255.1687</v>
      </c>
      <c r="E60" s="27">
        <v>727.2744</v>
      </c>
      <c r="F60" s="27">
        <v>724.665</v>
      </c>
      <c r="G60" s="27">
        <v>482.509</v>
      </c>
      <c r="H60" s="27">
        <v>40.6612</v>
      </c>
      <c r="I60" s="27">
        <v>96.7664</v>
      </c>
      <c r="J60" s="27">
        <v>129.265</v>
      </c>
      <c r="K60" s="27">
        <v>102.055</v>
      </c>
      <c r="L60" s="27">
        <v>864.36</v>
      </c>
      <c r="M60" s="27">
        <v>658.28</v>
      </c>
      <c r="N60" s="27">
        <v>231.929</v>
      </c>
    </row>
    <row r="61" spans="2:14">
      <c r="B61" s="28" t="s">
        <v>221</v>
      </c>
      <c r="C61" s="27">
        <v>396.02</v>
      </c>
      <c r="D61" s="27">
        <v>504.118</v>
      </c>
      <c r="E61" s="27">
        <v>241.146</v>
      </c>
      <c r="F61" s="27">
        <v>13.559</v>
      </c>
      <c r="G61" s="27">
        <v>51.34</v>
      </c>
      <c r="H61" s="27">
        <v>3.5</v>
      </c>
      <c r="I61" s="27">
        <v>3.5</v>
      </c>
      <c r="J61" s="27">
        <v>3.5</v>
      </c>
      <c r="K61" s="27">
        <v>190.75</v>
      </c>
      <c r="L61" s="27">
        <v>513.04</v>
      </c>
      <c r="M61" s="27">
        <v>94.25</v>
      </c>
      <c r="N61" s="27">
        <v>3.5</v>
      </c>
    </row>
    <row r="79" spans="2:26" ht="19" customHeight="1">
      <c r="B79" s="8" t="s">
        <v>226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6" t="s">
        <v>227</v>
      </c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2:26">
      <c r="B80" s="15" t="s">
        <v>63</v>
      </c>
      <c r="C80" s="26">
        <v>2018</v>
      </c>
      <c r="D80" s="26">
        <v>2019</v>
      </c>
      <c r="E80" s="26">
        <v>2020</v>
      </c>
      <c r="F80" s="26">
        <v>2021</v>
      </c>
      <c r="G80" s="26">
        <v>2022</v>
      </c>
      <c r="H80" s="26">
        <v>2023</v>
      </c>
      <c r="I80" s="26">
        <v>2024</v>
      </c>
      <c r="J80" s="26">
        <v>2025</v>
      </c>
      <c r="K80" s="43">
        <v>2026</v>
      </c>
      <c r="L80" s="43">
        <v>2027</v>
      </c>
      <c r="P80" s="15" t="s">
        <v>63</v>
      </c>
      <c r="Q80" s="26">
        <v>2018</v>
      </c>
      <c r="R80" s="26">
        <v>2019</v>
      </c>
      <c r="S80" s="26">
        <v>2020</v>
      </c>
      <c r="T80" s="26">
        <v>2021</v>
      </c>
      <c r="U80" s="26">
        <v>2022</v>
      </c>
      <c r="V80" s="26">
        <v>2023</v>
      </c>
      <c r="W80" s="26">
        <v>2024</v>
      </c>
      <c r="X80" s="26">
        <v>2025</v>
      </c>
      <c r="Y80" s="43">
        <v>2026</v>
      </c>
    </row>
    <row r="81" spans="2:25">
      <c r="B81" s="28" t="s">
        <v>4</v>
      </c>
      <c r="C81" s="27">
        <v>2893.3769</v>
      </c>
      <c r="D81" s="27">
        <v>3939.7629</v>
      </c>
      <c r="E81" s="27">
        <v>9251.751700000001</v>
      </c>
      <c r="F81" s="27">
        <v>3805.4693</v>
      </c>
      <c r="G81" s="27">
        <v>1555.1216</v>
      </c>
      <c r="H81" s="27">
        <v>3165.7897</v>
      </c>
      <c r="I81" s="27">
        <v>1322.7674</v>
      </c>
      <c r="J81" s="27">
        <v>2415.657</v>
      </c>
      <c r="K81" s="37">
        <v>527.7182</v>
      </c>
      <c r="L81" s="37">
        <v>389.4148</v>
      </c>
      <c r="P81" s="28" t="s">
        <v>4</v>
      </c>
      <c r="Q81" s="27">
        <v>686.5771999999999</v>
      </c>
      <c r="R81" s="27">
        <v>1134.9774</v>
      </c>
      <c r="S81" s="27">
        <v>6639.4917</v>
      </c>
      <c r="T81" s="27">
        <v>3499.3643</v>
      </c>
      <c r="U81" s="27">
        <v>838.49</v>
      </c>
      <c r="V81" s="27">
        <v>871.5185</v>
      </c>
      <c r="W81" s="27">
        <v>758.0088</v>
      </c>
      <c r="X81" s="27">
        <v>1524.7432</v>
      </c>
      <c r="Y81" s="37">
        <v>341.7187</v>
      </c>
    </row>
    <row r="82" spans="2:25">
      <c r="B82" s="28" t="s">
        <v>5</v>
      </c>
      <c r="C82" s="27">
        <v>8081.7244</v>
      </c>
      <c r="D82" s="27">
        <v>10058.3026</v>
      </c>
      <c r="E82" s="27">
        <v>29889.079</v>
      </c>
      <c r="F82" s="27">
        <v>15977.2302</v>
      </c>
      <c r="G82" s="27">
        <v>10595.2604</v>
      </c>
      <c r="H82" s="27">
        <v>12104.8893</v>
      </c>
      <c r="I82" s="27">
        <v>10241.9252</v>
      </c>
      <c r="J82" s="27">
        <v>8767.651400000001</v>
      </c>
      <c r="K82" s="37">
        <v>6284.7377</v>
      </c>
      <c r="L82" s="37">
        <v>3995.487</v>
      </c>
      <c r="P82" s="28" t="s">
        <v>5</v>
      </c>
      <c r="Q82" s="27">
        <v>2968.9009</v>
      </c>
      <c r="R82" s="27">
        <v>4280.2866</v>
      </c>
      <c r="S82" s="27">
        <v>27603.1455</v>
      </c>
      <c r="T82" s="27">
        <v>11298.4568</v>
      </c>
      <c r="U82" s="27">
        <v>6764.0168</v>
      </c>
      <c r="V82" s="27">
        <v>6640.3387</v>
      </c>
      <c r="W82" s="27">
        <v>5602.5239</v>
      </c>
      <c r="X82" s="27">
        <v>2837.6686</v>
      </c>
      <c r="Y82" s="37">
        <v>1651.0917</v>
      </c>
    </row>
    <row r="83" spans="2:25">
      <c r="B83" s="28" t="s">
        <v>6</v>
      </c>
      <c r="C83" s="27">
        <v>14797.2328</v>
      </c>
      <c r="D83" s="27">
        <v>22644.4881</v>
      </c>
      <c r="E83" s="27">
        <v>80028.2665</v>
      </c>
      <c r="F83" s="27">
        <v>55571.7062</v>
      </c>
      <c r="G83" s="27">
        <v>26369.1344</v>
      </c>
      <c r="H83" s="27">
        <v>26488.9403</v>
      </c>
      <c r="I83" s="27">
        <v>23419.9457</v>
      </c>
      <c r="J83" s="27">
        <v>16427.6227</v>
      </c>
      <c r="K83" s="37">
        <v>9299.2333</v>
      </c>
      <c r="L83" s="37">
        <v>8546.3338</v>
      </c>
      <c r="P83" s="28" t="s">
        <v>6</v>
      </c>
      <c r="Q83" s="27">
        <v>6130.7373</v>
      </c>
      <c r="R83" s="27">
        <v>9871.7996</v>
      </c>
      <c r="S83" s="27">
        <v>66180.89750000001</v>
      </c>
      <c r="T83" s="27">
        <v>40953.2259</v>
      </c>
      <c r="U83" s="27">
        <v>11315.8739</v>
      </c>
      <c r="V83" s="27">
        <v>11829.2618</v>
      </c>
      <c r="W83" s="27">
        <v>11810.3492</v>
      </c>
      <c r="X83" s="27">
        <v>6051.7432</v>
      </c>
      <c r="Y83" s="37">
        <v>4370.676</v>
      </c>
    </row>
    <row r="84" spans="2:25">
      <c r="B84" s="28" t="s">
        <v>7</v>
      </c>
      <c r="C84" s="27">
        <v>1578.74</v>
      </c>
      <c r="D84" s="27">
        <v>573.6105</v>
      </c>
      <c r="E84" s="27">
        <v>3098.1596</v>
      </c>
      <c r="F84" s="27">
        <v>2489.7791</v>
      </c>
      <c r="G84" s="27">
        <v>1648.2037</v>
      </c>
      <c r="H84" s="27">
        <v>2134.9019</v>
      </c>
      <c r="I84" s="27">
        <v>1034.0834</v>
      </c>
      <c r="J84" s="27">
        <v>571.8007</v>
      </c>
      <c r="K84" s="37">
        <v>690.2984</v>
      </c>
      <c r="L84" s="37">
        <v>973.711</v>
      </c>
      <c r="P84" s="28" t="s">
        <v>7</v>
      </c>
      <c r="Q84" s="27">
        <v>397.564</v>
      </c>
      <c r="R84" s="27">
        <v>40.13650000000001</v>
      </c>
      <c r="S84" s="27">
        <v>2735.7326</v>
      </c>
      <c r="T84" s="27">
        <v>1627.5056</v>
      </c>
      <c r="U84" s="27">
        <v>693.9537</v>
      </c>
      <c r="V84" s="27">
        <v>1470.7124</v>
      </c>
      <c r="W84" s="27">
        <v>401.7754</v>
      </c>
      <c r="X84" s="27">
        <v>381.1887</v>
      </c>
      <c r="Y84" s="37">
        <v>173.0774</v>
      </c>
    </row>
    <row r="85" spans="2:25">
      <c r="B85" s="28" t="s">
        <v>8</v>
      </c>
      <c r="C85" s="27">
        <v>4684.4105</v>
      </c>
      <c r="D85" s="27">
        <v>5441.4348</v>
      </c>
      <c r="E85" s="27">
        <v>27982.3252</v>
      </c>
      <c r="F85" s="27">
        <v>14331.2426</v>
      </c>
      <c r="G85" s="27">
        <v>6891.4998</v>
      </c>
      <c r="H85" s="27">
        <v>5930.1835</v>
      </c>
      <c r="I85" s="27">
        <v>5946.3408</v>
      </c>
      <c r="J85" s="27">
        <v>10491.3418</v>
      </c>
      <c r="K85" s="37">
        <v>3609.1152</v>
      </c>
      <c r="L85" s="37">
        <v>2018.223</v>
      </c>
      <c r="P85" s="28" t="s">
        <v>8</v>
      </c>
      <c r="Q85" s="27">
        <v>1184.8115</v>
      </c>
      <c r="R85" s="27">
        <v>3008.2042</v>
      </c>
      <c r="S85" s="27">
        <v>21618.5782</v>
      </c>
      <c r="T85" s="27">
        <v>9056.141100000001</v>
      </c>
      <c r="U85" s="27">
        <v>3016.1748</v>
      </c>
      <c r="V85" s="27">
        <v>2872.6275</v>
      </c>
      <c r="W85" s="27">
        <v>3009.9095</v>
      </c>
      <c r="X85" s="27">
        <v>8462.209800000001</v>
      </c>
      <c r="Y85" s="37">
        <v>1845.477</v>
      </c>
    </row>
    <row r="86" spans="2:25">
      <c r="B86" s="17" t="s">
        <v>0</v>
      </c>
      <c r="C86" s="35">
        <f>SUM(C81:C85)</f>
        <v>0</v>
      </c>
      <c r="D86" s="35">
        <f>SUM(D81:D85)</f>
        <v>0</v>
      </c>
      <c r="E86" s="35">
        <f>SUM(E81:E85)</f>
        <v>0</v>
      </c>
      <c r="F86" s="35">
        <f>SUM(F81:F85)</f>
        <v>0</v>
      </c>
      <c r="G86" s="35">
        <f>SUM(G81:G85)</f>
        <v>0</v>
      </c>
      <c r="H86" s="35">
        <f>SUM(H81:H85)</f>
        <v>0</v>
      </c>
      <c r="I86" s="35">
        <f>SUM(I81:I85)</f>
        <v>0</v>
      </c>
      <c r="J86" s="35">
        <f>SUM(J81:J85)</f>
        <v>0</v>
      </c>
      <c r="K86" s="37">
        <f>SUM(K81:K85)</f>
        <v>0</v>
      </c>
      <c r="L86" s="37">
        <f>SUM(L81:L85)</f>
        <v>0</v>
      </c>
      <c r="P86" s="17" t="s">
        <v>0</v>
      </c>
      <c r="Q86" s="35">
        <f>SUM(Q81:Q85)</f>
        <v>0</v>
      </c>
      <c r="R86" s="35">
        <f>SUM(R81:R85)</f>
        <v>0</v>
      </c>
      <c r="S86" s="35">
        <f>SUM(S81:S85)</f>
        <v>0</v>
      </c>
      <c r="T86" s="35">
        <f>SUM(T81:T85)</f>
        <v>0</v>
      </c>
      <c r="U86" s="35">
        <f>SUM(U81:U85)</f>
        <v>0</v>
      </c>
      <c r="V86" s="35">
        <f>SUM(V81:V85)</f>
        <v>0</v>
      </c>
      <c r="W86" s="35">
        <f>SUM(W81:W85)</f>
        <v>0</v>
      </c>
      <c r="X86" s="35">
        <f>SUM(X81:X85)</f>
        <v>0</v>
      </c>
      <c r="Y86" s="37">
        <f>SUM(Y81:Y85)</f>
        <v>0</v>
      </c>
    </row>
    <row r="88" spans="2:25" ht="19" customHeight="1">
      <c r="B88" s="44" t="s">
        <v>228</v>
      </c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</row>
    <row r="89" spans="2:25">
      <c r="B89" s="15" t="s">
        <v>63</v>
      </c>
      <c r="C89" s="26">
        <v>2018</v>
      </c>
      <c r="D89" s="26">
        <v>2019</v>
      </c>
      <c r="E89" s="26">
        <v>2020</v>
      </c>
      <c r="F89" s="26">
        <v>2021</v>
      </c>
      <c r="G89" s="26">
        <v>2022</v>
      </c>
      <c r="H89" s="26">
        <v>2023</v>
      </c>
      <c r="I89" s="26">
        <v>2024</v>
      </c>
      <c r="J89" s="26">
        <v>2025</v>
      </c>
      <c r="K89" s="43">
        <v>2026</v>
      </c>
      <c r="L89" s="43">
        <v>2027</v>
      </c>
    </row>
    <row r="90" spans="2:25">
      <c r="B90" s="28" t="s">
        <v>4</v>
      </c>
      <c r="C90" s="27">
        <v>2206.7997</v>
      </c>
      <c r="D90" s="27">
        <v>2804.7855</v>
      </c>
      <c r="E90" s="27">
        <v>2612.26</v>
      </c>
      <c r="F90" s="27">
        <v>306.105</v>
      </c>
      <c r="G90" s="27">
        <v>716.6316</v>
      </c>
      <c r="H90" s="27">
        <v>2294.2712</v>
      </c>
      <c r="I90" s="27">
        <v>564.7586</v>
      </c>
      <c r="J90" s="27">
        <v>890.9138</v>
      </c>
      <c r="K90" s="37">
        <v>185.9995</v>
      </c>
      <c r="L90" s="37">
        <v>389.4148</v>
      </c>
    </row>
    <row r="91" spans="2:25">
      <c r="B91" s="28" t="s">
        <v>5</v>
      </c>
      <c r="C91" s="27">
        <v>5112.8235</v>
      </c>
      <c r="D91" s="27">
        <v>5778.016</v>
      </c>
      <c r="E91" s="27">
        <v>2285.9335</v>
      </c>
      <c r="F91" s="27">
        <v>4678.7734</v>
      </c>
      <c r="G91" s="27">
        <v>3831.2436</v>
      </c>
      <c r="H91" s="27">
        <v>5464.5506</v>
      </c>
      <c r="I91" s="27">
        <v>4639.4013</v>
      </c>
      <c r="J91" s="27">
        <v>5929.9828</v>
      </c>
      <c r="K91" s="37">
        <v>4633.646</v>
      </c>
      <c r="L91" s="37">
        <v>3995.487</v>
      </c>
    </row>
    <row r="92" spans="2:25">
      <c r="B92" s="28" t="s">
        <v>6</v>
      </c>
      <c r="C92" s="27">
        <v>8666.495499999999</v>
      </c>
      <c r="D92" s="27">
        <v>12772.6885</v>
      </c>
      <c r="E92" s="27">
        <v>13847.369</v>
      </c>
      <c r="F92" s="27">
        <v>14618.4803</v>
      </c>
      <c r="G92" s="27">
        <v>15053.2605</v>
      </c>
      <c r="H92" s="27">
        <v>14659.6785</v>
      </c>
      <c r="I92" s="27">
        <v>11609.5965</v>
      </c>
      <c r="J92" s="27">
        <v>10375.8795</v>
      </c>
      <c r="K92" s="37">
        <v>4928.5573</v>
      </c>
      <c r="L92" s="37">
        <v>8546.3338</v>
      </c>
    </row>
    <row r="93" spans="2:25">
      <c r="B93" s="28" t="s">
        <v>7</v>
      </c>
      <c r="C93" s="27">
        <v>1181.176</v>
      </c>
      <c r="D93" s="27">
        <v>533.474</v>
      </c>
      <c r="E93" s="27">
        <v>362.427</v>
      </c>
      <c r="F93" s="27">
        <v>862.2735</v>
      </c>
      <c r="G93" s="27">
        <v>954.25</v>
      </c>
      <c r="H93" s="27">
        <v>664.1895</v>
      </c>
      <c r="I93" s="27">
        <v>632.308</v>
      </c>
      <c r="J93" s="27">
        <v>190.612</v>
      </c>
      <c r="K93" s="37">
        <v>517.221</v>
      </c>
      <c r="L93" s="37">
        <v>973.711</v>
      </c>
    </row>
    <row r="94" spans="2:25">
      <c r="B94" s="28" t="s">
        <v>8</v>
      </c>
      <c r="C94" s="27">
        <v>3499.599</v>
      </c>
      <c r="D94" s="27">
        <v>2433.2306</v>
      </c>
      <c r="E94" s="27">
        <v>6363.747</v>
      </c>
      <c r="F94" s="27">
        <v>5275.1015</v>
      </c>
      <c r="G94" s="27">
        <v>3875.325</v>
      </c>
      <c r="H94" s="27">
        <v>3057.556</v>
      </c>
      <c r="I94" s="27">
        <v>2936.4313</v>
      </c>
      <c r="J94" s="27">
        <v>2029.132</v>
      </c>
      <c r="K94" s="37">
        <v>1763.6382</v>
      </c>
      <c r="L94" s="37">
        <v>2018.223</v>
      </c>
    </row>
    <row r="95" spans="2:25">
      <c r="B95" s="17" t="s">
        <v>0</v>
      </c>
      <c r="C95" s="35">
        <f>SUM(C90:C94)</f>
        <v>0</v>
      </c>
      <c r="D95" s="35">
        <f>SUM(D90:D94)</f>
        <v>0</v>
      </c>
      <c r="E95" s="35">
        <f>SUM(E90:E94)</f>
        <v>0</v>
      </c>
      <c r="F95" s="35">
        <f>SUM(F90:F94)</f>
        <v>0</v>
      </c>
      <c r="G95" s="35">
        <f>SUM(G90:G94)</f>
        <v>0</v>
      </c>
      <c r="H95" s="35">
        <f>SUM(H90:H94)</f>
        <v>0</v>
      </c>
      <c r="I95" s="35">
        <f>SUM(I90:I94)</f>
        <v>0</v>
      </c>
      <c r="J95" s="35">
        <f>SUM(J90:J94)</f>
        <v>0</v>
      </c>
      <c r="K95" s="37">
        <f>SUM(K90:K94)</f>
        <v>0</v>
      </c>
      <c r="L95" s="37">
        <f>SUM(L90:L94)</f>
        <v>0</v>
      </c>
    </row>
  </sheetData>
  <mergeCells count="11">
    <mergeCell ref="I1:N1"/>
    <mergeCell ref="B2:N2"/>
    <mergeCell ref="B3:N3"/>
    <mergeCell ref="B6:N6"/>
    <mergeCell ref="P6:AB6"/>
    <mergeCell ref="B30:N30"/>
    <mergeCell ref="P30:AB30"/>
    <mergeCell ref="B54:N54"/>
    <mergeCell ref="B79:M79"/>
    <mergeCell ref="P79:Z79"/>
    <mergeCell ref="B88:M88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56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  <c r="G25" s="5" t="s">
        <v>411</v>
      </c>
      <c r="H25" s="5"/>
      <c r="I25" s="5"/>
      <c r="J25" s="5"/>
    </row>
    <row r="26" spans="2:14">
      <c r="B26" s="28" t="s">
        <v>405</v>
      </c>
      <c r="C26" s="27">
        <f>SUM(C22:N22)</f>
        <v>0</v>
      </c>
      <c r="G26" s="15" t="s">
        <v>63</v>
      </c>
      <c r="H26" s="16" t="s">
        <v>412</v>
      </c>
      <c r="I26" s="16" t="s">
        <v>413</v>
      </c>
      <c r="J26" s="16" t="s">
        <v>414</v>
      </c>
    </row>
    <row r="27" spans="2:14">
      <c r="B27" s="17" t="s">
        <v>406</v>
      </c>
      <c r="C27" s="32">
        <f>SUM(C23:N23)</f>
        <v>0</v>
      </c>
      <c r="G27" s="28" t="s">
        <v>4</v>
      </c>
      <c r="H27" s="27">
        <v>998.190125</v>
      </c>
      <c r="I27" s="32">
        <f>H27*(1+$C$8)*$C$9</f>
        <v>0</v>
      </c>
      <c r="J27" s="59">
        <f>IF($I$32=0,0,I27/$I$32)</f>
        <v>0</v>
      </c>
    </row>
    <row r="28" spans="2:14">
      <c r="B28" s="28" t="s">
        <v>407</v>
      </c>
      <c r="C28" s="60">
        <v>15923.1696</v>
      </c>
      <c r="G28" s="28" t="s">
        <v>5</v>
      </c>
      <c r="H28" s="27">
        <v>5461.137000000001</v>
      </c>
      <c r="I28" s="32">
        <f>H28*(1+$C$8)*$C$9</f>
        <v>0</v>
      </c>
      <c r="J28" s="59">
        <f>IF($I$32=0,0,I28/$I$32)</f>
        <v>0</v>
      </c>
    </row>
    <row r="29" spans="2:14">
      <c r="B29" s="17" t="s">
        <v>408</v>
      </c>
      <c r="C29" s="32">
        <f>$C$27+$C$28</f>
        <v>0</v>
      </c>
      <c r="G29" s="28" t="s">
        <v>6</v>
      </c>
      <c r="H29" s="27">
        <v>10251.807025</v>
      </c>
      <c r="I29" s="32">
        <f>H29*(1+$C$8)*$C$9</f>
        <v>0</v>
      </c>
      <c r="J29" s="59">
        <f>IF($I$32=0,0,I29/$I$32)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  <c r="G30" s="28" t="s">
        <v>7</v>
      </c>
      <c r="H30" s="27">
        <v>736.9075499999999</v>
      </c>
      <c r="I30" s="32">
        <f>H30*(1+$C$8)*$C$9</f>
        <v>0</v>
      </c>
      <c r="J30" s="59">
        <f>IF($I$32=0,0,I30/$I$32)</f>
        <v>0</v>
      </c>
    </row>
    <row r="31" spans="2:14">
      <c r="B31" s="28" t="s">
        <v>410</v>
      </c>
      <c r="C31" s="27">
        <f>D30+$C$28</f>
        <v>0</v>
      </c>
      <c r="D31" s="27">
        <f>E30+$C$28</f>
        <v>0</v>
      </c>
      <c r="G31" s="28" t="s">
        <v>8</v>
      </c>
      <c r="H31" s="27">
        <v>4340.230399999999</v>
      </c>
      <c r="I31" s="32">
        <f>H31*(1+$C$8)*$C$9</f>
        <v>0</v>
      </c>
      <c r="J31" s="59">
        <f>IF($I$32=0,0,I31/$I$32)</f>
        <v>0</v>
      </c>
    </row>
    <row r="32" spans="2:14">
      <c r="G32" s="17" t="s">
        <v>0</v>
      </c>
      <c r="H32" s="32">
        <f>SUM(H27:H31)</f>
        <v>0</v>
      </c>
      <c r="I32" s="32">
        <f>SUM(I27:I31)</f>
        <v>0</v>
      </c>
    </row>
    <row r="34" spans="2:15" ht="19" customHeight="1">
      <c r="B34" s="8" t="s">
        <v>415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2:15">
      <c r="B35" s="15" t="s">
        <v>210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</row>
    <row r="36" spans="2:15">
      <c r="B36" s="28" t="s">
        <v>416</v>
      </c>
      <c r="C36" s="27">
        <f>C23</f>
        <v>0</v>
      </c>
      <c r="D36" s="27">
        <f>D23</f>
        <v>0</v>
      </c>
      <c r="E36" s="27">
        <f>E23</f>
        <v>0</v>
      </c>
      <c r="F36" s="27">
        <f>F23</f>
        <v>0</v>
      </c>
      <c r="G36" s="27">
        <f>G23</f>
        <v>0</v>
      </c>
      <c r="H36" s="27">
        <f>H23</f>
        <v>0</v>
      </c>
      <c r="I36" s="27">
        <f>I23</f>
        <v>0</v>
      </c>
      <c r="J36" s="27">
        <f>J23</f>
        <v>0</v>
      </c>
      <c r="K36" s="27">
        <f>K23</f>
        <v>0</v>
      </c>
      <c r="L36" s="27">
        <f>L23</f>
        <v>0</v>
      </c>
      <c r="M36" s="27">
        <f>M23</f>
        <v>0</v>
      </c>
      <c r="N36" s="27">
        <f>N23</f>
        <v>0</v>
      </c>
    </row>
    <row r="37" spans="2:15">
      <c r="B37" s="28" t="s">
        <v>221</v>
      </c>
      <c r="C37" s="27">
        <v>1088.333</v>
      </c>
      <c r="D37" s="27">
        <v>2092.4001</v>
      </c>
      <c r="E37" s="27">
        <v>2910.1523</v>
      </c>
      <c r="F37" s="27">
        <v>2004.0124</v>
      </c>
      <c r="G37" s="27">
        <v>901.152</v>
      </c>
      <c r="H37" s="27">
        <v>215.305</v>
      </c>
      <c r="I37" s="27">
        <v>167.5</v>
      </c>
      <c r="J37" s="27">
        <v>51.06</v>
      </c>
      <c r="K37" s="27">
        <v>2986.8719</v>
      </c>
      <c r="L37" s="27">
        <v>2955.9469</v>
      </c>
      <c r="M37" s="27">
        <v>546.936</v>
      </c>
      <c r="N37" s="27">
        <v>3.5</v>
      </c>
    </row>
    <row r="38" spans="2:15">
      <c r="B38" s="28" t="s">
        <v>417</v>
      </c>
      <c r="C38" s="27">
        <v>1400.9949</v>
      </c>
      <c r="D38" s="27">
        <v>2023.3805</v>
      </c>
      <c r="E38" s="27">
        <v>2228.4465</v>
      </c>
      <c r="F38" s="27">
        <v>2621.2351</v>
      </c>
      <c r="G38" s="27">
        <v>1753.1826</v>
      </c>
      <c r="H38" s="27">
        <v>1169.5851</v>
      </c>
      <c r="I38" s="27">
        <v>939.4538</v>
      </c>
      <c r="J38" s="27">
        <v>979.7175</v>
      </c>
      <c r="K38" s="27">
        <v>1487.0255</v>
      </c>
      <c r="L38" s="27">
        <v>2468.751</v>
      </c>
      <c r="M38" s="27">
        <v>1324.048</v>
      </c>
      <c r="N38" s="27">
        <v>861.7330000000001</v>
      </c>
    </row>
    <row r="39" spans="2:15">
      <c r="B39" s="28" t="s">
        <v>418</v>
      </c>
      <c r="C39" s="27">
        <v>2433.6238</v>
      </c>
      <c r="D39" s="27">
        <v>5025.1422</v>
      </c>
      <c r="E39" s="27">
        <v>2051.1556</v>
      </c>
      <c r="F39" s="27">
        <v>1881.5364</v>
      </c>
      <c r="G39" s="27">
        <v>940.6905</v>
      </c>
      <c r="H39" s="27">
        <v>1023.714</v>
      </c>
      <c r="I39" s="27">
        <v>1472.8685</v>
      </c>
      <c r="J39" s="27">
        <v>1211.9996</v>
      </c>
      <c r="K39" s="27">
        <v>1844.9944</v>
      </c>
      <c r="L39" s="27">
        <v>1940.158</v>
      </c>
      <c r="M39" s="27">
        <v>1047.007</v>
      </c>
      <c r="N39" s="27">
        <v>709.6768</v>
      </c>
    </row>
    <row r="41" spans="2:15" ht="19" customHeight="1">
      <c r="B41" s="19" t="s">
        <v>419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>
      <c r="B42" s="15" t="s">
        <v>413</v>
      </c>
      <c r="C42" s="16" t="s">
        <v>155</v>
      </c>
      <c r="D42" s="16" t="s">
        <v>156</v>
      </c>
      <c r="E42" s="16" t="s">
        <v>157</v>
      </c>
      <c r="F42" s="16" t="s">
        <v>158</v>
      </c>
      <c r="G42" s="16" t="s">
        <v>159</v>
      </c>
      <c r="H42" s="16" t="s">
        <v>160</v>
      </c>
      <c r="I42" s="16" t="s">
        <v>161</v>
      </c>
      <c r="J42" s="16" t="s">
        <v>162</v>
      </c>
      <c r="K42" s="16" t="s">
        <v>163</v>
      </c>
      <c r="L42" s="16" t="s">
        <v>164</v>
      </c>
      <c r="M42" s="16" t="s">
        <v>165</v>
      </c>
      <c r="N42" s="16" t="s">
        <v>166</v>
      </c>
      <c r="O42" s="16" t="s">
        <v>153</v>
      </c>
    </row>
    <row r="43" spans="2:15">
      <c r="B43" s="28" t="s">
        <v>420</v>
      </c>
      <c r="C43" s="27">
        <v>1826.08884</v>
      </c>
      <c r="D43" s="27">
        <v>2457.61348</v>
      </c>
      <c r="E43" s="27">
        <v>1850.78732</v>
      </c>
      <c r="F43" s="27">
        <v>1819.60626</v>
      </c>
      <c r="G43" s="27">
        <v>1271.6815</v>
      </c>
      <c r="H43" s="27">
        <v>1096.0414</v>
      </c>
      <c r="I43" s="27">
        <v>1045.14906</v>
      </c>
      <c r="J43" s="27">
        <v>996.5421000000001</v>
      </c>
      <c r="K43" s="27">
        <v>1210.81064</v>
      </c>
      <c r="L43" s="27">
        <v>1640.25414</v>
      </c>
      <c r="M43" s="27">
        <v>1075.82706</v>
      </c>
      <c r="N43" s="27">
        <v>1140.21588</v>
      </c>
      <c r="O43" s="35">
        <f>SUM(C43:N43)</f>
        <v>0</v>
      </c>
    </row>
    <row r="44" spans="2:15">
      <c r="B44" s="28" t="s">
        <v>421</v>
      </c>
      <c r="C44" s="27">
        <v>2282.61105</v>
      </c>
      <c r="D44" s="27">
        <v>3072.01685</v>
      </c>
      <c r="E44" s="27">
        <v>2313.48415</v>
      </c>
      <c r="F44" s="27">
        <v>2274.507825</v>
      </c>
      <c r="G44" s="27">
        <v>1589.601875</v>
      </c>
      <c r="H44" s="27">
        <v>1370.05175</v>
      </c>
      <c r="I44" s="27">
        <v>1306.436325</v>
      </c>
      <c r="J44" s="27">
        <v>1245.677625</v>
      </c>
      <c r="K44" s="27">
        <v>1513.5133</v>
      </c>
      <c r="L44" s="27">
        <v>2050.317675</v>
      </c>
      <c r="M44" s="27">
        <v>1344.783825</v>
      </c>
      <c r="N44" s="27">
        <v>1425.26985</v>
      </c>
      <c r="O44" s="35">
        <f>SUM(C44:N44)</f>
        <v>0</v>
      </c>
    </row>
    <row r="45" spans="2:15">
      <c r="B45" s="28" t="s">
        <v>422</v>
      </c>
      <c r="C45" s="27">
        <v>2967.394365</v>
      </c>
      <c r="D45" s="27">
        <v>3993.621905</v>
      </c>
      <c r="E45" s="27">
        <v>3007.529395</v>
      </c>
      <c r="F45" s="27">
        <v>2956.8601725</v>
      </c>
      <c r="G45" s="27">
        <v>2066.4824375</v>
      </c>
      <c r="H45" s="27">
        <v>1781.067275</v>
      </c>
      <c r="I45" s="27">
        <v>1698.3672225</v>
      </c>
      <c r="J45" s="27">
        <v>1619.3809125</v>
      </c>
      <c r="K45" s="27">
        <v>1967.56729</v>
      </c>
      <c r="L45" s="27">
        <v>2665.412977500001</v>
      </c>
      <c r="M45" s="27">
        <v>1748.2189725</v>
      </c>
      <c r="N45" s="27">
        <v>1852.850805</v>
      </c>
      <c r="O45" s="35">
        <f>SUM(C45:N45)</f>
        <v>0</v>
      </c>
    </row>
    <row r="46" spans="2:15">
      <c r="B46" s="28" t="s">
        <v>423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  <c r="O46" s="35">
        <f>SUM(C46:N46)</f>
        <v>0</v>
      </c>
    </row>
    <row r="47" spans="2:15" ht="30" customHeight="1">
      <c r="B47" s="4" t="s">
        <v>424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9" spans="2:14" ht="19" customHeight="1">
      <c r="B49" s="19" t="s">
        <v>425</v>
      </c>
      <c r="C49" s="19"/>
      <c r="D49" s="19"/>
      <c r="E49" s="19"/>
      <c r="F49" s="19"/>
      <c r="H49" s="19" t="s">
        <v>429</v>
      </c>
      <c r="I49" s="19"/>
      <c r="J49" s="19"/>
      <c r="K49" s="19"/>
      <c r="L49" s="19"/>
      <c r="M49" s="19"/>
      <c r="N49" s="19"/>
    </row>
    <row r="50" spans="2:14">
      <c r="B50" s="15" t="s">
        <v>413</v>
      </c>
      <c r="C50" s="16" t="s">
        <v>426</v>
      </c>
      <c r="D50" s="16" t="s">
        <v>3</v>
      </c>
      <c r="E50" s="16" t="s">
        <v>427</v>
      </c>
      <c r="F50" s="16" t="s">
        <v>428</v>
      </c>
      <c r="H50" s="61" t="s">
        <v>430</v>
      </c>
      <c r="I50" s="62">
        <v>0.7</v>
      </c>
      <c r="J50" s="62">
        <v>0.85</v>
      </c>
      <c r="K50" s="62">
        <v>1</v>
      </c>
      <c r="L50" s="62">
        <v>1.15</v>
      </c>
      <c r="M50" s="62">
        <v>1.3</v>
      </c>
      <c r="N50" s="62">
        <v>1.5</v>
      </c>
    </row>
    <row r="51" spans="2:14">
      <c r="B51" s="28" t="s">
        <v>420</v>
      </c>
      <c r="C51" s="63">
        <v>0.8</v>
      </c>
      <c r="D51" s="27">
        <v>17430.61768</v>
      </c>
      <c r="E51" s="27">
        <v>15923.1696</v>
      </c>
      <c r="F51" s="35">
        <f>D51+E51</f>
        <v>33353.78728</v>
      </c>
      <c r="H51" s="64">
        <v>-0.1</v>
      </c>
      <c r="I51" s="65">
        <f>$C$26*(1+$H51)*I$50</f>
        <v>0</v>
      </c>
      <c r="J51" s="65">
        <f>$C$26*(1+$H51)*J$50</f>
        <v>0</v>
      </c>
      <c r="K51" s="65">
        <f>$C$26*(1+$H51)*K$50</f>
        <v>0</v>
      </c>
      <c r="L51" s="65">
        <f>$C$26*(1+$H51)*L$50</f>
        <v>0</v>
      </c>
      <c r="M51" s="65">
        <f>$C$26*(1+$H51)*M$50</f>
        <v>0</v>
      </c>
      <c r="N51" s="65">
        <f>$C$26*(1+$H51)*N$50</f>
        <v>0</v>
      </c>
    </row>
    <row r="52" spans="2:14">
      <c r="B52" s="28" t="s">
        <v>421</v>
      </c>
      <c r="C52" s="63">
        <v>1</v>
      </c>
      <c r="D52" s="27">
        <v>21788.2721</v>
      </c>
      <c r="E52" s="27">
        <v>15923.1696</v>
      </c>
      <c r="F52" s="35">
        <f>D52+E52</f>
        <v>37711.441699999996</v>
      </c>
      <c r="H52" s="64">
        <v>-0.05</v>
      </c>
      <c r="I52" s="65">
        <f>$C$26*(1+$H52)*I$50</f>
        <v>0</v>
      </c>
      <c r="J52" s="65">
        <f>$C$26*(1+$H52)*J$50</f>
        <v>0</v>
      </c>
      <c r="K52" s="65">
        <f>$C$26*(1+$H52)*K$50</f>
        <v>0</v>
      </c>
      <c r="L52" s="65">
        <f>$C$26*(1+$H52)*L$50</f>
        <v>0</v>
      </c>
      <c r="M52" s="65">
        <f>$C$26*(1+$H52)*M$50</f>
        <v>0</v>
      </c>
      <c r="N52" s="65">
        <f>$C$26*(1+$H52)*N$50</f>
        <v>0</v>
      </c>
    </row>
    <row r="53" spans="2:14">
      <c r="B53" s="28" t="s">
        <v>422</v>
      </c>
      <c r="C53" s="63">
        <v>1.3</v>
      </c>
      <c r="D53" s="27">
        <v>28324.75373</v>
      </c>
      <c r="E53" s="27">
        <v>15923.1696</v>
      </c>
      <c r="F53" s="35">
        <f>D53+E53</f>
        <v>44247.92333</v>
      </c>
      <c r="H53" s="64">
        <v>0</v>
      </c>
      <c r="I53" s="65">
        <f>$C$26*(1+$H53)*I$50</f>
        <v>0</v>
      </c>
      <c r="J53" s="65">
        <f>$C$26*(1+$H53)*J$50</f>
        <v>0</v>
      </c>
      <c r="K53" s="66">
        <f>$C$26*(1+$H53)*K$50</f>
        <v>0</v>
      </c>
      <c r="L53" s="65">
        <f>$C$26*(1+$H53)*L$50</f>
        <v>0</v>
      </c>
      <c r="M53" s="65">
        <f>$C$26*(1+$H53)*M$50</f>
        <v>0</v>
      </c>
      <c r="N53" s="65">
        <f>$C$26*(1+$H53)*N$50</f>
        <v>0</v>
      </c>
    </row>
    <row r="54" spans="2:14">
      <c r="H54" s="64">
        <v>0.05</v>
      </c>
      <c r="I54" s="65">
        <f>$C$26*(1+$H54)*I$50</f>
        <v>0</v>
      </c>
      <c r="J54" s="65">
        <f>$C$26*(1+$H54)*J$50</f>
        <v>0</v>
      </c>
      <c r="K54" s="65">
        <f>$C$26*(1+$H54)*K$50</f>
        <v>0</v>
      </c>
      <c r="L54" s="65">
        <f>$C$26*(1+$H54)*L$50</f>
        <v>0</v>
      </c>
      <c r="M54" s="65">
        <f>$C$26*(1+$H54)*M$50</f>
        <v>0</v>
      </c>
      <c r="N54" s="65">
        <f>$C$26*(1+$H54)*N$50</f>
        <v>0</v>
      </c>
    </row>
    <row r="55" spans="2:14">
      <c r="H55" s="64">
        <v>0.1</v>
      </c>
      <c r="I55" s="65">
        <f>$C$26*(1+$H55)*I$50</f>
        <v>0</v>
      </c>
      <c r="J55" s="65">
        <f>$C$26*(1+$H55)*J$50</f>
        <v>0</v>
      </c>
      <c r="K55" s="65">
        <f>$C$26*(1+$H55)*K$50</f>
        <v>0</v>
      </c>
      <c r="L55" s="65">
        <f>$C$26*(1+$H55)*L$50</f>
        <v>0</v>
      </c>
      <c r="M55" s="65">
        <f>$C$26*(1+$H55)*M$50</f>
        <v>0</v>
      </c>
      <c r="N55" s="65">
        <f>$C$26*(1+$H55)*N$50</f>
        <v>0</v>
      </c>
    </row>
    <row r="56" spans="2:14">
      <c r="H56" s="64">
        <v>0.15</v>
      </c>
      <c r="I56" s="65">
        <f>$C$26*(1+$H56)*I$50</f>
        <v>0</v>
      </c>
      <c r="J56" s="65">
        <f>$C$26*(1+$H56)*J$50</f>
        <v>0</v>
      </c>
      <c r="K56" s="65">
        <f>$C$26*(1+$H56)*K$50</f>
        <v>0</v>
      </c>
      <c r="L56" s="65">
        <f>$C$26*(1+$H56)*L$50</f>
        <v>0</v>
      </c>
      <c r="M56" s="65">
        <f>$C$26*(1+$H56)*M$50</f>
        <v>0</v>
      </c>
      <c r="N56" s="65">
        <f>$C$26*(1+$H56)*N$50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G25:J25"/>
    <mergeCell ref="B34:N34"/>
    <mergeCell ref="B41:O41"/>
    <mergeCell ref="B47:N47"/>
    <mergeCell ref="B49:F49"/>
    <mergeCell ref="H49:N49"/>
  </mergeCells>
  <conditionalFormatting sqref="I51:N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2004.0124</v>
      </c>
      <c r="F161" s="67">
        <v>427.8607175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2004.0124</v>
      </c>
      <c r="N161" s="67">
        <v>427.8607175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901.152</v>
      </c>
      <c r="F162" s="67">
        <v>179.3469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901.152</v>
      </c>
      <c r="N162" s="67">
        <v>179.3469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2986.8719</v>
      </c>
      <c r="F166" s="67">
        <v>567.2165575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2986.8719</v>
      </c>
      <c r="N166" s="67">
        <v>567.2165575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2955.9469</v>
      </c>
      <c r="F167" s="67">
        <v>580.3807575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2955.9469</v>
      </c>
      <c r="N167" s="67">
        <v>580.3807575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2004.0124</v>
      </c>
      <c r="F329" s="67">
        <v>427.8607175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2004.0124</v>
      </c>
      <c r="N329" s="67">
        <v>427.8607175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901.152</v>
      </c>
      <c r="F330" s="67">
        <v>179.3469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901.152</v>
      </c>
      <c r="N330" s="67">
        <v>179.3469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2986.8719</v>
      </c>
      <c r="F334" s="67">
        <v>567.2165575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2986.8719</v>
      </c>
      <c r="N334" s="67">
        <v>567.2165575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2955.9469</v>
      </c>
      <c r="F335" s="67">
        <v>580.3807575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2955.9469</v>
      </c>
      <c r="N335" s="67">
        <v>580.3807575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1619.335</v>
      </c>
      <c r="N656" s="67">
        <v>283.383625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1744.215</v>
      </c>
      <c r="N657" s="67">
        <v>305.237625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1619.335</v>
      </c>
      <c r="N822" s="67">
        <v>283.383625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1744.215</v>
      </c>
      <c r="N823" s="67">
        <v>305.237625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961.0699999999999</v>
      </c>
      <c r="F1050" s="67">
        <v>186.9595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473.25</v>
      </c>
      <c r="F1051" s="67">
        <v>105.7875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1168.516</v>
      </c>
      <c r="F1052" s="67">
        <v>294.192125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583.63</v>
      </c>
      <c r="F1053" s="67">
        <v>186.155375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961.0699999999999</v>
      </c>
      <c r="F1198" s="67">
        <v>186.9595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473.25</v>
      </c>
      <c r="F1199" s="67">
        <v>105.7875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1168.516</v>
      </c>
      <c r="F1200" s="67">
        <v>294.192125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583.63</v>
      </c>
      <c r="F1201" s="67">
        <v>186.155375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245.515</v>
      </c>
      <c r="N1615" s="67">
        <v>159.58475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92.88</v>
      </c>
      <c r="N1616" s="67">
        <v>60.37200000000001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245.515</v>
      </c>
      <c r="N1774" s="67">
        <v>159.58475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92.88</v>
      </c>
      <c r="N1775" s="67">
        <v>60.37200000000001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2026-06-25T12:17:25Z</dcterms:created>
  <dcterms:modified xsi:type="dcterms:W3CDTF">2026-06-25T12:17:25Z</dcterms:modified>
</cp:coreProperties>
</file>